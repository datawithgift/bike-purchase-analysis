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E9E3EDFE-A47B-4B6B-BE26-22B2B5DE0187}" xr6:coauthVersionLast="47" xr6:coauthVersionMax="47" xr10:uidLastSave="{00000000-0000-0000-0000-000000000000}"/>
  <workbookProtection workbookAlgorithmName="SHA-512" workbookHashValue="oJ5Ya3mDAd0Tn/OWWyqiSg1X3BrcCWskDsEfkDjUrFve6EhoOMv4OAD6Qd17wF/KQLFngapzZfCypJ/sAEjlrg==" workbookSaltValue="rRUqdOjquczsOLHJgZIjfw==" workbookSpinCount="100000" lockStructure="1"/>
  <bookViews>
    <workbookView xWindow="-120" yWindow="-120" windowWidth="20730" windowHeight="11160" firstSheet="3" activeTab="4" xr2:uid="{00000000-000D-0000-FFFF-FFFF00000000}"/>
  </bookViews>
  <sheets>
    <sheet name="Bike_Buyers_Raw_Data" sheetId="1" r:id="rId1"/>
    <sheet name="Data_Dictionary" sheetId="7" r:id="rId2"/>
    <sheet name="Cleaned_Working_Sheet" sheetId="2" r:id="rId3"/>
    <sheet name="Pivot_Table &amp; Analysis" sheetId="5" r:id="rId4"/>
    <sheet name="Dashboard" sheetId="4" r:id="rId5"/>
    <sheet name="Key Insights &amp; Recommendation" sheetId="6" r:id="rId6"/>
  </sheets>
  <definedNames>
    <definedName name="_xlnm._FilterDatabase" localSheetId="0" hidden="1">Bike_Buyers_Raw_Data!$A$1:$M$1001</definedName>
    <definedName name="Slicer_Marital_Status">#N/A</definedName>
    <definedName name="Slicer_Occupation">#N/A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a="1"/>
  <c r="E3" i="2" s="1"/>
  <c r="E4" i="2" a="1"/>
  <c r="E4" i="2" s="1"/>
  <c r="E5" i="2" a="1"/>
  <c r="E5" i="2" s="1"/>
  <c r="E6" i="2" a="1"/>
  <c r="E6" i="2" s="1"/>
  <c r="E7" i="2" a="1"/>
  <c r="E7" i="2" s="1"/>
  <c r="E8" i="2" a="1"/>
  <c r="E8" i="2" s="1"/>
  <c r="E9" i="2" a="1"/>
  <c r="E9" i="2" s="1"/>
  <c r="E10" i="2" a="1"/>
  <c r="E10" i="2" s="1"/>
  <c r="E11" i="2" a="1"/>
  <c r="E11" i="2" s="1"/>
  <c r="E12" i="2" a="1"/>
  <c r="E12" i="2" s="1"/>
  <c r="E13" i="2" a="1"/>
  <c r="E13" i="2" s="1"/>
  <c r="E14" i="2" a="1"/>
  <c r="E14" i="2" s="1"/>
  <c r="E15" i="2" a="1"/>
  <c r="E15" i="2" s="1"/>
  <c r="E16" i="2" a="1"/>
  <c r="E16" i="2" s="1"/>
  <c r="E17" i="2" a="1"/>
  <c r="E17" i="2" s="1"/>
  <c r="E18" i="2" a="1"/>
  <c r="E18" i="2" s="1"/>
  <c r="E19" i="2" a="1"/>
  <c r="E19" i="2" s="1"/>
  <c r="E20" i="2" a="1"/>
  <c r="E20" i="2" s="1"/>
  <c r="E21" i="2" a="1"/>
  <c r="E21" i="2" s="1"/>
  <c r="E22" i="2" a="1"/>
  <c r="E22" i="2" s="1"/>
  <c r="E23" i="2" a="1"/>
  <c r="E23" i="2" s="1"/>
  <c r="E24" i="2" a="1"/>
  <c r="E24" i="2" s="1"/>
  <c r="E25" i="2" a="1"/>
  <c r="E25" i="2" s="1"/>
  <c r="E26" i="2" a="1"/>
  <c r="E26" i="2" s="1"/>
  <c r="E27" i="2" a="1"/>
  <c r="E27" i="2" s="1"/>
  <c r="E28" i="2" a="1"/>
  <c r="E28" i="2" s="1"/>
  <c r="E29" i="2" a="1"/>
  <c r="E29" i="2" s="1"/>
  <c r="E30" i="2" a="1"/>
  <c r="E30" i="2" s="1"/>
  <c r="E31" i="2" a="1"/>
  <c r="E31" i="2" s="1"/>
  <c r="E32" i="2" a="1"/>
  <c r="E32" i="2" s="1"/>
  <c r="E33" i="2" a="1"/>
  <c r="E33" i="2" s="1"/>
  <c r="E34" i="2" a="1"/>
  <c r="E34" i="2" s="1"/>
  <c r="E35" i="2" a="1"/>
  <c r="E35" i="2" s="1"/>
  <c r="E36" i="2" a="1"/>
  <c r="E36" i="2" s="1"/>
  <c r="E37" i="2" a="1"/>
  <c r="E37" i="2" s="1"/>
  <c r="E38" i="2" a="1"/>
  <c r="E38" i="2" s="1"/>
  <c r="E39" i="2" a="1"/>
  <c r="E39" i="2" s="1"/>
  <c r="E40" i="2" a="1"/>
  <c r="E40" i="2" s="1"/>
  <c r="E41" i="2" a="1"/>
  <c r="E41" i="2" s="1"/>
  <c r="E42" i="2" a="1"/>
  <c r="E42" i="2" s="1"/>
  <c r="E43" i="2" a="1"/>
  <c r="E43" i="2" s="1"/>
  <c r="E44" i="2" a="1"/>
  <c r="E44" i="2" s="1"/>
  <c r="E45" i="2" a="1"/>
  <c r="E45" i="2" s="1"/>
  <c r="E46" i="2" a="1"/>
  <c r="E46" i="2" s="1"/>
  <c r="E47" i="2" a="1"/>
  <c r="E47" i="2" s="1"/>
  <c r="E48" i="2" a="1"/>
  <c r="E48" i="2" s="1"/>
  <c r="E49" i="2" a="1"/>
  <c r="E49" i="2" s="1"/>
  <c r="E50" i="2" a="1"/>
  <c r="E50" i="2" s="1"/>
  <c r="E51" i="2" a="1"/>
  <c r="E51" i="2" s="1"/>
  <c r="E52" i="2" a="1"/>
  <c r="E52" i="2" s="1"/>
  <c r="E53" i="2" a="1"/>
  <c r="E53" i="2" s="1"/>
  <c r="E54" i="2" a="1"/>
  <c r="E54" i="2" s="1"/>
  <c r="E55" i="2" a="1"/>
  <c r="E55" i="2" s="1"/>
  <c r="E56" i="2" a="1"/>
  <c r="E56" i="2" s="1"/>
  <c r="E57" i="2" a="1"/>
  <c r="E57" i="2" s="1"/>
  <c r="E58" i="2" a="1"/>
  <c r="E58" i="2" s="1"/>
  <c r="E59" i="2" a="1"/>
  <c r="E59" i="2" s="1"/>
  <c r="E60" i="2" a="1"/>
  <c r="E60" i="2" s="1"/>
  <c r="E61" i="2" a="1"/>
  <c r="E61" i="2" s="1"/>
  <c r="E62" i="2" a="1"/>
  <c r="E62" i="2" s="1"/>
  <c r="E63" i="2" a="1"/>
  <c r="E63" i="2" s="1"/>
  <c r="E64" i="2" a="1"/>
  <c r="E64" i="2" s="1"/>
  <c r="E65" i="2" a="1"/>
  <c r="E65" i="2" s="1"/>
  <c r="E66" i="2" a="1"/>
  <c r="E66" i="2" s="1"/>
  <c r="E67" i="2" a="1"/>
  <c r="E67" i="2" s="1"/>
  <c r="E68" i="2" a="1"/>
  <c r="E68" i="2" s="1"/>
  <c r="E69" i="2" a="1"/>
  <c r="E69" i="2" s="1"/>
  <c r="E70" i="2" a="1"/>
  <c r="E70" i="2" s="1"/>
  <c r="E71" i="2" a="1"/>
  <c r="E71" i="2" s="1"/>
  <c r="E72" i="2" a="1"/>
  <c r="E72" i="2" s="1"/>
  <c r="E73" i="2" a="1"/>
  <c r="E73" i="2" s="1"/>
  <c r="E74" i="2" a="1"/>
  <c r="E74" i="2" s="1"/>
  <c r="E75" i="2" a="1"/>
  <c r="E75" i="2" s="1"/>
  <c r="E76" i="2" a="1"/>
  <c r="E76" i="2" s="1"/>
  <c r="E77" i="2" a="1"/>
  <c r="E77" i="2" s="1"/>
  <c r="E78" i="2" a="1"/>
  <c r="E78" i="2" s="1"/>
  <c r="E79" i="2" a="1"/>
  <c r="E79" i="2" s="1"/>
  <c r="E80" i="2" a="1"/>
  <c r="E80" i="2" s="1"/>
  <c r="E81" i="2" a="1"/>
  <c r="E81" i="2" s="1"/>
  <c r="E82" i="2" a="1"/>
  <c r="E82" i="2" s="1"/>
  <c r="E83" i="2" a="1"/>
  <c r="E83" i="2" s="1"/>
  <c r="E84" i="2" a="1"/>
  <c r="E84" i="2" s="1"/>
  <c r="E85" i="2" a="1"/>
  <c r="E85" i="2" s="1"/>
  <c r="E86" i="2" a="1"/>
  <c r="E86" i="2" s="1"/>
  <c r="E87" i="2" a="1"/>
  <c r="E87" i="2" s="1"/>
  <c r="E88" i="2" a="1"/>
  <c r="E88" i="2" s="1"/>
  <c r="E89" i="2" a="1"/>
  <c r="E89" i="2" s="1"/>
  <c r="E90" i="2" a="1"/>
  <c r="E90" i="2" s="1"/>
  <c r="E91" i="2" a="1"/>
  <c r="E91" i="2" s="1"/>
  <c r="E92" i="2" a="1"/>
  <c r="E92" i="2" s="1"/>
  <c r="E93" i="2" a="1"/>
  <c r="E93" i="2" s="1"/>
  <c r="E94" i="2" a="1"/>
  <c r="E94" i="2" s="1"/>
  <c r="E95" i="2" a="1"/>
  <c r="E95" i="2" s="1"/>
  <c r="E96" i="2" a="1"/>
  <c r="E96" i="2" s="1"/>
  <c r="E97" i="2" a="1"/>
  <c r="E97" i="2" s="1"/>
  <c r="E98" i="2" a="1"/>
  <c r="E98" i="2" s="1"/>
  <c r="E99" i="2" a="1"/>
  <c r="E99" i="2" s="1"/>
  <c r="E100" i="2" a="1"/>
  <c r="E100" i="2" s="1"/>
  <c r="E101" i="2" a="1"/>
  <c r="E101" i="2" s="1"/>
  <c r="E102" i="2" a="1"/>
  <c r="E102" i="2" s="1"/>
  <c r="E103" i="2" a="1"/>
  <c r="E103" i="2" s="1"/>
  <c r="E104" i="2" a="1"/>
  <c r="E104" i="2" s="1"/>
  <c r="E105" i="2" a="1"/>
  <c r="E105" i="2" s="1"/>
  <c r="E106" i="2" a="1"/>
  <c r="E106" i="2" s="1"/>
  <c r="E107" i="2" a="1"/>
  <c r="E107" i="2" s="1"/>
  <c r="E108" i="2" a="1"/>
  <c r="E108" i="2" s="1"/>
  <c r="E109" i="2" a="1"/>
  <c r="E109" i="2" s="1"/>
  <c r="E110" i="2" a="1"/>
  <c r="E110" i="2" s="1"/>
  <c r="E111" i="2" a="1"/>
  <c r="E111" i="2" s="1"/>
  <c r="E112" i="2" a="1"/>
  <c r="E112" i="2" s="1"/>
  <c r="E113" i="2" a="1"/>
  <c r="E113" i="2" s="1"/>
  <c r="E114" i="2" a="1"/>
  <c r="E114" i="2" s="1"/>
  <c r="E115" i="2" a="1"/>
  <c r="E115" i="2" s="1"/>
  <c r="E116" i="2" a="1"/>
  <c r="E116" i="2" s="1"/>
  <c r="E117" i="2" a="1"/>
  <c r="E117" i="2" s="1"/>
  <c r="E118" i="2" a="1"/>
  <c r="E118" i="2" s="1"/>
  <c r="E119" i="2" a="1"/>
  <c r="E119" i="2" s="1"/>
  <c r="E120" i="2" a="1"/>
  <c r="E120" i="2" s="1"/>
  <c r="E121" i="2" a="1"/>
  <c r="E121" i="2" s="1"/>
  <c r="E122" i="2" a="1"/>
  <c r="E122" i="2" s="1"/>
  <c r="E123" i="2" a="1"/>
  <c r="E123" i="2" s="1"/>
  <c r="E124" i="2" a="1"/>
  <c r="E124" i="2" s="1"/>
  <c r="E125" i="2" a="1"/>
  <c r="E125" i="2" s="1"/>
  <c r="E126" i="2" a="1"/>
  <c r="E126" i="2" s="1"/>
  <c r="E127" i="2" a="1"/>
  <c r="E127" i="2" s="1"/>
  <c r="E128" i="2" a="1"/>
  <c r="E128" i="2" s="1"/>
  <c r="E129" i="2" a="1"/>
  <c r="E129" i="2" s="1"/>
  <c r="E130" i="2" a="1"/>
  <c r="E130" i="2" s="1"/>
  <c r="E131" i="2" a="1"/>
  <c r="E131" i="2" s="1"/>
  <c r="E132" i="2" a="1"/>
  <c r="E132" i="2" s="1"/>
  <c r="E133" i="2" a="1"/>
  <c r="E133" i="2" s="1"/>
  <c r="E134" i="2" a="1"/>
  <c r="E134" i="2" s="1"/>
  <c r="E135" i="2" a="1"/>
  <c r="E135" i="2" s="1"/>
  <c r="E136" i="2" a="1"/>
  <c r="E136" i="2" s="1"/>
  <c r="E137" i="2" a="1"/>
  <c r="E137" i="2" s="1"/>
  <c r="E138" i="2" a="1"/>
  <c r="E138" i="2" s="1"/>
  <c r="E139" i="2" a="1"/>
  <c r="E139" i="2" s="1"/>
  <c r="E140" i="2" a="1"/>
  <c r="E140" i="2" s="1"/>
  <c r="E141" i="2" a="1"/>
  <c r="E141" i="2" s="1"/>
  <c r="E142" i="2" a="1"/>
  <c r="E142" i="2" s="1"/>
  <c r="E143" i="2" a="1"/>
  <c r="E143" i="2" s="1"/>
  <c r="E144" i="2" a="1"/>
  <c r="E144" i="2" s="1"/>
  <c r="E145" i="2" a="1"/>
  <c r="E145" i="2" s="1"/>
  <c r="E146" i="2" a="1"/>
  <c r="E146" i="2" s="1"/>
  <c r="E147" i="2" a="1"/>
  <c r="E147" i="2" s="1"/>
  <c r="E148" i="2" a="1"/>
  <c r="E148" i="2" s="1"/>
  <c r="E149" i="2" a="1"/>
  <c r="E149" i="2" s="1"/>
  <c r="E150" i="2" a="1"/>
  <c r="E150" i="2" s="1"/>
  <c r="E151" i="2" a="1"/>
  <c r="E151" i="2" s="1"/>
  <c r="E152" i="2" a="1"/>
  <c r="E152" i="2" s="1"/>
  <c r="E153" i="2" a="1"/>
  <c r="E153" i="2" s="1"/>
  <c r="E154" i="2" a="1"/>
  <c r="E154" i="2" s="1"/>
  <c r="E155" i="2" a="1"/>
  <c r="E155" i="2" s="1"/>
  <c r="E156" i="2" a="1"/>
  <c r="E156" i="2" s="1"/>
  <c r="E157" i="2" a="1"/>
  <c r="E157" i="2" s="1"/>
  <c r="E158" i="2" a="1"/>
  <c r="E158" i="2" s="1"/>
  <c r="E159" i="2" a="1"/>
  <c r="E159" i="2" s="1"/>
  <c r="E160" i="2" a="1"/>
  <c r="E160" i="2" s="1"/>
  <c r="E161" i="2" a="1"/>
  <c r="E161" i="2" s="1"/>
  <c r="E162" i="2" a="1"/>
  <c r="E162" i="2" s="1"/>
  <c r="E163" i="2" a="1"/>
  <c r="E163" i="2" s="1"/>
  <c r="E164" i="2" a="1"/>
  <c r="E164" i="2" s="1"/>
  <c r="E165" i="2" a="1"/>
  <c r="E165" i="2" s="1"/>
  <c r="E166" i="2" a="1"/>
  <c r="E166" i="2" s="1"/>
  <c r="E167" i="2" a="1"/>
  <c r="E167" i="2" s="1"/>
  <c r="E168" i="2" a="1"/>
  <c r="E168" i="2" s="1"/>
  <c r="E169" i="2" a="1"/>
  <c r="E169" i="2" s="1"/>
  <c r="E170" i="2" a="1"/>
  <c r="E170" i="2" s="1"/>
  <c r="E171" i="2" a="1"/>
  <c r="E171" i="2" s="1"/>
  <c r="E172" i="2" a="1"/>
  <c r="E172" i="2" s="1"/>
  <c r="E173" i="2" a="1"/>
  <c r="E173" i="2" s="1"/>
  <c r="E174" i="2" a="1"/>
  <c r="E174" i="2" s="1"/>
  <c r="E175" i="2" a="1"/>
  <c r="E175" i="2" s="1"/>
  <c r="E176" i="2" a="1"/>
  <c r="E176" i="2" s="1"/>
  <c r="E177" i="2" a="1"/>
  <c r="E177" i="2" s="1"/>
  <c r="E178" i="2" a="1"/>
  <c r="E178" i="2" s="1"/>
  <c r="E179" i="2" a="1"/>
  <c r="E179" i="2" s="1"/>
  <c r="E180" i="2" a="1"/>
  <c r="E180" i="2" s="1"/>
  <c r="E181" i="2" a="1"/>
  <c r="E181" i="2" s="1"/>
  <c r="E182" i="2" a="1"/>
  <c r="E182" i="2" s="1"/>
  <c r="E183" i="2" a="1"/>
  <c r="E183" i="2" s="1"/>
  <c r="E184" i="2" a="1"/>
  <c r="E184" i="2" s="1"/>
  <c r="E185" i="2" a="1"/>
  <c r="E185" i="2" s="1"/>
  <c r="E186" i="2" a="1"/>
  <c r="E186" i="2" s="1"/>
  <c r="E187" i="2" a="1"/>
  <c r="E187" i="2" s="1"/>
  <c r="E188" i="2" a="1"/>
  <c r="E188" i="2" s="1"/>
  <c r="E189" i="2" a="1"/>
  <c r="E189" i="2" s="1"/>
  <c r="E190" i="2" a="1"/>
  <c r="E190" i="2" s="1"/>
  <c r="E191" i="2" a="1"/>
  <c r="E191" i="2" s="1"/>
  <c r="E192" i="2" a="1"/>
  <c r="E192" i="2" s="1"/>
  <c r="E193" i="2" a="1"/>
  <c r="E193" i="2" s="1"/>
  <c r="E194" i="2" a="1"/>
  <c r="E194" i="2" s="1"/>
  <c r="E195" i="2" a="1"/>
  <c r="E195" i="2" s="1"/>
  <c r="E196" i="2" a="1"/>
  <c r="E196" i="2" s="1"/>
  <c r="E197" i="2" a="1"/>
  <c r="E197" i="2" s="1"/>
  <c r="E198" i="2" a="1"/>
  <c r="E198" i="2" s="1"/>
  <c r="E199" i="2" a="1"/>
  <c r="E199" i="2" s="1"/>
  <c r="E200" i="2" a="1"/>
  <c r="E200" i="2" s="1"/>
  <c r="E201" i="2" a="1"/>
  <c r="E201" i="2" s="1"/>
  <c r="E202" i="2" a="1"/>
  <c r="E202" i="2" s="1"/>
  <c r="E203" i="2" a="1"/>
  <c r="E203" i="2" s="1"/>
  <c r="E204" i="2" a="1"/>
  <c r="E204" i="2" s="1"/>
  <c r="E205" i="2" a="1"/>
  <c r="E205" i="2" s="1"/>
  <c r="E206" i="2" a="1"/>
  <c r="E206" i="2" s="1"/>
  <c r="E207" i="2" a="1"/>
  <c r="E207" i="2" s="1"/>
  <c r="E208" i="2" a="1"/>
  <c r="E208" i="2" s="1"/>
  <c r="E209" i="2" a="1"/>
  <c r="E209" i="2" s="1"/>
  <c r="E210" i="2" a="1"/>
  <c r="E210" i="2" s="1"/>
  <c r="E211" i="2" a="1"/>
  <c r="E211" i="2" s="1"/>
  <c r="E212" i="2" a="1"/>
  <c r="E212" i="2" s="1"/>
  <c r="E213" i="2" a="1"/>
  <c r="E213" i="2" s="1"/>
  <c r="E214" i="2" a="1"/>
  <c r="E214" i="2" s="1"/>
  <c r="E215" i="2" a="1"/>
  <c r="E215" i="2" s="1"/>
  <c r="E216" i="2" a="1"/>
  <c r="E216" i="2" s="1"/>
  <c r="E217" i="2" a="1"/>
  <c r="E217" i="2" s="1"/>
  <c r="E218" i="2" a="1"/>
  <c r="E218" i="2" s="1"/>
  <c r="E219" i="2" a="1"/>
  <c r="E219" i="2" s="1"/>
  <c r="E220" i="2" a="1"/>
  <c r="E220" i="2" s="1"/>
  <c r="E221" i="2" a="1"/>
  <c r="E221" i="2" s="1"/>
  <c r="E222" i="2" a="1"/>
  <c r="E222" i="2" s="1"/>
  <c r="E223" i="2" a="1"/>
  <c r="E223" i="2" s="1"/>
  <c r="E224" i="2" a="1"/>
  <c r="E224" i="2" s="1"/>
  <c r="E225" i="2" a="1"/>
  <c r="E225" i="2" s="1"/>
  <c r="E226" i="2" a="1"/>
  <c r="E226" i="2" s="1"/>
  <c r="E227" i="2" a="1"/>
  <c r="E227" i="2" s="1"/>
  <c r="E228" i="2" a="1"/>
  <c r="E228" i="2" s="1"/>
  <c r="E229" i="2" a="1"/>
  <c r="E229" i="2" s="1"/>
  <c r="E230" i="2" a="1"/>
  <c r="E230" i="2" s="1"/>
  <c r="E231" i="2" a="1"/>
  <c r="E231" i="2" s="1"/>
  <c r="E232" i="2" a="1"/>
  <c r="E232" i="2" s="1"/>
  <c r="E233" i="2" a="1"/>
  <c r="E233" i="2" s="1"/>
  <c r="E234" i="2" a="1"/>
  <c r="E234" i="2" s="1"/>
  <c r="E235" i="2" a="1"/>
  <c r="E235" i="2" s="1"/>
  <c r="E236" i="2" a="1"/>
  <c r="E236" i="2" s="1"/>
  <c r="E237" i="2" a="1"/>
  <c r="E237" i="2" s="1"/>
  <c r="E238" i="2" a="1"/>
  <c r="E238" i="2" s="1"/>
  <c r="E239" i="2" a="1"/>
  <c r="E239" i="2" s="1"/>
  <c r="E240" i="2" a="1"/>
  <c r="E240" i="2" s="1"/>
  <c r="E241" i="2" a="1"/>
  <c r="E241" i="2" s="1"/>
  <c r="E242" i="2" a="1"/>
  <c r="E242" i="2" s="1"/>
  <c r="E243" i="2" a="1"/>
  <c r="E243" i="2" s="1"/>
  <c r="E244" i="2" a="1"/>
  <c r="E244" i="2" s="1"/>
  <c r="E245" i="2" a="1"/>
  <c r="E245" i="2" s="1"/>
  <c r="E246" i="2" a="1"/>
  <c r="E246" i="2" s="1"/>
  <c r="E247" i="2" a="1"/>
  <c r="E247" i="2" s="1"/>
  <c r="E248" i="2" a="1"/>
  <c r="E248" i="2" s="1"/>
  <c r="E249" i="2" a="1"/>
  <c r="E249" i="2" s="1"/>
  <c r="E250" i="2" a="1"/>
  <c r="E250" i="2" s="1"/>
  <c r="E251" i="2" a="1"/>
  <c r="E251" i="2" s="1"/>
  <c r="E252" i="2" a="1"/>
  <c r="E252" i="2" s="1"/>
  <c r="E253" i="2" a="1"/>
  <c r="E253" i="2" s="1"/>
  <c r="E254" i="2" a="1"/>
  <c r="E254" i="2" s="1"/>
  <c r="E255" i="2" a="1"/>
  <c r="E255" i="2" s="1"/>
  <c r="E256" i="2" a="1"/>
  <c r="E256" i="2" s="1"/>
  <c r="E257" i="2" a="1"/>
  <c r="E257" i="2" s="1"/>
  <c r="E258" i="2" a="1"/>
  <c r="E258" i="2" s="1"/>
  <c r="E259" i="2" a="1"/>
  <c r="E259" i="2" s="1"/>
  <c r="E260" i="2" a="1"/>
  <c r="E260" i="2" s="1"/>
  <c r="E261" i="2" a="1"/>
  <c r="E261" i="2" s="1"/>
  <c r="E262" i="2" a="1"/>
  <c r="E262" i="2" s="1"/>
  <c r="E263" i="2" a="1"/>
  <c r="E263" i="2" s="1"/>
  <c r="E264" i="2" a="1"/>
  <c r="E264" i="2" s="1"/>
  <c r="E265" i="2" a="1"/>
  <c r="E265" i="2" s="1"/>
  <c r="E266" i="2" a="1"/>
  <c r="E266" i="2" s="1"/>
  <c r="E267" i="2" a="1"/>
  <c r="E267" i="2" s="1"/>
  <c r="E268" i="2" a="1"/>
  <c r="E268" i="2" s="1"/>
  <c r="E269" i="2" a="1"/>
  <c r="E269" i="2" s="1"/>
  <c r="E270" i="2" a="1"/>
  <c r="E270" i="2" s="1"/>
  <c r="E271" i="2" a="1"/>
  <c r="E271" i="2" s="1"/>
  <c r="E272" i="2" a="1"/>
  <c r="E272" i="2" s="1"/>
  <c r="E273" i="2" a="1"/>
  <c r="E273" i="2" s="1"/>
  <c r="E274" i="2" a="1"/>
  <c r="E274" i="2" s="1"/>
  <c r="E275" i="2" a="1"/>
  <c r="E275" i="2" s="1"/>
  <c r="E276" i="2" a="1"/>
  <c r="E276" i="2" s="1"/>
  <c r="E277" i="2" a="1"/>
  <c r="E277" i="2" s="1"/>
  <c r="E278" i="2" a="1"/>
  <c r="E278" i="2" s="1"/>
  <c r="E279" i="2" a="1"/>
  <c r="E279" i="2" s="1"/>
  <c r="E280" i="2" a="1"/>
  <c r="E280" i="2" s="1"/>
  <c r="E281" i="2" a="1"/>
  <c r="E281" i="2" s="1"/>
  <c r="E282" i="2" a="1"/>
  <c r="E282" i="2" s="1"/>
  <c r="E283" i="2" a="1"/>
  <c r="E283" i="2" s="1"/>
  <c r="E284" i="2" a="1"/>
  <c r="E284" i="2" s="1"/>
  <c r="E285" i="2" a="1"/>
  <c r="E285" i="2" s="1"/>
  <c r="E286" i="2" a="1"/>
  <c r="E286" i="2" s="1"/>
  <c r="E287" i="2" a="1"/>
  <c r="E287" i="2" s="1"/>
  <c r="E288" i="2" a="1"/>
  <c r="E288" i="2" s="1"/>
  <c r="E289" i="2" a="1"/>
  <c r="E289" i="2" s="1"/>
  <c r="E290" i="2" a="1"/>
  <c r="E290" i="2" s="1"/>
  <c r="E291" i="2" a="1"/>
  <c r="E291" i="2" s="1"/>
  <c r="E292" i="2" a="1"/>
  <c r="E292" i="2" s="1"/>
  <c r="E293" i="2" a="1"/>
  <c r="E293" i="2" s="1"/>
  <c r="E294" i="2" a="1"/>
  <c r="E294" i="2" s="1"/>
  <c r="E295" i="2" a="1"/>
  <c r="E295" i="2" s="1"/>
  <c r="E296" i="2" a="1"/>
  <c r="E296" i="2" s="1"/>
  <c r="E297" i="2" a="1"/>
  <c r="E297" i="2" s="1"/>
  <c r="E298" i="2" a="1"/>
  <c r="E298" i="2" s="1"/>
  <c r="E299" i="2" a="1"/>
  <c r="E299" i="2" s="1"/>
  <c r="E300" i="2" a="1"/>
  <c r="E300" i="2" s="1"/>
  <c r="E301" i="2" a="1"/>
  <c r="E301" i="2" s="1"/>
  <c r="E302" i="2" a="1"/>
  <c r="E302" i="2" s="1"/>
  <c r="E303" i="2" a="1"/>
  <c r="E303" i="2" s="1"/>
  <c r="E304" i="2" a="1"/>
  <c r="E304" i="2" s="1"/>
  <c r="E305" i="2" a="1"/>
  <c r="E305" i="2" s="1"/>
  <c r="E306" i="2" a="1"/>
  <c r="E306" i="2" s="1"/>
  <c r="E307" i="2" a="1"/>
  <c r="E307" i="2" s="1"/>
  <c r="E308" i="2" a="1"/>
  <c r="E308" i="2" s="1"/>
  <c r="E309" i="2" a="1"/>
  <c r="E309" i="2" s="1"/>
  <c r="E310" i="2" a="1"/>
  <c r="E310" i="2" s="1"/>
  <c r="E311" i="2" a="1"/>
  <c r="E311" i="2" s="1"/>
  <c r="E312" i="2" a="1"/>
  <c r="E312" i="2" s="1"/>
  <c r="E313" i="2" a="1"/>
  <c r="E313" i="2" s="1"/>
  <c r="E314" i="2" a="1"/>
  <c r="E314" i="2" s="1"/>
  <c r="E315" i="2" a="1"/>
  <c r="E315" i="2" s="1"/>
  <c r="E316" i="2" a="1"/>
  <c r="E316" i="2" s="1"/>
  <c r="E317" i="2" a="1"/>
  <c r="E317" i="2" s="1"/>
  <c r="E318" i="2" a="1"/>
  <c r="E318" i="2" s="1"/>
  <c r="E319" i="2" a="1"/>
  <c r="E319" i="2" s="1"/>
  <c r="E320" i="2" a="1"/>
  <c r="E320" i="2" s="1"/>
  <c r="E321" i="2" a="1"/>
  <c r="E321" i="2" s="1"/>
  <c r="E322" i="2" a="1"/>
  <c r="E322" i="2" s="1"/>
  <c r="E323" i="2" a="1"/>
  <c r="E323" i="2" s="1"/>
  <c r="E324" i="2" a="1"/>
  <c r="E324" i="2" s="1"/>
  <c r="E325" i="2" a="1"/>
  <c r="E325" i="2" s="1"/>
  <c r="E326" i="2" a="1"/>
  <c r="E326" i="2" s="1"/>
  <c r="E327" i="2" a="1"/>
  <c r="E327" i="2" s="1"/>
  <c r="E328" i="2" a="1"/>
  <c r="E328" i="2" s="1"/>
  <c r="E329" i="2" a="1"/>
  <c r="E329" i="2" s="1"/>
  <c r="E330" i="2" a="1"/>
  <c r="E330" i="2" s="1"/>
  <c r="E331" i="2" a="1"/>
  <c r="E331" i="2" s="1"/>
  <c r="E332" i="2" a="1"/>
  <c r="E332" i="2" s="1"/>
  <c r="E333" i="2" a="1"/>
  <c r="E333" i="2" s="1"/>
  <c r="E334" i="2" a="1"/>
  <c r="E334" i="2" s="1"/>
  <c r="E335" i="2" a="1"/>
  <c r="E335" i="2" s="1"/>
  <c r="E336" i="2" a="1"/>
  <c r="E336" i="2" s="1"/>
  <c r="E337" i="2" a="1"/>
  <c r="E337" i="2" s="1"/>
  <c r="E338" i="2" a="1"/>
  <c r="E338" i="2" s="1"/>
  <c r="E339" i="2" a="1"/>
  <c r="E339" i="2" s="1"/>
  <c r="E340" i="2" a="1"/>
  <c r="E340" i="2" s="1"/>
  <c r="E341" i="2" a="1"/>
  <c r="E341" i="2" s="1"/>
  <c r="E342" i="2" a="1"/>
  <c r="E342" i="2" s="1"/>
  <c r="E343" i="2" a="1"/>
  <c r="E343" i="2" s="1"/>
  <c r="E344" i="2" a="1"/>
  <c r="E344" i="2" s="1"/>
  <c r="E345" i="2" a="1"/>
  <c r="E345" i="2" s="1"/>
  <c r="E346" i="2" a="1"/>
  <c r="E346" i="2" s="1"/>
  <c r="E347" i="2" a="1"/>
  <c r="E347" i="2" s="1"/>
  <c r="E348" i="2" a="1"/>
  <c r="E348" i="2" s="1"/>
  <c r="E349" i="2" a="1"/>
  <c r="E349" i="2" s="1"/>
  <c r="E350" i="2" a="1"/>
  <c r="E350" i="2" s="1"/>
  <c r="E351" i="2" a="1"/>
  <c r="E351" i="2" s="1"/>
  <c r="E352" i="2" a="1"/>
  <c r="E352" i="2" s="1"/>
  <c r="E353" i="2" a="1"/>
  <c r="E353" i="2" s="1"/>
  <c r="E354" i="2" a="1"/>
  <c r="E354" i="2" s="1"/>
  <c r="E355" i="2" a="1"/>
  <c r="E355" i="2" s="1"/>
  <c r="E356" i="2" a="1"/>
  <c r="E356" i="2" s="1"/>
  <c r="E357" i="2" a="1"/>
  <c r="E357" i="2" s="1"/>
  <c r="E358" i="2" a="1"/>
  <c r="E358" i="2" s="1"/>
  <c r="E359" i="2" a="1"/>
  <c r="E359" i="2" s="1"/>
  <c r="E360" i="2" a="1"/>
  <c r="E360" i="2" s="1"/>
  <c r="E361" i="2" a="1"/>
  <c r="E361" i="2" s="1"/>
  <c r="E362" i="2" a="1"/>
  <c r="E362" i="2" s="1"/>
  <c r="E363" i="2" a="1"/>
  <c r="E363" i="2" s="1"/>
  <c r="E364" i="2" a="1"/>
  <c r="E364" i="2" s="1"/>
  <c r="E365" i="2" a="1"/>
  <c r="E365" i="2" s="1"/>
  <c r="E366" i="2" a="1"/>
  <c r="E366" i="2" s="1"/>
  <c r="E367" i="2" a="1"/>
  <c r="E367" i="2" s="1"/>
  <c r="E368" i="2" a="1"/>
  <c r="E368" i="2" s="1"/>
  <c r="E369" i="2" a="1"/>
  <c r="E369" i="2" s="1"/>
  <c r="E370" i="2" a="1"/>
  <c r="E370" i="2" s="1"/>
  <c r="E371" i="2" a="1"/>
  <c r="E371" i="2" s="1"/>
  <c r="E372" i="2" a="1"/>
  <c r="E372" i="2" s="1"/>
  <c r="E373" i="2" a="1"/>
  <c r="E373" i="2" s="1"/>
  <c r="E374" i="2" a="1"/>
  <c r="E374" i="2" s="1"/>
  <c r="E375" i="2" a="1"/>
  <c r="E375" i="2" s="1"/>
  <c r="E376" i="2" a="1"/>
  <c r="E376" i="2" s="1"/>
  <c r="E377" i="2" a="1"/>
  <c r="E377" i="2" s="1"/>
  <c r="E378" i="2" a="1"/>
  <c r="E378" i="2" s="1"/>
  <c r="E379" i="2" a="1"/>
  <c r="E379" i="2" s="1"/>
  <c r="E380" i="2" a="1"/>
  <c r="E380" i="2" s="1"/>
  <c r="E381" i="2" a="1"/>
  <c r="E381" i="2" s="1"/>
  <c r="E382" i="2" a="1"/>
  <c r="E382" i="2" s="1"/>
  <c r="E383" i="2" a="1"/>
  <c r="E383" i="2" s="1"/>
  <c r="E384" i="2" a="1"/>
  <c r="E384" i="2" s="1"/>
  <c r="E385" i="2" a="1"/>
  <c r="E385" i="2" s="1"/>
  <c r="E386" i="2" a="1"/>
  <c r="E386" i="2" s="1"/>
  <c r="E387" i="2" a="1"/>
  <c r="E387" i="2" s="1"/>
  <c r="E388" i="2" a="1"/>
  <c r="E388" i="2" s="1"/>
  <c r="E389" i="2" a="1"/>
  <c r="E389" i="2" s="1"/>
  <c r="E390" i="2" a="1"/>
  <c r="E390" i="2" s="1"/>
  <c r="E391" i="2" a="1"/>
  <c r="E391" i="2" s="1"/>
  <c r="E392" i="2" a="1"/>
  <c r="E392" i="2" s="1"/>
  <c r="E393" i="2" a="1"/>
  <c r="E393" i="2" s="1"/>
  <c r="E394" i="2" a="1"/>
  <c r="E394" i="2" s="1"/>
  <c r="E395" i="2" a="1"/>
  <c r="E395" i="2" s="1"/>
  <c r="E396" i="2" a="1"/>
  <c r="E396" i="2" s="1"/>
  <c r="E397" i="2" a="1"/>
  <c r="E397" i="2" s="1"/>
  <c r="E398" i="2" a="1"/>
  <c r="E398" i="2" s="1"/>
  <c r="E399" i="2" a="1"/>
  <c r="E399" i="2" s="1"/>
  <c r="E400" i="2" a="1"/>
  <c r="E400" i="2" s="1"/>
  <c r="E401" i="2" a="1"/>
  <c r="E401" i="2" s="1"/>
  <c r="E402" i="2" a="1"/>
  <c r="E402" i="2" s="1"/>
  <c r="E403" i="2" a="1"/>
  <c r="E403" i="2" s="1"/>
  <c r="E404" i="2" a="1"/>
  <c r="E404" i="2" s="1"/>
  <c r="E405" i="2" a="1"/>
  <c r="E405" i="2" s="1"/>
  <c r="E406" i="2" a="1"/>
  <c r="E406" i="2" s="1"/>
  <c r="E407" i="2" a="1"/>
  <c r="E407" i="2" s="1"/>
  <c r="E408" i="2" a="1"/>
  <c r="E408" i="2" s="1"/>
  <c r="E409" i="2" a="1"/>
  <c r="E409" i="2" s="1"/>
  <c r="E410" i="2" a="1"/>
  <c r="E410" i="2" s="1"/>
  <c r="E411" i="2" a="1"/>
  <c r="E411" i="2" s="1"/>
  <c r="E412" i="2" a="1"/>
  <c r="E412" i="2" s="1"/>
  <c r="E413" i="2" a="1"/>
  <c r="E413" i="2" s="1"/>
  <c r="E414" i="2" a="1"/>
  <c r="E414" i="2" s="1"/>
  <c r="E415" i="2" a="1"/>
  <c r="E415" i="2" s="1"/>
  <c r="E416" i="2" a="1"/>
  <c r="E416" i="2" s="1"/>
  <c r="E417" i="2" a="1"/>
  <c r="E417" i="2" s="1"/>
  <c r="E418" i="2" a="1"/>
  <c r="E418" i="2" s="1"/>
  <c r="E419" i="2" a="1"/>
  <c r="E419" i="2" s="1"/>
  <c r="E420" i="2" a="1"/>
  <c r="E420" i="2" s="1"/>
  <c r="E421" i="2" a="1"/>
  <c r="E421" i="2" s="1"/>
  <c r="E422" i="2" a="1"/>
  <c r="E422" i="2" s="1"/>
  <c r="E423" i="2" a="1"/>
  <c r="E423" i="2" s="1"/>
  <c r="E424" i="2" a="1"/>
  <c r="E424" i="2" s="1"/>
  <c r="E425" i="2" a="1"/>
  <c r="E425" i="2" s="1"/>
  <c r="E426" i="2" a="1"/>
  <c r="E426" i="2" s="1"/>
  <c r="E427" i="2" a="1"/>
  <c r="E427" i="2" s="1"/>
  <c r="E428" i="2" a="1"/>
  <c r="E428" i="2" s="1"/>
  <c r="E429" i="2" a="1"/>
  <c r="E429" i="2" s="1"/>
  <c r="E430" i="2" a="1"/>
  <c r="E430" i="2" s="1"/>
  <c r="E431" i="2" a="1"/>
  <c r="E431" i="2" s="1"/>
  <c r="E432" i="2" a="1"/>
  <c r="E432" i="2" s="1"/>
  <c r="E433" i="2" a="1"/>
  <c r="E433" i="2" s="1"/>
  <c r="E434" i="2" a="1"/>
  <c r="E434" i="2" s="1"/>
  <c r="E435" i="2" a="1"/>
  <c r="E435" i="2" s="1"/>
  <c r="E436" i="2" a="1"/>
  <c r="E436" i="2" s="1"/>
  <c r="E437" i="2" a="1"/>
  <c r="E437" i="2" s="1"/>
  <c r="E438" i="2" a="1"/>
  <c r="E438" i="2" s="1"/>
  <c r="E439" i="2" a="1"/>
  <c r="E439" i="2" s="1"/>
  <c r="E440" i="2" a="1"/>
  <c r="E440" i="2" s="1"/>
  <c r="E441" i="2" a="1"/>
  <c r="E441" i="2" s="1"/>
  <c r="E442" i="2" a="1"/>
  <c r="E442" i="2" s="1"/>
  <c r="E443" i="2" a="1"/>
  <c r="E443" i="2" s="1"/>
  <c r="E444" i="2" a="1"/>
  <c r="E444" i="2" s="1"/>
  <c r="E445" i="2" a="1"/>
  <c r="E445" i="2" s="1"/>
  <c r="E446" i="2" a="1"/>
  <c r="E446" i="2" s="1"/>
  <c r="E447" i="2" a="1"/>
  <c r="E447" i="2" s="1"/>
  <c r="E448" i="2" a="1"/>
  <c r="E448" i="2" s="1"/>
  <c r="E449" i="2" a="1"/>
  <c r="E449" i="2" s="1"/>
  <c r="E450" i="2" a="1"/>
  <c r="E450" i="2" s="1"/>
  <c r="E451" i="2" a="1"/>
  <c r="E451" i="2" s="1"/>
  <c r="E452" i="2" a="1"/>
  <c r="E452" i="2" s="1"/>
  <c r="E453" i="2" a="1"/>
  <c r="E453" i="2" s="1"/>
  <c r="E454" i="2" a="1"/>
  <c r="E454" i="2" s="1"/>
  <c r="E455" i="2" a="1"/>
  <c r="E455" i="2" s="1"/>
  <c r="E456" i="2" a="1"/>
  <c r="E456" i="2" s="1"/>
  <c r="E457" i="2" a="1"/>
  <c r="E457" i="2" s="1"/>
  <c r="E458" i="2" a="1"/>
  <c r="E458" i="2" s="1"/>
  <c r="E459" i="2" a="1"/>
  <c r="E459" i="2" s="1"/>
  <c r="E460" i="2" a="1"/>
  <c r="E460" i="2" s="1"/>
  <c r="E461" i="2" a="1"/>
  <c r="E461" i="2" s="1"/>
  <c r="E462" i="2" a="1"/>
  <c r="E462" i="2" s="1"/>
  <c r="E463" i="2" a="1"/>
  <c r="E463" i="2" s="1"/>
  <c r="E464" i="2" a="1"/>
  <c r="E464" i="2" s="1"/>
  <c r="E465" i="2" a="1"/>
  <c r="E465" i="2" s="1"/>
  <c r="E466" i="2" a="1"/>
  <c r="E466" i="2" s="1"/>
  <c r="E467" i="2" a="1"/>
  <c r="E467" i="2" s="1"/>
  <c r="E468" i="2" a="1"/>
  <c r="E468" i="2" s="1"/>
  <c r="E469" i="2" a="1"/>
  <c r="E469" i="2" s="1"/>
  <c r="E470" i="2" a="1"/>
  <c r="E470" i="2" s="1"/>
  <c r="E471" i="2" a="1"/>
  <c r="E471" i="2" s="1"/>
  <c r="E472" i="2" a="1"/>
  <c r="E472" i="2" s="1"/>
  <c r="E473" i="2" a="1"/>
  <c r="E473" i="2" s="1"/>
  <c r="E474" i="2" a="1"/>
  <c r="E474" i="2" s="1"/>
  <c r="E475" i="2" a="1"/>
  <c r="E475" i="2" s="1"/>
  <c r="E476" i="2" a="1"/>
  <c r="E476" i="2" s="1"/>
  <c r="E477" i="2" a="1"/>
  <c r="E477" i="2" s="1"/>
  <c r="E478" i="2" a="1"/>
  <c r="E478" i="2" s="1"/>
  <c r="E479" i="2" a="1"/>
  <c r="E479" i="2" s="1"/>
  <c r="E480" i="2" a="1"/>
  <c r="E480" i="2" s="1"/>
  <c r="E481" i="2" a="1"/>
  <c r="E481" i="2" s="1"/>
  <c r="E482" i="2" a="1"/>
  <c r="E482" i="2" s="1"/>
  <c r="E483" i="2" a="1"/>
  <c r="E483" i="2" s="1"/>
  <c r="E484" i="2" a="1"/>
  <c r="E484" i="2" s="1"/>
  <c r="E485" i="2" a="1"/>
  <c r="E485" i="2" s="1"/>
  <c r="E486" i="2" a="1"/>
  <c r="E486" i="2" s="1"/>
  <c r="E487" i="2" a="1"/>
  <c r="E487" i="2" s="1"/>
  <c r="E488" i="2" a="1"/>
  <c r="E488" i="2" s="1"/>
  <c r="E489" i="2" a="1"/>
  <c r="E489" i="2" s="1"/>
  <c r="E490" i="2" a="1"/>
  <c r="E490" i="2" s="1"/>
  <c r="E491" i="2" a="1"/>
  <c r="E491" i="2" s="1"/>
  <c r="E492" i="2" a="1"/>
  <c r="E492" i="2" s="1"/>
  <c r="E493" i="2" a="1"/>
  <c r="E493" i="2" s="1"/>
  <c r="E494" i="2" a="1"/>
  <c r="E494" i="2" s="1"/>
  <c r="E495" i="2" a="1"/>
  <c r="E495" i="2" s="1"/>
  <c r="E496" i="2" a="1"/>
  <c r="E496" i="2" s="1"/>
  <c r="E497" i="2" a="1"/>
  <c r="E497" i="2" s="1"/>
  <c r="E498" i="2" a="1"/>
  <c r="E498" i="2" s="1"/>
  <c r="E499" i="2" a="1"/>
  <c r="E499" i="2" s="1"/>
  <c r="E500" i="2" a="1"/>
  <c r="E500" i="2" s="1"/>
  <c r="E501" i="2" a="1"/>
  <c r="E501" i="2" s="1"/>
  <c r="E502" i="2" a="1"/>
  <c r="E502" i="2" s="1"/>
  <c r="E503" i="2" a="1"/>
  <c r="E503" i="2" s="1"/>
  <c r="E504" i="2" a="1"/>
  <c r="E504" i="2" s="1"/>
  <c r="E505" i="2" a="1"/>
  <c r="E505" i="2" s="1"/>
  <c r="E506" i="2" a="1"/>
  <c r="E506" i="2" s="1"/>
  <c r="E507" i="2" a="1"/>
  <c r="E507" i="2" s="1"/>
  <c r="E508" i="2" a="1"/>
  <c r="E508" i="2" s="1"/>
  <c r="E509" i="2" a="1"/>
  <c r="E509" i="2" s="1"/>
  <c r="E510" i="2" a="1"/>
  <c r="E510" i="2" s="1"/>
  <c r="E511" i="2" a="1"/>
  <c r="E511" i="2" s="1"/>
  <c r="E512" i="2" a="1"/>
  <c r="E512" i="2" s="1"/>
  <c r="E513" i="2" a="1"/>
  <c r="E513" i="2" s="1"/>
  <c r="E514" i="2" a="1"/>
  <c r="E514" i="2" s="1"/>
  <c r="E515" i="2" a="1"/>
  <c r="E515" i="2" s="1"/>
  <c r="E516" i="2" a="1"/>
  <c r="E516" i="2" s="1"/>
  <c r="E517" i="2" a="1"/>
  <c r="E517" i="2" s="1"/>
  <c r="E518" i="2" a="1"/>
  <c r="E518" i="2" s="1"/>
  <c r="E519" i="2" a="1"/>
  <c r="E519" i="2" s="1"/>
  <c r="E520" i="2" a="1"/>
  <c r="E520" i="2" s="1"/>
  <c r="E521" i="2" a="1"/>
  <c r="E521" i="2" s="1"/>
  <c r="E522" i="2" a="1"/>
  <c r="E522" i="2" s="1"/>
  <c r="E523" i="2" a="1"/>
  <c r="E523" i="2" s="1"/>
  <c r="E524" i="2" a="1"/>
  <c r="E524" i="2" s="1"/>
  <c r="E525" i="2" a="1"/>
  <c r="E525" i="2" s="1"/>
  <c r="E526" i="2" a="1"/>
  <c r="E526" i="2" s="1"/>
  <c r="E527" i="2" a="1"/>
  <c r="E527" i="2" s="1"/>
  <c r="E528" i="2" a="1"/>
  <c r="E528" i="2" s="1"/>
  <c r="E529" i="2" a="1"/>
  <c r="E529" i="2" s="1"/>
  <c r="E530" i="2" a="1"/>
  <c r="E530" i="2" s="1"/>
  <c r="E531" i="2" a="1"/>
  <c r="E531" i="2" s="1"/>
  <c r="E532" i="2" a="1"/>
  <c r="E532" i="2" s="1"/>
  <c r="E533" i="2" a="1"/>
  <c r="E533" i="2" s="1"/>
  <c r="E534" i="2" a="1"/>
  <c r="E534" i="2" s="1"/>
  <c r="E535" i="2" a="1"/>
  <c r="E535" i="2" s="1"/>
  <c r="E536" i="2" a="1"/>
  <c r="E536" i="2" s="1"/>
  <c r="E537" i="2" a="1"/>
  <c r="E537" i="2" s="1"/>
  <c r="E538" i="2" a="1"/>
  <c r="E538" i="2" s="1"/>
  <c r="E539" i="2" a="1"/>
  <c r="E539" i="2" s="1"/>
  <c r="E540" i="2" a="1"/>
  <c r="E540" i="2" s="1"/>
  <c r="E541" i="2" a="1"/>
  <c r="E541" i="2" s="1"/>
  <c r="E542" i="2" a="1"/>
  <c r="E542" i="2" s="1"/>
  <c r="E543" i="2" a="1"/>
  <c r="E543" i="2" s="1"/>
  <c r="E544" i="2" a="1"/>
  <c r="E544" i="2" s="1"/>
  <c r="E545" i="2" a="1"/>
  <c r="E545" i="2" s="1"/>
  <c r="E546" i="2" a="1"/>
  <c r="E546" i="2" s="1"/>
  <c r="E547" i="2" a="1"/>
  <c r="E547" i="2" s="1"/>
  <c r="E548" i="2" a="1"/>
  <c r="E548" i="2" s="1"/>
  <c r="E549" i="2" a="1"/>
  <c r="E549" i="2" s="1"/>
  <c r="E550" i="2" a="1"/>
  <c r="E550" i="2" s="1"/>
  <c r="E551" i="2" a="1"/>
  <c r="E551" i="2" s="1"/>
  <c r="E552" i="2" a="1"/>
  <c r="E552" i="2" s="1"/>
  <c r="E553" i="2" a="1"/>
  <c r="E553" i="2" s="1"/>
  <c r="E554" i="2" a="1"/>
  <c r="E554" i="2" s="1"/>
  <c r="E555" i="2" a="1"/>
  <c r="E555" i="2" s="1"/>
  <c r="E556" i="2" a="1"/>
  <c r="E556" i="2" s="1"/>
  <c r="E557" i="2" a="1"/>
  <c r="E557" i="2" s="1"/>
  <c r="E558" i="2" a="1"/>
  <c r="E558" i="2" s="1"/>
  <c r="E559" i="2" a="1"/>
  <c r="E559" i="2" s="1"/>
  <c r="E560" i="2" a="1"/>
  <c r="E560" i="2" s="1"/>
  <c r="E561" i="2" a="1"/>
  <c r="E561" i="2" s="1"/>
  <c r="E562" i="2" a="1"/>
  <c r="E562" i="2" s="1"/>
  <c r="E563" i="2" a="1"/>
  <c r="E563" i="2" s="1"/>
  <c r="E564" i="2" a="1"/>
  <c r="E564" i="2" s="1"/>
  <c r="E565" i="2" a="1"/>
  <c r="E565" i="2" s="1"/>
  <c r="E566" i="2" a="1"/>
  <c r="E566" i="2" s="1"/>
  <c r="E567" i="2" a="1"/>
  <c r="E567" i="2" s="1"/>
  <c r="E568" i="2" a="1"/>
  <c r="E568" i="2" s="1"/>
  <c r="E569" i="2" a="1"/>
  <c r="E569" i="2" s="1"/>
  <c r="E570" i="2" a="1"/>
  <c r="E570" i="2" s="1"/>
  <c r="E571" i="2" a="1"/>
  <c r="E571" i="2" s="1"/>
  <c r="E572" i="2" a="1"/>
  <c r="E572" i="2" s="1"/>
  <c r="E573" i="2" a="1"/>
  <c r="E573" i="2" s="1"/>
  <c r="E574" i="2" a="1"/>
  <c r="E574" i="2" s="1"/>
  <c r="E575" i="2" a="1"/>
  <c r="E575" i="2" s="1"/>
  <c r="E576" i="2" a="1"/>
  <c r="E576" i="2" s="1"/>
  <c r="E577" i="2" a="1"/>
  <c r="E577" i="2" s="1"/>
  <c r="E578" i="2" a="1"/>
  <c r="E578" i="2" s="1"/>
  <c r="E579" i="2" a="1"/>
  <c r="E579" i="2" s="1"/>
  <c r="E580" i="2" a="1"/>
  <c r="E580" i="2" s="1"/>
  <c r="E581" i="2" a="1"/>
  <c r="E581" i="2" s="1"/>
  <c r="E582" i="2" a="1"/>
  <c r="E582" i="2" s="1"/>
  <c r="E583" i="2" a="1"/>
  <c r="E583" i="2" s="1"/>
  <c r="E584" i="2" a="1"/>
  <c r="E584" i="2" s="1"/>
  <c r="E585" i="2" a="1"/>
  <c r="E585" i="2" s="1"/>
  <c r="E586" i="2" a="1"/>
  <c r="E586" i="2" s="1"/>
  <c r="E587" i="2" a="1"/>
  <c r="E587" i="2" s="1"/>
  <c r="E588" i="2" a="1"/>
  <c r="E588" i="2" s="1"/>
  <c r="E589" i="2" a="1"/>
  <c r="E589" i="2" s="1"/>
  <c r="E590" i="2" a="1"/>
  <c r="E590" i="2" s="1"/>
  <c r="E591" i="2" a="1"/>
  <c r="E591" i="2" s="1"/>
  <c r="E592" i="2" a="1"/>
  <c r="E592" i="2" s="1"/>
  <c r="E593" i="2" a="1"/>
  <c r="E593" i="2" s="1"/>
  <c r="E594" i="2" a="1"/>
  <c r="E594" i="2" s="1"/>
  <c r="E595" i="2" a="1"/>
  <c r="E595" i="2" s="1"/>
  <c r="E596" i="2" a="1"/>
  <c r="E596" i="2" s="1"/>
  <c r="E597" i="2" a="1"/>
  <c r="E597" i="2" s="1"/>
  <c r="E598" i="2" a="1"/>
  <c r="E598" i="2" s="1"/>
  <c r="E599" i="2" a="1"/>
  <c r="E599" i="2" s="1"/>
  <c r="E600" i="2" a="1"/>
  <c r="E600" i="2" s="1"/>
  <c r="E601" i="2" a="1"/>
  <c r="E601" i="2" s="1"/>
  <c r="E602" i="2" a="1"/>
  <c r="E602" i="2" s="1"/>
  <c r="E603" i="2" a="1"/>
  <c r="E603" i="2" s="1"/>
  <c r="E604" i="2" a="1"/>
  <c r="E604" i="2" s="1"/>
  <c r="E605" i="2" a="1"/>
  <c r="E605" i="2" s="1"/>
  <c r="E606" i="2" a="1"/>
  <c r="E606" i="2" s="1"/>
  <c r="E607" i="2" a="1"/>
  <c r="E607" i="2" s="1"/>
  <c r="E608" i="2" a="1"/>
  <c r="E608" i="2" s="1"/>
  <c r="E609" i="2" a="1"/>
  <c r="E609" i="2" s="1"/>
  <c r="E610" i="2" a="1"/>
  <c r="E610" i="2" s="1"/>
  <c r="E611" i="2" a="1"/>
  <c r="E611" i="2" s="1"/>
  <c r="E612" i="2" a="1"/>
  <c r="E612" i="2" s="1"/>
  <c r="E613" i="2" a="1"/>
  <c r="E613" i="2" s="1"/>
  <c r="E614" i="2" a="1"/>
  <c r="E614" i="2" s="1"/>
  <c r="E615" i="2" a="1"/>
  <c r="E615" i="2" s="1"/>
  <c r="E616" i="2" a="1"/>
  <c r="E616" i="2" s="1"/>
  <c r="E617" i="2" a="1"/>
  <c r="E617" i="2" s="1"/>
  <c r="E618" i="2" a="1"/>
  <c r="E618" i="2" s="1"/>
  <c r="E619" i="2" a="1"/>
  <c r="E619" i="2" s="1"/>
  <c r="E620" i="2" a="1"/>
  <c r="E620" i="2" s="1"/>
  <c r="E621" i="2" a="1"/>
  <c r="E621" i="2" s="1"/>
  <c r="E622" i="2" a="1"/>
  <c r="E622" i="2" s="1"/>
  <c r="E623" i="2" a="1"/>
  <c r="E623" i="2" s="1"/>
  <c r="E624" i="2" a="1"/>
  <c r="E624" i="2" s="1"/>
  <c r="E625" i="2" a="1"/>
  <c r="E625" i="2" s="1"/>
  <c r="E626" i="2" a="1"/>
  <c r="E626" i="2" s="1"/>
  <c r="E627" i="2" a="1"/>
  <c r="E627" i="2" s="1"/>
  <c r="E628" i="2" a="1"/>
  <c r="E628" i="2" s="1"/>
  <c r="E629" i="2" a="1"/>
  <c r="E629" i="2" s="1"/>
  <c r="E630" i="2" a="1"/>
  <c r="E630" i="2" s="1"/>
  <c r="E631" i="2" a="1"/>
  <c r="E631" i="2" s="1"/>
  <c r="E632" i="2" a="1"/>
  <c r="E632" i="2" s="1"/>
  <c r="E633" i="2" a="1"/>
  <c r="E633" i="2" s="1"/>
  <c r="E634" i="2" a="1"/>
  <c r="E634" i="2" s="1"/>
  <c r="E635" i="2" a="1"/>
  <c r="E635" i="2" s="1"/>
  <c r="E636" i="2" a="1"/>
  <c r="E636" i="2" s="1"/>
  <c r="E637" i="2" a="1"/>
  <c r="E637" i="2" s="1"/>
  <c r="E638" i="2" a="1"/>
  <c r="E638" i="2" s="1"/>
  <c r="E639" i="2" a="1"/>
  <c r="E639" i="2" s="1"/>
  <c r="E640" i="2" a="1"/>
  <c r="E640" i="2" s="1"/>
  <c r="E641" i="2" a="1"/>
  <c r="E641" i="2" s="1"/>
  <c r="E642" i="2" a="1"/>
  <c r="E642" i="2" s="1"/>
  <c r="E643" i="2" a="1"/>
  <c r="E643" i="2" s="1"/>
  <c r="E644" i="2" a="1"/>
  <c r="E644" i="2" s="1"/>
  <c r="E645" i="2" a="1"/>
  <c r="E645" i="2" s="1"/>
  <c r="E646" i="2" a="1"/>
  <c r="E646" i="2" s="1"/>
  <c r="E647" i="2" a="1"/>
  <c r="E647" i="2" s="1"/>
  <c r="E648" i="2" a="1"/>
  <c r="E648" i="2" s="1"/>
  <c r="E649" i="2" a="1"/>
  <c r="E649" i="2" s="1"/>
  <c r="E650" i="2" a="1"/>
  <c r="E650" i="2" s="1"/>
  <c r="E651" i="2" a="1"/>
  <c r="E651" i="2" s="1"/>
  <c r="E652" i="2" a="1"/>
  <c r="E652" i="2" s="1"/>
  <c r="E653" i="2" a="1"/>
  <c r="E653" i="2" s="1"/>
  <c r="E654" i="2" a="1"/>
  <c r="E654" i="2" s="1"/>
  <c r="E655" i="2" a="1"/>
  <c r="E655" i="2" s="1"/>
  <c r="E656" i="2" a="1"/>
  <c r="E656" i="2" s="1"/>
  <c r="E657" i="2" a="1"/>
  <c r="E657" i="2" s="1"/>
  <c r="E658" i="2" a="1"/>
  <c r="E658" i="2" s="1"/>
  <c r="E659" i="2" a="1"/>
  <c r="E659" i="2" s="1"/>
  <c r="E660" i="2" a="1"/>
  <c r="E660" i="2" s="1"/>
  <c r="E661" i="2" a="1"/>
  <c r="E661" i="2" s="1"/>
  <c r="E662" i="2" a="1"/>
  <c r="E662" i="2" s="1"/>
  <c r="E663" i="2" a="1"/>
  <c r="E663" i="2" s="1"/>
  <c r="E664" i="2" a="1"/>
  <c r="E664" i="2" s="1"/>
  <c r="E665" i="2" a="1"/>
  <c r="E665" i="2" s="1"/>
  <c r="E666" i="2" a="1"/>
  <c r="E666" i="2" s="1"/>
  <c r="E667" i="2" a="1"/>
  <c r="E667" i="2" s="1"/>
  <c r="E668" i="2" a="1"/>
  <c r="E668" i="2" s="1"/>
  <c r="E669" i="2" a="1"/>
  <c r="E669" i="2" s="1"/>
  <c r="E670" i="2" a="1"/>
  <c r="E670" i="2" s="1"/>
  <c r="E671" i="2" a="1"/>
  <c r="E671" i="2" s="1"/>
  <c r="E672" i="2" a="1"/>
  <c r="E672" i="2" s="1"/>
  <c r="E673" i="2" a="1"/>
  <c r="E673" i="2" s="1"/>
  <c r="E674" i="2" a="1"/>
  <c r="E674" i="2" s="1"/>
  <c r="E675" i="2" a="1"/>
  <c r="E675" i="2" s="1"/>
  <c r="E676" i="2" a="1"/>
  <c r="E676" i="2" s="1"/>
  <c r="E677" i="2" a="1"/>
  <c r="E677" i="2" s="1"/>
  <c r="E678" i="2" a="1"/>
  <c r="E678" i="2" s="1"/>
  <c r="E679" i="2" a="1"/>
  <c r="E679" i="2" s="1"/>
  <c r="E680" i="2" a="1"/>
  <c r="E680" i="2" s="1"/>
  <c r="E681" i="2" a="1"/>
  <c r="E681" i="2" s="1"/>
  <c r="E682" i="2" a="1"/>
  <c r="E682" i="2" s="1"/>
  <c r="E683" i="2" a="1"/>
  <c r="E683" i="2" s="1"/>
  <c r="E684" i="2" a="1"/>
  <c r="E684" i="2" s="1"/>
  <c r="E685" i="2" a="1"/>
  <c r="E685" i="2" s="1"/>
  <c r="E686" i="2" a="1"/>
  <c r="E686" i="2" s="1"/>
  <c r="E687" i="2" a="1"/>
  <c r="E687" i="2" s="1"/>
  <c r="E688" i="2" a="1"/>
  <c r="E688" i="2" s="1"/>
  <c r="E689" i="2" a="1"/>
  <c r="E689" i="2" s="1"/>
  <c r="E690" i="2" a="1"/>
  <c r="E690" i="2" s="1"/>
  <c r="E691" i="2" a="1"/>
  <c r="E691" i="2" s="1"/>
  <c r="E692" i="2" a="1"/>
  <c r="E692" i="2" s="1"/>
  <c r="E693" i="2" a="1"/>
  <c r="E693" i="2" s="1"/>
  <c r="E694" i="2" a="1"/>
  <c r="E694" i="2" s="1"/>
  <c r="E695" i="2" a="1"/>
  <c r="E695" i="2" s="1"/>
  <c r="E696" i="2" a="1"/>
  <c r="E696" i="2" s="1"/>
  <c r="E697" i="2" a="1"/>
  <c r="E697" i="2" s="1"/>
  <c r="E698" i="2" a="1"/>
  <c r="E698" i="2" s="1"/>
  <c r="E699" i="2" a="1"/>
  <c r="E699" i="2" s="1"/>
  <c r="E700" i="2" a="1"/>
  <c r="E700" i="2" s="1"/>
  <c r="E701" i="2" a="1"/>
  <c r="E701" i="2" s="1"/>
  <c r="E702" i="2" a="1"/>
  <c r="E702" i="2" s="1"/>
  <c r="E703" i="2" a="1"/>
  <c r="E703" i="2" s="1"/>
  <c r="E704" i="2" a="1"/>
  <c r="E704" i="2" s="1"/>
  <c r="E705" i="2" a="1"/>
  <c r="E705" i="2" s="1"/>
  <c r="E706" i="2" a="1"/>
  <c r="E706" i="2" s="1"/>
  <c r="E707" i="2" a="1"/>
  <c r="E707" i="2" s="1"/>
  <c r="E708" i="2" a="1"/>
  <c r="E708" i="2" s="1"/>
  <c r="E709" i="2" a="1"/>
  <c r="E709" i="2" s="1"/>
  <c r="E710" i="2" a="1"/>
  <c r="E710" i="2" s="1"/>
  <c r="E711" i="2" a="1"/>
  <c r="E711" i="2" s="1"/>
  <c r="E712" i="2" a="1"/>
  <c r="E712" i="2" s="1"/>
  <c r="E713" i="2" a="1"/>
  <c r="E713" i="2" s="1"/>
  <c r="E714" i="2" a="1"/>
  <c r="E714" i="2" s="1"/>
  <c r="E715" i="2" a="1"/>
  <c r="E715" i="2" s="1"/>
  <c r="E716" i="2" a="1"/>
  <c r="E716" i="2" s="1"/>
  <c r="E717" i="2" a="1"/>
  <c r="E717" i="2" s="1"/>
  <c r="E718" i="2" a="1"/>
  <c r="E718" i="2" s="1"/>
  <c r="E719" i="2" a="1"/>
  <c r="E719" i="2" s="1"/>
  <c r="E720" i="2" a="1"/>
  <c r="E720" i="2" s="1"/>
  <c r="E721" i="2" a="1"/>
  <c r="E721" i="2" s="1"/>
  <c r="E722" i="2" a="1"/>
  <c r="E722" i="2" s="1"/>
  <c r="E723" i="2" a="1"/>
  <c r="E723" i="2" s="1"/>
  <c r="E724" i="2" a="1"/>
  <c r="E724" i="2" s="1"/>
  <c r="E725" i="2" a="1"/>
  <c r="E725" i="2"/>
  <c r="E726" i="2" a="1"/>
  <c r="E726" i="2" s="1"/>
  <c r="E727" i="2" a="1"/>
  <c r="E727" i="2" s="1"/>
  <c r="E728" i="2" a="1"/>
  <c r="E728" i="2" s="1"/>
  <c r="E729" i="2" a="1"/>
  <c r="E729" i="2" s="1"/>
  <c r="E730" i="2" a="1"/>
  <c r="E730" i="2" s="1"/>
  <c r="E731" i="2" a="1"/>
  <c r="E731" i="2" s="1"/>
  <c r="E732" i="2" a="1"/>
  <c r="E732" i="2" s="1"/>
  <c r="E733" i="2" a="1"/>
  <c r="E733" i="2" s="1"/>
  <c r="E734" i="2" a="1"/>
  <c r="E734" i="2" s="1"/>
  <c r="E735" i="2" a="1"/>
  <c r="E735" i="2" s="1"/>
  <c r="E736" i="2" a="1"/>
  <c r="E736" i="2" s="1"/>
  <c r="E737" i="2" a="1"/>
  <c r="E737" i="2" s="1"/>
  <c r="E738" i="2" a="1"/>
  <c r="E738" i="2" s="1"/>
  <c r="E739" i="2" a="1"/>
  <c r="E739" i="2" s="1"/>
  <c r="E740" i="2" a="1"/>
  <c r="E740" i="2" s="1"/>
  <c r="E741" i="2" a="1"/>
  <c r="E741" i="2" s="1"/>
  <c r="E742" i="2" a="1"/>
  <c r="E742" i="2" s="1"/>
  <c r="E743" i="2" a="1"/>
  <c r="E743" i="2" s="1"/>
  <c r="E744" i="2" a="1"/>
  <c r="E744" i="2" s="1"/>
  <c r="E745" i="2" a="1"/>
  <c r="E745" i="2" s="1"/>
  <c r="E746" i="2" a="1"/>
  <c r="E746" i="2" s="1"/>
  <c r="E747" i="2" a="1"/>
  <c r="E747" i="2" s="1"/>
  <c r="E748" i="2" a="1"/>
  <c r="E748" i="2" s="1"/>
  <c r="E749" i="2" a="1"/>
  <c r="E749" i="2" s="1"/>
  <c r="E750" i="2" a="1"/>
  <c r="E750" i="2" s="1"/>
  <c r="E751" i="2" a="1"/>
  <c r="E751" i="2" s="1"/>
  <c r="E752" i="2" a="1"/>
  <c r="E752" i="2" s="1"/>
  <c r="E753" i="2" a="1"/>
  <c r="E753" i="2" s="1"/>
  <c r="E754" i="2" a="1"/>
  <c r="E754" i="2" s="1"/>
  <c r="E755" i="2" a="1"/>
  <c r="E755" i="2" s="1"/>
  <c r="E756" i="2" a="1"/>
  <c r="E756" i="2" s="1"/>
  <c r="E757" i="2" a="1"/>
  <c r="E757" i="2" s="1"/>
  <c r="E758" i="2" a="1"/>
  <c r="E758" i="2" s="1"/>
  <c r="E759" i="2" a="1"/>
  <c r="E759" i="2" s="1"/>
  <c r="E760" i="2" a="1"/>
  <c r="E760" i="2" s="1"/>
  <c r="E761" i="2" a="1"/>
  <c r="E761" i="2" s="1"/>
  <c r="E762" i="2" a="1"/>
  <c r="E762" i="2" s="1"/>
  <c r="E763" i="2" a="1"/>
  <c r="E763" i="2" s="1"/>
  <c r="E764" i="2" a="1"/>
  <c r="E764" i="2" s="1"/>
  <c r="E765" i="2" a="1"/>
  <c r="E765" i="2" s="1"/>
  <c r="E766" i="2" a="1"/>
  <c r="E766" i="2" s="1"/>
  <c r="E767" i="2" a="1"/>
  <c r="E767" i="2" s="1"/>
  <c r="E768" i="2" a="1"/>
  <c r="E768" i="2" s="1"/>
  <c r="E769" i="2" a="1"/>
  <c r="E769" i="2" s="1"/>
  <c r="E770" i="2" a="1"/>
  <c r="E770" i="2" s="1"/>
  <c r="E771" i="2" a="1"/>
  <c r="E771" i="2" s="1"/>
  <c r="E772" i="2" a="1"/>
  <c r="E772" i="2" s="1"/>
  <c r="E773" i="2" a="1"/>
  <c r="E773" i="2" s="1"/>
  <c r="E774" i="2" a="1"/>
  <c r="E774" i="2" s="1"/>
  <c r="E775" i="2" a="1"/>
  <c r="E775" i="2" s="1"/>
  <c r="E776" i="2" a="1"/>
  <c r="E776" i="2" s="1"/>
  <c r="E777" i="2" a="1"/>
  <c r="E777" i="2" s="1"/>
  <c r="E778" i="2" a="1"/>
  <c r="E778" i="2" s="1"/>
  <c r="E779" i="2" a="1"/>
  <c r="E779" i="2" s="1"/>
  <c r="E780" i="2" a="1"/>
  <c r="E780" i="2" s="1"/>
  <c r="E781" i="2" a="1"/>
  <c r="E781" i="2" s="1"/>
  <c r="E782" i="2" a="1"/>
  <c r="E782" i="2" s="1"/>
  <c r="E783" i="2" a="1"/>
  <c r="E783" i="2" s="1"/>
  <c r="E784" i="2" a="1"/>
  <c r="E784" i="2" s="1"/>
  <c r="E785" i="2" a="1"/>
  <c r="E785" i="2" s="1"/>
  <c r="E786" i="2" a="1"/>
  <c r="E786" i="2" s="1"/>
  <c r="E787" i="2" a="1"/>
  <c r="E787" i="2" s="1"/>
  <c r="E788" i="2" a="1"/>
  <c r="E788" i="2" s="1"/>
  <c r="E789" i="2" a="1"/>
  <c r="E789" i="2" s="1"/>
  <c r="E790" i="2" a="1"/>
  <c r="E790" i="2" s="1"/>
  <c r="E791" i="2" a="1"/>
  <c r="E791" i="2" s="1"/>
  <c r="E792" i="2" a="1"/>
  <c r="E792" i="2" s="1"/>
  <c r="E793" i="2" a="1"/>
  <c r="E793" i="2" s="1"/>
  <c r="E794" i="2" a="1"/>
  <c r="E794" i="2" s="1"/>
  <c r="E795" i="2" a="1"/>
  <c r="E795" i="2" s="1"/>
  <c r="E796" i="2" a="1"/>
  <c r="E796" i="2" s="1"/>
  <c r="E797" i="2" a="1"/>
  <c r="E797" i="2" s="1"/>
  <c r="E798" i="2" a="1"/>
  <c r="E798" i="2" s="1"/>
  <c r="E799" i="2" a="1"/>
  <c r="E799" i="2" s="1"/>
  <c r="E800" i="2" a="1"/>
  <c r="E800" i="2" s="1"/>
  <c r="E801" i="2" a="1"/>
  <c r="E801" i="2" s="1"/>
  <c r="E802" i="2" a="1"/>
  <c r="E802" i="2" s="1"/>
  <c r="E803" i="2" a="1"/>
  <c r="E803" i="2" s="1"/>
  <c r="E804" i="2" a="1"/>
  <c r="E804" i="2" s="1"/>
  <c r="E805" i="2" a="1"/>
  <c r="E805" i="2" s="1"/>
  <c r="E806" i="2" a="1"/>
  <c r="E806" i="2" s="1"/>
  <c r="E807" i="2" a="1"/>
  <c r="E807" i="2" s="1"/>
  <c r="E808" i="2" a="1"/>
  <c r="E808" i="2" s="1"/>
  <c r="E809" i="2" a="1"/>
  <c r="E809" i="2" s="1"/>
  <c r="E810" i="2" a="1"/>
  <c r="E810" i="2" s="1"/>
  <c r="E811" i="2" a="1"/>
  <c r="E811" i="2" s="1"/>
  <c r="E812" i="2" a="1"/>
  <c r="E812" i="2" s="1"/>
  <c r="E813" i="2" a="1"/>
  <c r="E813" i="2" s="1"/>
  <c r="E814" i="2" a="1"/>
  <c r="E814" i="2" s="1"/>
  <c r="E815" i="2" a="1"/>
  <c r="E815" i="2" s="1"/>
  <c r="E816" i="2" a="1"/>
  <c r="E816" i="2" s="1"/>
  <c r="E817" i="2" a="1"/>
  <c r="E817" i="2" s="1"/>
  <c r="E818" i="2" a="1"/>
  <c r="E818" i="2" s="1"/>
  <c r="E819" i="2" a="1"/>
  <c r="E819" i="2" s="1"/>
  <c r="E820" i="2" a="1"/>
  <c r="E820" i="2" s="1"/>
  <c r="E821" i="2" a="1"/>
  <c r="E821" i="2" s="1"/>
  <c r="E822" i="2" a="1"/>
  <c r="E822" i="2" s="1"/>
  <c r="E823" i="2" a="1"/>
  <c r="E823" i="2" s="1"/>
  <c r="E824" i="2" a="1"/>
  <c r="E824" i="2" s="1"/>
  <c r="E825" i="2" a="1"/>
  <c r="E825" i="2" s="1"/>
  <c r="E826" i="2" a="1"/>
  <c r="E826" i="2" s="1"/>
  <c r="E827" i="2" a="1"/>
  <c r="E827" i="2" s="1"/>
  <c r="E828" i="2" a="1"/>
  <c r="E828" i="2" s="1"/>
  <c r="E829" i="2" a="1"/>
  <c r="E829" i="2" s="1"/>
  <c r="E830" i="2" a="1"/>
  <c r="E830" i="2" s="1"/>
  <c r="E831" i="2" a="1"/>
  <c r="E831" i="2" s="1"/>
  <c r="E832" i="2" a="1"/>
  <c r="E832" i="2" s="1"/>
  <c r="E833" i="2" a="1"/>
  <c r="E833" i="2" s="1"/>
  <c r="E834" i="2" a="1"/>
  <c r="E834" i="2" s="1"/>
  <c r="E835" i="2" a="1"/>
  <c r="E835" i="2" s="1"/>
  <c r="E836" i="2" a="1"/>
  <c r="E836" i="2" s="1"/>
  <c r="E837" i="2" a="1"/>
  <c r="E837" i="2" s="1"/>
  <c r="E838" i="2" a="1"/>
  <c r="E838" i="2" s="1"/>
  <c r="E839" i="2" a="1"/>
  <c r="E839" i="2" s="1"/>
  <c r="E840" i="2" a="1"/>
  <c r="E840" i="2" s="1"/>
  <c r="E841" i="2" a="1"/>
  <c r="E841" i="2" s="1"/>
  <c r="E842" i="2" a="1"/>
  <c r="E842" i="2" s="1"/>
  <c r="E843" i="2" a="1"/>
  <c r="E843" i="2" s="1"/>
  <c r="E844" i="2" a="1"/>
  <c r="E844" i="2" s="1"/>
  <c r="E845" i="2" a="1"/>
  <c r="E845" i="2" s="1"/>
  <c r="E846" i="2" a="1"/>
  <c r="E846" i="2" s="1"/>
  <c r="E847" i="2" a="1"/>
  <c r="E847" i="2" s="1"/>
  <c r="E848" i="2" a="1"/>
  <c r="E848" i="2" s="1"/>
  <c r="E849" i="2" a="1"/>
  <c r="E849" i="2" s="1"/>
  <c r="E850" i="2" a="1"/>
  <c r="E850" i="2" s="1"/>
  <c r="E851" i="2" a="1"/>
  <c r="E851" i="2" s="1"/>
  <c r="E852" i="2" a="1"/>
  <c r="E852" i="2" s="1"/>
  <c r="E853" i="2" a="1"/>
  <c r="E853" i="2" s="1"/>
  <c r="E854" i="2" a="1"/>
  <c r="E854" i="2" s="1"/>
  <c r="E855" i="2" a="1"/>
  <c r="E855" i="2" s="1"/>
  <c r="E856" i="2" a="1"/>
  <c r="E856" i="2" s="1"/>
  <c r="E857" i="2" a="1"/>
  <c r="E857" i="2" s="1"/>
  <c r="E858" i="2" a="1"/>
  <c r="E858" i="2" s="1"/>
  <c r="E859" i="2" a="1"/>
  <c r="E859" i="2" s="1"/>
  <c r="E860" i="2" a="1"/>
  <c r="E860" i="2" s="1"/>
  <c r="E861" i="2" a="1"/>
  <c r="E861" i="2" s="1"/>
  <c r="E862" i="2" a="1"/>
  <c r="E862" i="2" s="1"/>
  <c r="E863" i="2" a="1"/>
  <c r="E863" i="2" s="1"/>
  <c r="E864" i="2" a="1"/>
  <c r="E864" i="2" s="1"/>
  <c r="E865" i="2" a="1"/>
  <c r="E865" i="2" s="1"/>
  <c r="E866" i="2" a="1"/>
  <c r="E866" i="2" s="1"/>
  <c r="E867" i="2" a="1"/>
  <c r="E867" i="2" s="1"/>
  <c r="E868" i="2" a="1"/>
  <c r="E868" i="2" s="1"/>
  <c r="E869" i="2" a="1"/>
  <c r="E869" i="2" s="1"/>
  <c r="E870" i="2" a="1"/>
  <c r="E870" i="2" s="1"/>
  <c r="E871" i="2" a="1"/>
  <c r="E871" i="2" s="1"/>
  <c r="E872" i="2" a="1"/>
  <c r="E872" i="2" s="1"/>
  <c r="E873" i="2" a="1"/>
  <c r="E873" i="2" s="1"/>
  <c r="E874" i="2" a="1"/>
  <c r="E874" i="2" s="1"/>
  <c r="E875" i="2" a="1"/>
  <c r="E875" i="2" s="1"/>
  <c r="E876" i="2" a="1"/>
  <c r="E876" i="2" s="1"/>
  <c r="E877" i="2" a="1"/>
  <c r="E877" i="2" s="1"/>
  <c r="E878" i="2" a="1"/>
  <c r="E878" i="2" s="1"/>
  <c r="E879" i="2" a="1"/>
  <c r="E879" i="2" s="1"/>
  <c r="E880" i="2" a="1"/>
  <c r="E880" i="2" s="1"/>
  <c r="E881" i="2" a="1"/>
  <c r="E881" i="2" s="1"/>
  <c r="E882" i="2" a="1"/>
  <c r="E882" i="2" s="1"/>
  <c r="E883" i="2" a="1"/>
  <c r="E883" i="2" s="1"/>
  <c r="E884" i="2" a="1"/>
  <c r="E884" i="2" s="1"/>
  <c r="E885" i="2" a="1"/>
  <c r="E885" i="2" s="1"/>
  <c r="E886" i="2" a="1"/>
  <c r="E886" i="2" s="1"/>
  <c r="E887" i="2" a="1"/>
  <c r="E887" i="2" s="1"/>
  <c r="E888" i="2" a="1"/>
  <c r="E888" i="2" s="1"/>
  <c r="E889" i="2" a="1"/>
  <c r="E889" i="2" s="1"/>
  <c r="E890" i="2" a="1"/>
  <c r="E890" i="2" s="1"/>
  <c r="E891" i="2" a="1"/>
  <c r="E891" i="2" s="1"/>
  <c r="E892" i="2" a="1"/>
  <c r="E892" i="2" s="1"/>
  <c r="E893" i="2" a="1"/>
  <c r="E893" i="2" s="1"/>
  <c r="E894" i="2" a="1"/>
  <c r="E894" i="2" s="1"/>
  <c r="E895" i="2" a="1"/>
  <c r="E895" i="2" s="1"/>
  <c r="E896" i="2" a="1"/>
  <c r="E896" i="2" s="1"/>
  <c r="E897" i="2" a="1"/>
  <c r="E897" i="2" s="1"/>
  <c r="E898" i="2" a="1"/>
  <c r="E898" i="2" s="1"/>
  <c r="E899" i="2" a="1"/>
  <c r="E899" i="2" s="1"/>
  <c r="E900" i="2" a="1"/>
  <c r="E900" i="2" s="1"/>
  <c r="E901" i="2" a="1"/>
  <c r="E901" i="2" s="1"/>
  <c r="E902" i="2" a="1"/>
  <c r="E902" i="2" s="1"/>
  <c r="E903" i="2" a="1"/>
  <c r="E903" i="2" s="1"/>
  <c r="E904" i="2" a="1"/>
  <c r="E904" i="2" s="1"/>
  <c r="E905" i="2" a="1"/>
  <c r="E905" i="2" s="1"/>
  <c r="E906" i="2" a="1"/>
  <c r="E906" i="2" s="1"/>
  <c r="E907" i="2" a="1"/>
  <c r="E907" i="2" s="1"/>
  <c r="E908" i="2" a="1"/>
  <c r="E908" i="2" s="1"/>
  <c r="E909" i="2" a="1"/>
  <c r="E909" i="2" s="1"/>
  <c r="E910" i="2" a="1"/>
  <c r="E910" i="2" s="1"/>
  <c r="E911" i="2" a="1"/>
  <c r="E911" i="2" s="1"/>
  <c r="E912" i="2" a="1"/>
  <c r="E912" i="2" s="1"/>
  <c r="E913" i="2" a="1"/>
  <c r="E913" i="2" s="1"/>
  <c r="E914" i="2" a="1"/>
  <c r="E914" i="2" s="1"/>
  <c r="E915" i="2" a="1"/>
  <c r="E915" i="2" s="1"/>
  <c r="E916" i="2" a="1"/>
  <c r="E916" i="2" s="1"/>
  <c r="E917" i="2" a="1"/>
  <c r="E917" i="2" s="1"/>
  <c r="E918" i="2" a="1"/>
  <c r="E918" i="2" s="1"/>
  <c r="E919" i="2" a="1"/>
  <c r="E919" i="2" s="1"/>
  <c r="E920" i="2" a="1"/>
  <c r="E920" i="2" s="1"/>
  <c r="E921" i="2" a="1"/>
  <c r="E921" i="2" s="1"/>
  <c r="E922" i="2" a="1"/>
  <c r="E922" i="2" s="1"/>
  <c r="E923" i="2" a="1"/>
  <c r="E923" i="2" s="1"/>
  <c r="E924" i="2" a="1"/>
  <c r="E924" i="2" s="1"/>
  <c r="E925" i="2" a="1"/>
  <c r="E925" i="2" s="1"/>
  <c r="E926" i="2" a="1"/>
  <c r="E926" i="2" s="1"/>
  <c r="E927" i="2" a="1"/>
  <c r="E927" i="2" s="1"/>
  <c r="E928" i="2" a="1"/>
  <c r="E928" i="2" s="1"/>
  <c r="E929" i="2" a="1"/>
  <c r="E929" i="2" s="1"/>
  <c r="E930" i="2" a="1"/>
  <c r="E930" i="2" s="1"/>
  <c r="E931" i="2" a="1"/>
  <c r="E931" i="2" s="1"/>
  <c r="E932" i="2" a="1"/>
  <c r="E932" i="2" s="1"/>
  <c r="E933" i="2" a="1"/>
  <c r="E933" i="2" s="1"/>
  <c r="E934" i="2" a="1"/>
  <c r="E934" i="2" s="1"/>
  <c r="E935" i="2" a="1"/>
  <c r="E935" i="2" s="1"/>
  <c r="E936" i="2" a="1"/>
  <c r="E936" i="2" s="1"/>
  <c r="E937" i="2" a="1"/>
  <c r="E937" i="2" s="1"/>
  <c r="E938" i="2" a="1"/>
  <c r="E938" i="2" s="1"/>
  <c r="E939" i="2" a="1"/>
  <c r="E939" i="2" s="1"/>
  <c r="E940" i="2" a="1"/>
  <c r="E940" i="2" s="1"/>
  <c r="E941" i="2" a="1"/>
  <c r="E941" i="2" s="1"/>
  <c r="E942" i="2" a="1"/>
  <c r="E942" i="2" s="1"/>
  <c r="E943" i="2" a="1"/>
  <c r="E943" i="2" s="1"/>
  <c r="E944" i="2" a="1"/>
  <c r="E944" i="2" s="1"/>
  <c r="E945" i="2" a="1"/>
  <c r="E945" i="2" s="1"/>
  <c r="E946" i="2" a="1"/>
  <c r="E946" i="2" s="1"/>
  <c r="E947" i="2" a="1"/>
  <c r="E947" i="2" s="1"/>
  <c r="E948" i="2" a="1"/>
  <c r="E948" i="2" s="1"/>
  <c r="E949" i="2" a="1"/>
  <c r="E949" i="2" s="1"/>
  <c r="E950" i="2" a="1"/>
  <c r="E950" i="2" s="1"/>
  <c r="E951" i="2" a="1"/>
  <c r="E951" i="2" s="1"/>
  <c r="E952" i="2" a="1"/>
  <c r="E952" i="2" s="1"/>
  <c r="E953" i="2" a="1"/>
  <c r="E953" i="2" s="1"/>
  <c r="E954" i="2" a="1"/>
  <c r="E954" i="2" s="1"/>
  <c r="E955" i="2" a="1"/>
  <c r="E955" i="2" s="1"/>
  <c r="E956" i="2" a="1"/>
  <c r="E956" i="2" s="1"/>
  <c r="E957" i="2" a="1"/>
  <c r="E957" i="2" s="1"/>
  <c r="E958" i="2" a="1"/>
  <c r="E958" i="2" s="1"/>
  <c r="E959" i="2" a="1"/>
  <c r="E959" i="2" s="1"/>
  <c r="E960" i="2" a="1"/>
  <c r="E960" i="2" s="1"/>
  <c r="E961" i="2" a="1"/>
  <c r="E961" i="2" s="1"/>
  <c r="E962" i="2" a="1"/>
  <c r="E962" i="2" s="1"/>
  <c r="E963" i="2" a="1"/>
  <c r="E963" i="2" s="1"/>
  <c r="E964" i="2" a="1"/>
  <c r="E964" i="2" s="1"/>
  <c r="E965" i="2" a="1"/>
  <c r="E965" i="2" s="1"/>
  <c r="E966" i="2" a="1"/>
  <c r="E966" i="2" s="1"/>
  <c r="E967" i="2" a="1"/>
  <c r="E967" i="2" s="1"/>
  <c r="E968" i="2" a="1"/>
  <c r="E968" i="2" s="1"/>
  <c r="E969" i="2" a="1"/>
  <c r="E969" i="2" s="1"/>
  <c r="E970" i="2" a="1"/>
  <c r="E970" i="2" s="1"/>
  <c r="E971" i="2" a="1"/>
  <c r="E971" i="2" s="1"/>
  <c r="E972" i="2" a="1"/>
  <c r="E972" i="2" s="1"/>
  <c r="E973" i="2" a="1"/>
  <c r="E973" i="2" s="1"/>
  <c r="E974" i="2" a="1"/>
  <c r="E974" i="2" s="1"/>
  <c r="E975" i="2" a="1"/>
  <c r="E975" i="2" s="1"/>
  <c r="E976" i="2" a="1"/>
  <c r="E976" i="2" s="1"/>
  <c r="E977" i="2" a="1"/>
  <c r="E977" i="2" s="1"/>
  <c r="E978" i="2" a="1"/>
  <c r="E978" i="2" s="1"/>
  <c r="E979" i="2" a="1"/>
  <c r="E979" i="2" s="1"/>
  <c r="E980" i="2" a="1"/>
  <c r="E980" i="2" s="1"/>
  <c r="E981" i="2" a="1"/>
  <c r="E981" i="2" s="1"/>
  <c r="E982" i="2" a="1"/>
  <c r="E982" i="2" s="1"/>
  <c r="E983" i="2" a="1"/>
  <c r="E983" i="2" s="1"/>
  <c r="E984" i="2" a="1"/>
  <c r="E984" i="2" s="1"/>
  <c r="E985" i="2" a="1"/>
  <c r="E985" i="2" s="1"/>
  <c r="E986" i="2" a="1"/>
  <c r="E986" i="2" s="1"/>
  <c r="E987" i="2" a="1"/>
  <c r="E987" i="2" s="1"/>
  <c r="E988" i="2" a="1"/>
  <c r="E988" i="2" s="1"/>
  <c r="E989" i="2" a="1"/>
  <c r="E989" i="2" s="1"/>
  <c r="E990" i="2" a="1"/>
  <c r="E990" i="2" s="1"/>
  <c r="E991" i="2" a="1"/>
  <c r="E991" i="2" s="1"/>
  <c r="E992" i="2" a="1"/>
  <c r="E992" i="2" s="1"/>
  <c r="E993" i="2" a="1"/>
  <c r="E993" i="2" s="1"/>
  <c r="E994" i="2" a="1"/>
  <c r="E994" i="2" s="1"/>
  <c r="E995" i="2" a="1"/>
  <c r="E995" i="2" s="1"/>
  <c r="E996" i="2" a="1"/>
  <c r="E996" i="2" s="1"/>
  <c r="E997" i="2" a="1"/>
  <c r="E997" i="2" s="1"/>
  <c r="E998" i="2" a="1"/>
  <c r="E998" i="2" s="1"/>
  <c r="E999" i="2" a="1"/>
  <c r="E999" i="2" s="1"/>
  <c r="E1000" i="2" a="1"/>
  <c r="E1000" i="2" s="1"/>
  <c r="E1001" i="2" a="1"/>
  <c r="E1001" i="2" s="1"/>
  <c r="E2" i="2" a="1"/>
  <c r="E2" i="2" s="1"/>
  <c r="N3" i="2" a="1"/>
  <c r="N3" i="2" s="1"/>
  <c r="N4" i="2" a="1"/>
  <c r="N4" i="2" s="1"/>
  <c r="N5" i="2" a="1"/>
  <c r="N5" i="2" s="1"/>
  <c r="N6" i="2" a="1"/>
  <c r="N6" i="2" s="1"/>
  <c r="N7" i="2" a="1"/>
  <c r="N7" i="2" s="1"/>
  <c r="N8" i="2" a="1"/>
  <c r="N8" i="2" s="1"/>
  <c r="N9" i="2" a="1"/>
  <c r="N9" i="2" s="1"/>
  <c r="N10" i="2" a="1"/>
  <c r="N10" i="2" s="1"/>
  <c r="N11" i="2" a="1"/>
  <c r="N11" i="2" s="1"/>
  <c r="N12" i="2" a="1"/>
  <c r="N12" i="2" s="1"/>
  <c r="N13" i="2" a="1"/>
  <c r="N13" i="2" s="1"/>
  <c r="N14" i="2" a="1"/>
  <c r="N14" i="2" s="1"/>
  <c r="N15" i="2" a="1"/>
  <c r="N15" i="2" s="1"/>
  <c r="N16" i="2" a="1"/>
  <c r="N16" i="2" s="1"/>
  <c r="N17" i="2" a="1"/>
  <c r="N17" i="2" s="1"/>
  <c r="N18" i="2" a="1"/>
  <c r="N18" i="2" s="1"/>
  <c r="N19" i="2" a="1"/>
  <c r="N19" i="2" s="1"/>
  <c r="N20" i="2" a="1"/>
  <c r="N20" i="2" s="1"/>
  <c r="N21" i="2" a="1"/>
  <c r="N21" i="2" s="1"/>
  <c r="N22" i="2" a="1"/>
  <c r="N22" i="2" s="1"/>
  <c r="N23" i="2" a="1"/>
  <c r="N23" i="2" s="1"/>
  <c r="N24" i="2" a="1"/>
  <c r="N24" i="2" s="1"/>
  <c r="N25" i="2" a="1"/>
  <c r="N25" i="2" s="1"/>
  <c r="N26" i="2" a="1"/>
  <c r="N26" i="2" s="1"/>
  <c r="N27" i="2" a="1"/>
  <c r="N27" i="2" s="1"/>
  <c r="N28" i="2" a="1"/>
  <c r="N28" i="2" s="1"/>
  <c r="N29" i="2" a="1"/>
  <c r="N29" i="2" s="1"/>
  <c r="N30" i="2" a="1"/>
  <c r="N30" i="2" s="1"/>
  <c r="N31" i="2" a="1"/>
  <c r="N31" i="2" s="1"/>
  <c r="N32" i="2" a="1"/>
  <c r="N32" i="2" s="1"/>
  <c r="N33" i="2" a="1"/>
  <c r="N33" i="2" s="1"/>
  <c r="N34" i="2" a="1"/>
  <c r="N34" i="2" s="1"/>
  <c r="N35" i="2" a="1"/>
  <c r="N35" i="2" s="1"/>
  <c r="N36" i="2" a="1"/>
  <c r="N36" i="2" s="1"/>
  <c r="N37" i="2" a="1"/>
  <c r="N37" i="2" s="1"/>
  <c r="N38" i="2" a="1"/>
  <c r="N38" i="2" s="1"/>
  <c r="N39" i="2" a="1"/>
  <c r="N39" i="2" s="1"/>
  <c r="N40" i="2" a="1"/>
  <c r="N40" i="2" s="1"/>
  <c r="N41" i="2" a="1"/>
  <c r="N41" i="2" s="1"/>
  <c r="N42" i="2" a="1"/>
  <c r="N42" i="2" s="1"/>
  <c r="N43" i="2" a="1"/>
  <c r="N43" i="2" s="1"/>
  <c r="N44" i="2" a="1"/>
  <c r="N44" i="2" s="1"/>
  <c r="N45" i="2" a="1"/>
  <c r="N45" i="2" s="1"/>
  <c r="N46" i="2" a="1"/>
  <c r="N46" i="2" s="1"/>
  <c r="N47" i="2" a="1"/>
  <c r="N47" i="2" s="1"/>
  <c r="N48" i="2" a="1"/>
  <c r="N48" i="2" s="1"/>
  <c r="N49" i="2" a="1"/>
  <c r="N49" i="2" s="1"/>
  <c r="N50" i="2" a="1"/>
  <c r="N50" i="2" s="1"/>
  <c r="N51" i="2" a="1"/>
  <c r="N51" i="2" s="1"/>
  <c r="N52" i="2" a="1"/>
  <c r="N52" i="2" s="1"/>
  <c r="N53" i="2" a="1"/>
  <c r="N53" i="2" s="1"/>
  <c r="N54" i="2" a="1"/>
  <c r="N54" i="2" s="1"/>
  <c r="N55" i="2" a="1"/>
  <c r="N55" i="2" s="1"/>
  <c r="N56" i="2" a="1"/>
  <c r="N56" i="2" s="1"/>
  <c r="N57" i="2" a="1"/>
  <c r="N57" i="2" s="1"/>
  <c r="N58" i="2" a="1"/>
  <c r="N58" i="2" s="1"/>
  <c r="N59" i="2" a="1"/>
  <c r="N59" i="2" s="1"/>
  <c r="N60" i="2" a="1"/>
  <c r="N60" i="2" s="1"/>
  <c r="N61" i="2" a="1"/>
  <c r="N61" i="2" s="1"/>
  <c r="N62" i="2" a="1"/>
  <c r="N62" i="2" s="1"/>
  <c r="N63" i="2" a="1"/>
  <c r="N63" i="2" s="1"/>
  <c r="N64" i="2" a="1"/>
  <c r="N64" i="2" s="1"/>
  <c r="N65" i="2" a="1"/>
  <c r="N65" i="2" s="1"/>
  <c r="N66" i="2" a="1"/>
  <c r="N66" i="2" s="1"/>
  <c r="N67" i="2" a="1"/>
  <c r="N67" i="2" s="1"/>
  <c r="N68" i="2" a="1"/>
  <c r="N68" i="2" s="1"/>
  <c r="N69" i="2" a="1"/>
  <c r="N69" i="2" s="1"/>
  <c r="N70" i="2" a="1"/>
  <c r="N70" i="2" s="1"/>
  <c r="N71" i="2" a="1"/>
  <c r="N71" i="2" s="1"/>
  <c r="N72" i="2" a="1"/>
  <c r="N72" i="2" s="1"/>
  <c r="N73" i="2" a="1"/>
  <c r="N73" i="2" s="1"/>
  <c r="N74" i="2" a="1"/>
  <c r="N74" i="2" s="1"/>
  <c r="N75" i="2" a="1"/>
  <c r="N75" i="2" s="1"/>
  <c r="N76" i="2" a="1"/>
  <c r="N76" i="2" s="1"/>
  <c r="N77" i="2" a="1"/>
  <c r="N77" i="2" s="1"/>
  <c r="N78" i="2" a="1"/>
  <c r="N78" i="2" s="1"/>
  <c r="N79" i="2" a="1"/>
  <c r="N79" i="2" s="1"/>
  <c r="N80" i="2" a="1"/>
  <c r="N80" i="2" s="1"/>
  <c r="N81" i="2" a="1"/>
  <c r="N81" i="2" s="1"/>
  <c r="N82" i="2" a="1"/>
  <c r="N82" i="2" s="1"/>
  <c r="N83" i="2" a="1"/>
  <c r="N83" i="2" s="1"/>
  <c r="N84" i="2" a="1"/>
  <c r="N84" i="2" s="1"/>
  <c r="N85" i="2" a="1"/>
  <c r="N85" i="2" s="1"/>
  <c r="N86" i="2" a="1"/>
  <c r="N86" i="2" s="1"/>
  <c r="N87" i="2" a="1"/>
  <c r="N87" i="2" s="1"/>
  <c r="N88" i="2" a="1"/>
  <c r="N88" i="2" s="1"/>
  <c r="N89" i="2" a="1"/>
  <c r="N89" i="2" s="1"/>
  <c r="N90" i="2" a="1"/>
  <c r="N90" i="2" s="1"/>
  <c r="N91" i="2" a="1"/>
  <c r="N91" i="2" s="1"/>
  <c r="N92" i="2" a="1"/>
  <c r="N92" i="2" s="1"/>
  <c r="N93" i="2" a="1"/>
  <c r="N93" i="2" s="1"/>
  <c r="N94" i="2" a="1"/>
  <c r="N94" i="2" s="1"/>
  <c r="N95" i="2" a="1"/>
  <c r="N95" i="2" s="1"/>
  <c r="N96" i="2" a="1"/>
  <c r="N96" i="2" s="1"/>
  <c r="N97" i="2" a="1"/>
  <c r="N97" i="2" s="1"/>
  <c r="N98" i="2" a="1"/>
  <c r="N98" i="2" s="1"/>
  <c r="N99" i="2" a="1"/>
  <c r="N99" i="2" s="1"/>
  <c r="N100" i="2" a="1"/>
  <c r="N100" i="2" s="1"/>
  <c r="N101" i="2" a="1"/>
  <c r="N101" i="2" s="1"/>
  <c r="N102" i="2" a="1"/>
  <c r="N102" i="2" s="1"/>
  <c r="N103" i="2" a="1"/>
  <c r="N103" i="2" s="1"/>
  <c r="N104" i="2" a="1"/>
  <c r="N104" i="2" s="1"/>
  <c r="N105" i="2" a="1"/>
  <c r="N105" i="2" s="1"/>
  <c r="N106" i="2" a="1"/>
  <c r="N106" i="2" s="1"/>
  <c r="N107" i="2" a="1"/>
  <c r="N107" i="2" s="1"/>
  <c r="N108" i="2" a="1"/>
  <c r="N108" i="2" s="1"/>
  <c r="N109" i="2" a="1"/>
  <c r="N109" i="2" s="1"/>
  <c r="N110" i="2" a="1"/>
  <c r="N110" i="2" s="1"/>
  <c r="N111" i="2" a="1"/>
  <c r="N111" i="2" s="1"/>
  <c r="N112" i="2" a="1"/>
  <c r="N112" i="2" s="1"/>
  <c r="N113" i="2" a="1"/>
  <c r="N113" i="2" s="1"/>
  <c r="N114" i="2" a="1"/>
  <c r="N114" i="2" s="1"/>
  <c r="N115" i="2" a="1"/>
  <c r="N115" i="2" s="1"/>
  <c r="N116" i="2" a="1"/>
  <c r="N116" i="2" s="1"/>
  <c r="N117" i="2" a="1"/>
  <c r="N117" i="2" s="1"/>
  <c r="N118" i="2" a="1"/>
  <c r="N118" i="2" s="1"/>
  <c r="N119" i="2" a="1"/>
  <c r="N119" i="2" s="1"/>
  <c r="N120" i="2" a="1"/>
  <c r="N120" i="2" s="1"/>
  <c r="N121" i="2" a="1"/>
  <c r="N121" i="2" s="1"/>
  <c r="N122" i="2" a="1"/>
  <c r="N122" i="2" s="1"/>
  <c r="N123" i="2" a="1"/>
  <c r="N123" i="2" s="1"/>
  <c r="N124" i="2" a="1"/>
  <c r="N124" i="2" s="1"/>
  <c r="N125" i="2" a="1"/>
  <c r="N125" i="2" s="1"/>
  <c r="N126" i="2" a="1"/>
  <c r="N126" i="2" s="1"/>
  <c r="N127" i="2" a="1"/>
  <c r="N127" i="2" s="1"/>
  <c r="N128" i="2" a="1"/>
  <c r="N128" i="2" s="1"/>
  <c r="N129" i="2" a="1"/>
  <c r="N129" i="2" s="1"/>
  <c r="N130" i="2" a="1"/>
  <c r="N130" i="2" s="1"/>
  <c r="N131" i="2" a="1"/>
  <c r="N131" i="2" s="1"/>
  <c r="N132" i="2" a="1"/>
  <c r="N132" i="2" s="1"/>
  <c r="N133" i="2" a="1"/>
  <c r="N133" i="2" s="1"/>
  <c r="N134" i="2" a="1"/>
  <c r="N134" i="2" s="1"/>
  <c r="N135" i="2" a="1"/>
  <c r="N135" i="2" s="1"/>
  <c r="N136" i="2" a="1"/>
  <c r="N136" i="2" s="1"/>
  <c r="N137" i="2" a="1"/>
  <c r="N137" i="2" s="1"/>
  <c r="N138" i="2" a="1"/>
  <c r="N138" i="2" s="1"/>
  <c r="N139" i="2" a="1"/>
  <c r="N139" i="2" s="1"/>
  <c r="N140" i="2" a="1"/>
  <c r="N140" i="2" s="1"/>
  <c r="N141" i="2" a="1"/>
  <c r="N141" i="2" s="1"/>
  <c r="N142" i="2" a="1"/>
  <c r="N142" i="2" s="1"/>
  <c r="N143" i="2" a="1"/>
  <c r="N143" i="2" s="1"/>
  <c r="N144" i="2" a="1"/>
  <c r="N144" i="2" s="1"/>
  <c r="N145" i="2" a="1"/>
  <c r="N145" i="2" s="1"/>
  <c r="N146" i="2" a="1"/>
  <c r="N146" i="2" s="1"/>
  <c r="N147" i="2" a="1"/>
  <c r="N147" i="2" s="1"/>
  <c r="N148" i="2" a="1"/>
  <c r="N148" i="2" s="1"/>
  <c r="N149" i="2" a="1"/>
  <c r="N149" i="2" s="1"/>
  <c r="N150" i="2" a="1"/>
  <c r="N150" i="2" s="1"/>
  <c r="N151" i="2" a="1"/>
  <c r="N151" i="2" s="1"/>
  <c r="N152" i="2" a="1"/>
  <c r="N152" i="2" s="1"/>
  <c r="N153" i="2" a="1"/>
  <c r="N153" i="2" s="1"/>
  <c r="N154" i="2" a="1"/>
  <c r="N154" i="2" s="1"/>
  <c r="N155" i="2" a="1"/>
  <c r="N155" i="2" s="1"/>
  <c r="N156" i="2" a="1"/>
  <c r="N156" i="2" s="1"/>
  <c r="N157" i="2" a="1"/>
  <c r="N157" i="2" s="1"/>
  <c r="N158" i="2" a="1"/>
  <c r="N158" i="2" s="1"/>
  <c r="N159" i="2" a="1"/>
  <c r="N159" i="2" s="1"/>
  <c r="N160" i="2" a="1"/>
  <c r="N160" i="2" s="1"/>
  <c r="N161" i="2" a="1"/>
  <c r="N161" i="2" s="1"/>
  <c r="N162" i="2" a="1"/>
  <c r="N162" i="2" s="1"/>
  <c r="N163" i="2" a="1"/>
  <c r="N163" i="2" s="1"/>
  <c r="N164" i="2" a="1"/>
  <c r="N164" i="2" s="1"/>
  <c r="N165" i="2" a="1"/>
  <c r="N165" i="2" s="1"/>
  <c r="N166" i="2" a="1"/>
  <c r="N166" i="2" s="1"/>
  <c r="N167" i="2" a="1"/>
  <c r="N167" i="2" s="1"/>
  <c r="N168" i="2" a="1"/>
  <c r="N168" i="2" s="1"/>
  <c r="N169" i="2" a="1"/>
  <c r="N169" i="2" s="1"/>
  <c r="N170" i="2" a="1"/>
  <c r="N170" i="2" s="1"/>
  <c r="N171" i="2" a="1"/>
  <c r="N171" i="2" s="1"/>
  <c r="N172" i="2" a="1"/>
  <c r="N172" i="2" s="1"/>
  <c r="N173" i="2" a="1"/>
  <c r="N173" i="2" s="1"/>
  <c r="N174" i="2" a="1"/>
  <c r="N174" i="2" s="1"/>
  <c r="N175" i="2" a="1"/>
  <c r="N175" i="2" s="1"/>
  <c r="N176" i="2" a="1"/>
  <c r="N176" i="2" s="1"/>
  <c r="N177" i="2" a="1"/>
  <c r="N177" i="2" s="1"/>
  <c r="N178" i="2" a="1"/>
  <c r="N178" i="2" s="1"/>
  <c r="N179" i="2" a="1"/>
  <c r="N179" i="2" s="1"/>
  <c r="N180" i="2" a="1"/>
  <c r="N180" i="2" s="1"/>
  <c r="N181" i="2" a="1"/>
  <c r="N181" i="2" s="1"/>
  <c r="N182" i="2" a="1"/>
  <c r="N182" i="2" s="1"/>
  <c r="N183" i="2" a="1"/>
  <c r="N183" i="2" s="1"/>
  <c r="N184" i="2" a="1"/>
  <c r="N184" i="2" s="1"/>
  <c r="N185" i="2" a="1"/>
  <c r="N185" i="2" s="1"/>
  <c r="N186" i="2" a="1"/>
  <c r="N186" i="2" s="1"/>
  <c r="N187" i="2" a="1"/>
  <c r="N187" i="2" s="1"/>
  <c r="N188" i="2" a="1"/>
  <c r="N188" i="2" s="1"/>
  <c r="N189" i="2" a="1"/>
  <c r="N189" i="2" s="1"/>
  <c r="N190" i="2" a="1"/>
  <c r="N190" i="2" s="1"/>
  <c r="N191" i="2" a="1"/>
  <c r="N191" i="2" s="1"/>
  <c r="N192" i="2" a="1"/>
  <c r="N192" i="2" s="1"/>
  <c r="N193" i="2" a="1"/>
  <c r="N193" i="2" s="1"/>
  <c r="N194" i="2" a="1"/>
  <c r="N194" i="2" s="1"/>
  <c r="N195" i="2" a="1"/>
  <c r="N195" i="2" s="1"/>
  <c r="N196" i="2" a="1"/>
  <c r="N196" i="2" s="1"/>
  <c r="N197" i="2" a="1"/>
  <c r="N197" i="2" s="1"/>
  <c r="N198" i="2" a="1"/>
  <c r="N198" i="2" s="1"/>
  <c r="N199" i="2" a="1"/>
  <c r="N199" i="2" s="1"/>
  <c r="N200" i="2" a="1"/>
  <c r="N200" i="2" s="1"/>
  <c r="N201" i="2" a="1"/>
  <c r="N201" i="2" s="1"/>
  <c r="N202" i="2" a="1"/>
  <c r="N202" i="2" s="1"/>
  <c r="N203" i="2" a="1"/>
  <c r="N203" i="2" s="1"/>
  <c r="N204" i="2" a="1"/>
  <c r="N204" i="2" s="1"/>
  <c r="N205" i="2" a="1"/>
  <c r="N205" i="2" s="1"/>
  <c r="N206" i="2" a="1"/>
  <c r="N206" i="2" s="1"/>
  <c r="N207" i="2" a="1"/>
  <c r="N207" i="2" s="1"/>
  <c r="N208" i="2" a="1"/>
  <c r="N208" i="2" s="1"/>
  <c r="N209" i="2" a="1"/>
  <c r="N209" i="2" s="1"/>
  <c r="N210" i="2" a="1"/>
  <c r="N210" i="2" s="1"/>
  <c r="N211" i="2" a="1"/>
  <c r="N211" i="2" s="1"/>
  <c r="N212" i="2" a="1"/>
  <c r="N212" i="2" s="1"/>
  <c r="N213" i="2" a="1"/>
  <c r="N213" i="2" s="1"/>
  <c r="N214" i="2" a="1"/>
  <c r="N214" i="2" s="1"/>
  <c r="N215" i="2" a="1"/>
  <c r="N215" i="2" s="1"/>
  <c r="N216" i="2" a="1"/>
  <c r="N216" i="2" s="1"/>
  <c r="N217" i="2" a="1"/>
  <c r="N217" i="2" s="1"/>
  <c r="N218" i="2" a="1"/>
  <c r="N218" i="2" s="1"/>
  <c r="N219" i="2" a="1"/>
  <c r="N219" i="2" s="1"/>
  <c r="N220" i="2" a="1"/>
  <c r="N220" i="2" s="1"/>
  <c r="N221" i="2" a="1"/>
  <c r="N221" i="2" s="1"/>
  <c r="N222" i="2" a="1"/>
  <c r="N222" i="2" s="1"/>
  <c r="N223" i="2" a="1"/>
  <c r="N223" i="2" s="1"/>
  <c r="N224" i="2" a="1"/>
  <c r="N224" i="2" s="1"/>
  <c r="N225" i="2" a="1"/>
  <c r="N225" i="2" s="1"/>
  <c r="N226" i="2" a="1"/>
  <c r="N226" i="2" s="1"/>
  <c r="N227" i="2" a="1"/>
  <c r="N227" i="2" s="1"/>
  <c r="N228" i="2" a="1"/>
  <c r="N228" i="2" s="1"/>
  <c r="N229" i="2" a="1"/>
  <c r="N229" i="2" s="1"/>
  <c r="N230" i="2" a="1"/>
  <c r="N230" i="2" s="1"/>
  <c r="N231" i="2" a="1"/>
  <c r="N231" i="2" s="1"/>
  <c r="N232" i="2" a="1"/>
  <c r="N232" i="2" s="1"/>
  <c r="N233" i="2" a="1"/>
  <c r="N233" i="2" s="1"/>
  <c r="N234" i="2" a="1"/>
  <c r="N234" i="2" s="1"/>
  <c r="N235" i="2" a="1"/>
  <c r="N235" i="2" s="1"/>
  <c r="N236" i="2" a="1"/>
  <c r="N236" i="2" s="1"/>
  <c r="N237" i="2" a="1"/>
  <c r="N237" i="2" s="1"/>
  <c r="N238" i="2" a="1"/>
  <c r="N238" i="2" s="1"/>
  <c r="N239" i="2" a="1"/>
  <c r="N239" i="2" s="1"/>
  <c r="N240" i="2" a="1"/>
  <c r="N240" i="2" s="1"/>
  <c r="N241" i="2" a="1"/>
  <c r="N241" i="2" s="1"/>
  <c r="N242" i="2" a="1"/>
  <c r="N242" i="2" s="1"/>
  <c r="N243" i="2" a="1"/>
  <c r="N243" i="2" s="1"/>
  <c r="N244" i="2" a="1"/>
  <c r="N244" i="2" s="1"/>
  <c r="N245" i="2" a="1"/>
  <c r="N245" i="2" s="1"/>
  <c r="N246" i="2" a="1"/>
  <c r="N246" i="2" s="1"/>
  <c r="N247" i="2" a="1"/>
  <c r="N247" i="2" s="1"/>
  <c r="N248" i="2" a="1"/>
  <c r="N248" i="2" s="1"/>
  <c r="N249" i="2" a="1"/>
  <c r="N249" i="2" s="1"/>
  <c r="N250" i="2" a="1"/>
  <c r="N250" i="2" s="1"/>
  <c r="N251" i="2" a="1"/>
  <c r="N251" i="2" s="1"/>
  <c r="N252" i="2" a="1"/>
  <c r="N252" i="2" s="1"/>
  <c r="N253" i="2" a="1"/>
  <c r="N253" i="2" s="1"/>
  <c r="N254" i="2" a="1"/>
  <c r="N254" i="2" s="1"/>
  <c r="N255" i="2" a="1"/>
  <c r="N255" i="2" s="1"/>
  <c r="N256" i="2" a="1"/>
  <c r="N256" i="2" s="1"/>
  <c r="N257" i="2" a="1"/>
  <c r="N257" i="2" s="1"/>
  <c r="N258" i="2" a="1"/>
  <c r="N258" i="2" s="1"/>
  <c r="N259" i="2" a="1"/>
  <c r="N259" i="2" s="1"/>
  <c r="N260" i="2" a="1"/>
  <c r="N260" i="2" s="1"/>
  <c r="N261" i="2" a="1"/>
  <c r="N261" i="2" s="1"/>
  <c r="N262" i="2" a="1"/>
  <c r="N262" i="2" s="1"/>
  <c r="N263" i="2" a="1"/>
  <c r="N263" i="2" s="1"/>
  <c r="N264" i="2" a="1"/>
  <c r="N264" i="2" s="1"/>
  <c r="N265" i="2" a="1"/>
  <c r="N265" i="2" s="1"/>
  <c r="N266" i="2" a="1"/>
  <c r="N266" i="2" s="1"/>
  <c r="N267" i="2" a="1"/>
  <c r="N267" i="2" s="1"/>
  <c r="N268" i="2" a="1"/>
  <c r="N268" i="2" s="1"/>
  <c r="N269" i="2" a="1"/>
  <c r="N269" i="2" s="1"/>
  <c r="N270" i="2" a="1"/>
  <c r="N270" i="2" s="1"/>
  <c r="N271" i="2" a="1"/>
  <c r="N271" i="2" s="1"/>
  <c r="N272" i="2" a="1"/>
  <c r="N272" i="2" s="1"/>
  <c r="N273" i="2" a="1"/>
  <c r="N273" i="2" s="1"/>
  <c r="N274" i="2" a="1"/>
  <c r="N274" i="2" s="1"/>
  <c r="N275" i="2" a="1"/>
  <c r="N275" i="2" s="1"/>
  <c r="N276" i="2" a="1"/>
  <c r="N276" i="2" s="1"/>
  <c r="N277" i="2" a="1"/>
  <c r="N277" i="2" s="1"/>
  <c r="N278" i="2" a="1"/>
  <c r="N278" i="2" s="1"/>
  <c r="N279" i="2" a="1"/>
  <c r="N279" i="2" s="1"/>
  <c r="N280" i="2" a="1"/>
  <c r="N280" i="2" s="1"/>
  <c r="N281" i="2" a="1"/>
  <c r="N281" i="2" s="1"/>
  <c r="N282" i="2" a="1"/>
  <c r="N282" i="2" s="1"/>
  <c r="N283" i="2" a="1"/>
  <c r="N283" i="2" s="1"/>
  <c r="N284" i="2" a="1"/>
  <c r="N284" i="2" s="1"/>
  <c r="N285" i="2" a="1"/>
  <c r="N285" i="2" s="1"/>
  <c r="N286" i="2" a="1"/>
  <c r="N286" i="2" s="1"/>
  <c r="N287" i="2" a="1"/>
  <c r="N287" i="2" s="1"/>
  <c r="N288" i="2" a="1"/>
  <c r="N288" i="2" s="1"/>
  <c r="N289" i="2" a="1"/>
  <c r="N289" i="2" s="1"/>
  <c r="N290" i="2" a="1"/>
  <c r="N290" i="2" s="1"/>
  <c r="N291" i="2" a="1"/>
  <c r="N291" i="2" s="1"/>
  <c r="N292" i="2" a="1"/>
  <c r="N292" i="2" s="1"/>
  <c r="N293" i="2" a="1"/>
  <c r="N293" i="2" s="1"/>
  <c r="N294" i="2" a="1"/>
  <c r="N294" i="2" s="1"/>
  <c r="N295" i="2" a="1"/>
  <c r="N295" i="2" s="1"/>
  <c r="N296" i="2" a="1"/>
  <c r="N296" i="2" s="1"/>
  <c r="N297" i="2" a="1"/>
  <c r="N297" i="2" s="1"/>
  <c r="N298" i="2" a="1"/>
  <c r="N298" i="2" s="1"/>
  <c r="N299" i="2" a="1"/>
  <c r="N299" i="2" s="1"/>
  <c r="N300" i="2" a="1"/>
  <c r="N300" i="2" s="1"/>
  <c r="N301" i="2" a="1"/>
  <c r="N301" i="2" s="1"/>
  <c r="N302" i="2" a="1"/>
  <c r="N302" i="2" s="1"/>
  <c r="N303" i="2" a="1"/>
  <c r="N303" i="2" s="1"/>
  <c r="N304" i="2" a="1"/>
  <c r="N304" i="2" s="1"/>
  <c r="N305" i="2" a="1"/>
  <c r="N305" i="2" s="1"/>
  <c r="N306" i="2" a="1"/>
  <c r="N306" i="2" s="1"/>
  <c r="N307" i="2" a="1"/>
  <c r="N307" i="2" s="1"/>
  <c r="N308" i="2" a="1"/>
  <c r="N308" i="2" s="1"/>
  <c r="N309" i="2" a="1"/>
  <c r="N309" i="2" s="1"/>
  <c r="N310" i="2" a="1"/>
  <c r="N310" i="2" s="1"/>
  <c r="N311" i="2" a="1"/>
  <c r="N311" i="2" s="1"/>
  <c r="N312" i="2" a="1"/>
  <c r="N312" i="2" s="1"/>
  <c r="N313" i="2" a="1"/>
  <c r="N313" i="2" s="1"/>
  <c r="N314" i="2" a="1"/>
  <c r="N314" i="2" s="1"/>
  <c r="N315" i="2" a="1"/>
  <c r="N315" i="2" s="1"/>
  <c r="N316" i="2" a="1"/>
  <c r="N316" i="2" s="1"/>
  <c r="N317" i="2" a="1"/>
  <c r="N317" i="2" s="1"/>
  <c r="N318" i="2" a="1"/>
  <c r="N318" i="2" s="1"/>
  <c r="N319" i="2" a="1"/>
  <c r="N319" i="2" s="1"/>
  <c r="N320" i="2" a="1"/>
  <c r="N320" i="2" s="1"/>
  <c r="N321" i="2" a="1"/>
  <c r="N321" i="2" s="1"/>
  <c r="N322" i="2" a="1"/>
  <c r="N322" i="2" s="1"/>
  <c r="N323" i="2" a="1"/>
  <c r="N323" i="2" s="1"/>
  <c r="N324" i="2" a="1"/>
  <c r="N324" i="2" s="1"/>
  <c r="N325" i="2" a="1"/>
  <c r="N325" i="2" s="1"/>
  <c r="N326" i="2" a="1"/>
  <c r="N326" i="2" s="1"/>
  <c r="N327" i="2" a="1"/>
  <c r="N327" i="2" s="1"/>
  <c r="N328" i="2" a="1"/>
  <c r="N328" i="2" s="1"/>
  <c r="N329" i="2" a="1"/>
  <c r="N329" i="2" s="1"/>
  <c r="N330" i="2" a="1"/>
  <c r="N330" i="2" s="1"/>
  <c r="N331" i="2" a="1"/>
  <c r="N331" i="2" s="1"/>
  <c r="N332" i="2" a="1"/>
  <c r="N332" i="2" s="1"/>
  <c r="N333" i="2" a="1"/>
  <c r="N333" i="2" s="1"/>
  <c r="N334" i="2" a="1"/>
  <c r="N334" i="2" s="1"/>
  <c r="N335" i="2" a="1"/>
  <c r="N335" i="2" s="1"/>
  <c r="N336" i="2" a="1"/>
  <c r="N336" i="2" s="1"/>
  <c r="N337" i="2" a="1"/>
  <c r="N337" i="2" s="1"/>
  <c r="N338" i="2" a="1"/>
  <c r="N338" i="2" s="1"/>
  <c r="N339" i="2" a="1"/>
  <c r="N339" i="2" s="1"/>
  <c r="N340" i="2" a="1"/>
  <c r="N340" i="2" s="1"/>
  <c r="N341" i="2" a="1"/>
  <c r="N341" i="2" s="1"/>
  <c r="N342" i="2" a="1"/>
  <c r="N342" i="2" s="1"/>
  <c r="N343" i="2" a="1"/>
  <c r="N343" i="2" s="1"/>
  <c r="N344" i="2" a="1"/>
  <c r="N344" i="2" s="1"/>
  <c r="N345" i="2" a="1"/>
  <c r="N345" i="2" s="1"/>
  <c r="N346" i="2" a="1"/>
  <c r="N346" i="2" s="1"/>
  <c r="N347" i="2" a="1"/>
  <c r="N347" i="2" s="1"/>
  <c r="N348" i="2" a="1"/>
  <c r="N348" i="2" s="1"/>
  <c r="N349" i="2" a="1"/>
  <c r="N349" i="2" s="1"/>
  <c r="N350" i="2" a="1"/>
  <c r="N350" i="2" s="1"/>
  <c r="N351" i="2" a="1"/>
  <c r="N351" i="2" s="1"/>
  <c r="N352" i="2" a="1"/>
  <c r="N352" i="2" s="1"/>
  <c r="N353" i="2" a="1"/>
  <c r="N353" i="2" s="1"/>
  <c r="N354" i="2" a="1"/>
  <c r="N354" i="2" s="1"/>
  <c r="N355" i="2" a="1"/>
  <c r="N355" i="2" s="1"/>
  <c r="N356" i="2" a="1"/>
  <c r="N356" i="2" s="1"/>
  <c r="N357" i="2" a="1"/>
  <c r="N357" i="2" s="1"/>
  <c r="N358" i="2" a="1"/>
  <c r="N358" i="2" s="1"/>
  <c r="N359" i="2" a="1"/>
  <c r="N359" i="2" s="1"/>
  <c r="N360" i="2" a="1"/>
  <c r="N360" i="2" s="1"/>
  <c r="N361" i="2" a="1"/>
  <c r="N361" i="2" s="1"/>
  <c r="N362" i="2" a="1"/>
  <c r="N362" i="2" s="1"/>
  <c r="N363" i="2" a="1"/>
  <c r="N363" i="2" s="1"/>
  <c r="N364" i="2" a="1"/>
  <c r="N364" i="2" s="1"/>
  <c r="N365" i="2" a="1"/>
  <c r="N365" i="2" s="1"/>
  <c r="N366" i="2" a="1"/>
  <c r="N366" i="2" s="1"/>
  <c r="N367" i="2" a="1"/>
  <c r="N367" i="2" s="1"/>
  <c r="N368" i="2" a="1"/>
  <c r="N368" i="2" s="1"/>
  <c r="N369" i="2" a="1"/>
  <c r="N369" i="2" s="1"/>
  <c r="N370" i="2" a="1"/>
  <c r="N370" i="2" s="1"/>
  <c r="N371" i="2" a="1"/>
  <c r="N371" i="2" s="1"/>
  <c r="N372" i="2" a="1"/>
  <c r="N372" i="2" s="1"/>
  <c r="N373" i="2" a="1"/>
  <c r="N373" i="2" s="1"/>
  <c r="N374" i="2" a="1"/>
  <c r="N374" i="2" s="1"/>
  <c r="N375" i="2" a="1"/>
  <c r="N375" i="2" s="1"/>
  <c r="N376" i="2" a="1"/>
  <c r="N376" i="2" s="1"/>
  <c r="N377" i="2" a="1"/>
  <c r="N377" i="2" s="1"/>
  <c r="N378" i="2" a="1"/>
  <c r="N378" i="2" s="1"/>
  <c r="N379" i="2" a="1"/>
  <c r="N379" i="2" s="1"/>
  <c r="N380" i="2" a="1"/>
  <c r="N380" i="2" s="1"/>
  <c r="N381" i="2" a="1"/>
  <c r="N381" i="2" s="1"/>
  <c r="N382" i="2" a="1"/>
  <c r="N382" i="2" s="1"/>
  <c r="N383" i="2" a="1"/>
  <c r="N383" i="2" s="1"/>
  <c r="N384" i="2" a="1"/>
  <c r="N384" i="2" s="1"/>
  <c r="N385" i="2" a="1"/>
  <c r="N385" i="2" s="1"/>
  <c r="N386" i="2" a="1"/>
  <c r="N386" i="2" s="1"/>
  <c r="N387" i="2" a="1"/>
  <c r="N387" i="2" s="1"/>
  <c r="N388" i="2" a="1"/>
  <c r="N388" i="2" s="1"/>
  <c r="N389" i="2" a="1"/>
  <c r="N389" i="2" s="1"/>
  <c r="N390" i="2" a="1"/>
  <c r="N390" i="2" s="1"/>
  <c r="N391" i="2" a="1"/>
  <c r="N391" i="2" s="1"/>
  <c r="N392" i="2" a="1"/>
  <c r="N392" i="2" s="1"/>
  <c r="N393" i="2" a="1"/>
  <c r="N393" i="2" s="1"/>
  <c r="N394" i="2" a="1"/>
  <c r="N394" i="2" s="1"/>
  <c r="N395" i="2" a="1"/>
  <c r="N395" i="2" s="1"/>
  <c r="N396" i="2" a="1"/>
  <c r="N396" i="2" s="1"/>
  <c r="N397" i="2" a="1"/>
  <c r="N397" i="2" s="1"/>
  <c r="N398" i="2" a="1"/>
  <c r="N398" i="2" s="1"/>
  <c r="N399" i="2" a="1"/>
  <c r="N399" i="2" s="1"/>
  <c r="N400" i="2" a="1"/>
  <c r="N400" i="2" s="1"/>
  <c r="N401" i="2" a="1"/>
  <c r="N401" i="2" s="1"/>
  <c r="N402" i="2" a="1"/>
  <c r="N402" i="2" s="1"/>
  <c r="N403" i="2" a="1"/>
  <c r="N403" i="2" s="1"/>
  <c r="N404" i="2" a="1"/>
  <c r="N404" i="2" s="1"/>
  <c r="N405" i="2" a="1"/>
  <c r="N405" i="2" s="1"/>
  <c r="N406" i="2" a="1"/>
  <c r="N406" i="2" s="1"/>
  <c r="N407" i="2" a="1"/>
  <c r="N407" i="2" s="1"/>
  <c r="N408" i="2" a="1"/>
  <c r="N408" i="2" s="1"/>
  <c r="N409" i="2" a="1"/>
  <c r="N409" i="2" s="1"/>
  <c r="N410" i="2" a="1"/>
  <c r="N410" i="2" s="1"/>
  <c r="N411" i="2" a="1"/>
  <c r="N411" i="2" s="1"/>
  <c r="N412" i="2" a="1"/>
  <c r="N412" i="2" s="1"/>
  <c r="N413" i="2" a="1"/>
  <c r="N413" i="2" s="1"/>
  <c r="N414" i="2" a="1"/>
  <c r="N414" i="2" s="1"/>
  <c r="N415" i="2" a="1"/>
  <c r="N415" i="2" s="1"/>
  <c r="N416" i="2" a="1"/>
  <c r="N416" i="2" s="1"/>
  <c r="N417" i="2" a="1"/>
  <c r="N417" i="2" s="1"/>
  <c r="N418" i="2" a="1"/>
  <c r="N418" i="2" s="1"/>
  <c r="N419" i="2" a="1"/>
  <c r="N419" i="2" s="1"/>
  <c r="N420" i="2" a="1"/>
  <c r="N420" i="2" s="1"/>
  <c r="N421" i="2" a="1"/>
  <c r="N421" i="2" s="1"/>
  <c r="N422" i="2" a="1"/>
  <c r="N422" i="2" s="1"/>
  <c r="N423" i="2" a="1"/>
  <c r="N423" i="2" s="1"/>
  <c r="N424" i="2" a="1"/>
  <c r="N424" i="2" s="1"/>
  <c r="N425" i="2" a="1"/>
  <c r="N425" i="2" s="1"/>
  <c r="N426" i="2" a="1"/>
  <c r="N426" i="2" s="1"/>
  <c r="N427" i="2" a="1"/>
  <c r="N427" i="2" s="1"/>
  <c r="N428" i="2" a="1"/>
  <c r="N428" i="2" s="1"/>
  <c r="N429" i="2" a="1"/>
  <c r="N429" i="2" s="1"/>
  <c r="N430" i="2" a="1"/>
  <c r="N430" i="2" s="1"/>
  <c r="N431" i="2" a="1"/>
  <c r="N431" i="2" s="1"/>
  <c r="N432" i="2" a="1"/>
  <c r="N432" i="2" s="1"/>
  <c r="N433" i="2" a="1"/>
  <c r="N433" i="2" s="1"/>
  <c r="N434" i="2" a="1"/>
  <c r="N434" i="2" s="1"/>
  <c r="N435" i="2" a="1"/>
  <c r="N435" i="2" s="1"/>
  <c r="N436" i="2" a="1"/>
  <c r="N436" i="2" s="1"/>
  <c r="N437" i="2" a="1"/>
  <c r="N437" i="2" s="1"/>
  <c r="N438" i="2" a="1"/>
  <c r="N438" i="2" s="1"/>
  <c r="N439" i="2" a="1"/>
  <c r="N439" i="2" s="1"/>
  <c r="N440" i="2" a="1"/>
  <c r="N440" i="2" s="1"/>
  <c r="N441" i="2" a="1"/>
  <c r="N441" i="2" s="1"/>
  <c r="N442" i="2" a="1"/>
  <c r="N442" i="2" s="1"/>
  <c r="N443" i="2" a="1"/>
  <c r="N443" i="2" s="1"/>
  <c r="N444" i="2" a="1"/>
  <c r="N444" i="2" s="1"/>
  <c r="N445" i="2" a="1"/>
  <c r="N445" i="2" s="1"/>
  <c r="N446" i="2" a="1"/>
  <c r="N446" i="2" s="1"/>
  <c r="N447" i="2" a="1"/>
  <c r="N447" i="2" s="1"/>
  <c r="N448" i="2" a="1"/>
  <c r="N448" i="2" s="1"/>
  <c r="N449" i="2" a="1"/>
  <c r="N449" i="2" s="1"/>
  <c r="N450" i="2" a="1"/>
  <c r="N450" i="2" s="1"/>
  <c r="N451" i="2" a="1"/>
  <c r="N451" i="2" s="1"/>
  <c r="N452" i="2" a="1"/>
  <c r="N452" i="2" s="1"/>
  <c r="N453" i="2" a="1"/>
  <c r="N453" i="2" s="1"/>
  <c r="N454" i="2" a="1"/>
  <c r="N454" i="2" s="1"/>
  <c r="N455" i="2" a="1"/>
  <c r="N455" i="2" s="1"/>
  <c r="N456" i="2" a="1"/>
  <c r="N456" i="2" s="1"/>
  <c r="N457" i="2" a="1"/>
  <c r="N457" i="2" s="1"/>
  <c r="N458" i="2" a="1"/>
  <c r="N458" i="2" s="1"/>
  <c r="N459" i="2" a="1"/>
  <c r="N459" i="2" s="1"/>
  <c r="N460" i="2" a="1"/>
  <c r="N460" i="2" s="1"/>
  <c r="N461" i="2" a="1"/>
  <c r="N461" i="2" s="1"/>
  <c r="N462" i="2" a="1"/>
  <c r="N462" i="2" s="1"/>
  <c r="N463" i="2" a="1"/>
  <c r="N463" i="2" s="1"/>
  <c r="N464" i="2" a="1"/>
  <c r="N464" i="2" s="1"/>
  <c r="N465" i="2" a="1"/>
  <c r="N465" i="2" s="1"/>
  <c r="N466" i="2" a="1"/>
  <c r="N466" i="2" s="1"/>
  <c r="N467" i="2" a="1"/>
  <c r="N467" i="2" s="1"/>
  <c r="N468" i="2" a="1"/>
  <c r="N468" i="2" s="1"/>
  <c r="N469" i="2" a="1"/>
  <c r="N469" i="2" s="1"/>
  <c r="N470" i="2" a="1"/>
  <c r="N470" i="2" s="1"/>
  <c r="N471" i="2" a="1"/>
  <c r="N471" i="2" s="1"/>
  <c r="N472" i="2" a="1"/>
  <c r="N472" i="2" s="1"/>
  <c r="N473" i="2" a="1"/>
  <c r="N473" i="2" s="1"/>
  <c r="N474" i="2" a="1"/>
  <c r="N474" i="2" s="1"/>
  <c r="N475" i="2" a="1"/>
  <c r="N475" i="2" s="1"/>
  <c r="N476" i="2" a="1"/>
  <c r="N476" i="2" s="1"/>
  <c r="N477" i="2" a="1"/>
  <c r="N477" i="2" s="1"/>
  <c r="N478" i="2" a="1"/>
  <c r="N478" i="2" s="1"/>
  <c r="N479" i="2" a="1"/>
  <c r="N479" i="2" s="1"/>
  <c r="N480" i="2" a="1"/>
  <c r="N480" i="2" s="1"/>
  <c r="N481" i="2" a="1"/>
  <c r="N481" i="2" s="1"/>
  <c r="N482" i="2" a="1"/>
  <c r="N482" i="2" s="1"/>
  <c r="N483" i="2" a="1"/>
  <c r="N483" i="2" s="1"/>
  <c r="N484" i="2" a="1"/>
  <c r="N484" i="2" s="1"/>
  <c r="N485" i="2" a="1"/>
  <c r="N485" i="2" s="1"/>
  <c r="N486" i="2" a="1"/>
  <c r="N486" i="2" s="1"/>
  <c r="N487" i="2" a="1"/>
  <c r="N487" i="2" s="1"/>
  <c r="N488" i="2" a="1"/>
  <c r="N488" i="2" s="1"/>
  <c r="N489" i="2" a="1"/>
  <c r="N489" i="2" s="1"/>
  <c r="N490" i="2" a="1"/>
  <c r="N490" i="2" s="1"/>
  <c r="N491" i="2" a="1"/>
  <c r="N491" i="2" s="1"/>
  <c r="N492" i="2" a="1"/>
  <c r="N492" i="2" s="1"/>
  <c r="N493" i="2" a="1"/>
  <c r="N493" i="2" s="1"/>
  <c r="N494" i="2" a="1"/>
  <c r="N494" i="2" s="1"/>
  <c r="N495" i="2" a="1"/>
  <c r="N495" i="2" s="1"/>
  <c r="N496" i="2" a="1"/>
  <c r="N496" i="2" s="1"/>
  <c r="N497" i="2" a="1"/>
  <c r="N497" i="2" s="1"/>
  <c r="N498" i="2" a="1"/>
  <c r="N498" i="2" s="1"/>
  <c r="N499" i="2" a="1"/>
  <c r="N499" i="2" s="1"/>
  <c r="N500" i="2" a="1"/>
  <c r="N500" i="2" s="1"/>
  <c r="N501" i="2" a="1"/>
  <c r="N501" i="2" s="1"/>
  <c r="N502" i="2" a="1"/>
  <c r="N502" i="2" s="1"/>
  <c r="N503" i="2" a="1"/>
  <c r="N503" i="2" s="1"/>
  <c r="N504" i="2" a="1"/>
  <c r="N504" i="2" s="1"/>
  <c r="N505" i="2" a="1"/>
  <c r="N505" i="2" s="1"/>
  <c r="N506" i="2" a="1"/>
  <c r="N506" i="2" s="1"/>
  <c r="N507" i="2" a="1"/>
  <c r="N507" i="2" s="1"/>
  <c r="N508" i="2" a="1"/>
  <c r="N508" i="2" s="1"/>
  <c r="N509" i="2" a="1"/>
  <c r="N509" i="2" s="1"/>
  <c r="N510" i="2" a="1"/>
  <c r="N510" i="2" s="1"/>
  <c r="N511" i="2" a="1"/>
  <c r="N511" i="2" s="1"/>
  <c r="N512" i="2" a="1"/>
  <c r="N512" i="2" s="1"/>
  <c r="N513" i="2" a="1"/>
  <c r="N513" i="2" s="1"/>
  <c r="N514" i="2" a="1"/>
  <c r="N514" i="2" s="1"/>
  <c r="N515" i="2" a="1"/>
  <c r="N515" i="2" s="1"/>
  <c r="N516" i="2" a="1"/>
  <c r="N516" i="2" s="1"/>
  <c r="N517" i="2" a="1"/>
  <c r="N517" i="2" s="1"/>
  <c r="N518" i="2" a="1"/>
  <c r="N518" i="2" s="1"/>
  <c r="N519" i="2" a="1"/>
  <c r="N519" i="2" s="1"/>
  <c r="N520" i="2" a="1"/>
  <c r="N520" i="2" s="1"/>
  <c r="N521" i="2" a="1"/>
  <c r="N521" i="2" s="1"/>
  <c r="N522" i="2" a="1"/>
  <c r="N522" i="2" s="1"/>
  <c r="N523" i="2" a="1"/>
  <c r="N523" i="2" s="1"/>
  <c r="N524" i="2" a="1"/>
  <c r="N524" i="2" s="1"/>
  <c r="N525" i="2" a="1"/>
  <c r="N525" i="2" s="1"/>
  <c r="N526" i="2" a="1"/>
  <c r="N526" i="2" s="1"/>
  <c r="N527" i="2" a="1"/>
  <c r="N527" i="2" s="1"/>
  <c r="N528" i="2" a="1"/>
  <c r="N528" i="2" s="1"/>
  <c r="N529" i="2" a="1"/>
  <c r="N529" i="2" s="1"/>
  <c r="N530" i="2" a="1"/>
  <c r="N530" i="2" s="1"/>
  <c r="N531" i="2" a="1"/>
  <c r="N531" i="2" s="1"/>
  <c r="N532" i="2" a="1"/>
  <c r="N532" i="2" s="1"/>
  <c r="N533" i="2" a="1"/>
  <c r="N533" i="2" s="1"/>
  <c r="N534" i="2" a="1"/>
  <c r="N534" i="2" s="1"/>
  <c r="N535" i="2" a="1"/>
  <c r="N535" i="2" s="1"/>
  <c r="N536" i="2" a="1"/>
  <c r="N536" i="2" s="1"/>
  <c r="N537" i="2" a="1"/>
  <c r="N537" i="2" s="1"/>
  <c r="N538" i="2" a="1"/>
  <c r="N538" i="2" s="1"/>
  <c r="N539" i="2" a="1"/>
  <c r="N539" i="2" s="1"/>
  <c r="N540" i="2" a="1"/>
  <c r="N540" i="2" s="1"/>
  <c r="N541" i="2" a="1"/>
  <c r="N541" i="2" s="1"/>
  <c r="N542" i="2" a="1"/>
  <c r="N542" i="2" s="1"/>
  <c r="N543" i="2" a="1"/>
  <c r="N543" i="2" s="1"/>
  <c r="N544" i="2" a="1"/>
  <c r="N544" i="2" s="1"/>
  <c r="N545" i="2" a="1"/>
  <c r="N545" i="2" s="1"/>
  <c r="N546" i="2" a="1"/>
  <c r="N546" i="2" s="1"/>
  <c r="N547" i="2" a="1"/>
  <c r="N547" i="2" s="1"/>
  <c r="N548" i="2" a="1"/>
  <c r="N548" i="2" s="1"/>
  <c r="N549" i="2" a="1"/>
  <c r="N549" i="2" s="1"/>
  <c r="N550" i="2" a="1"/>
  <c r="N550" i="2" s="1"/>
  <c r="N551" i="2" a="1"/>
  <c r="N551" i="2" s="1"/>
  <c r="N552" i="2" a="1"/>
  <c r="N552" i="2" s="1"/>
  <c r="N553" i="2" a="1"/>
  <c r="N553" i="2" s="1"/>
  <c r="N554" i="2" a="1"/>
  <c r="N554" i="2" s="1"/>
  <c r="N555" i="2" a="1"/>
  <c r="N555" i="2" s="1"/>
  <c r="N556" i="2" a="1"/>
  <c r="N556" i="2" s="1"/>
  <c r="N557" i="2" a="1"/>
  <c r="N557" i="2" s="1"/>
  <c r="N558" i="2" a="1"/>
  <c r="N558" i="2" s="1"/>
  <c r="N559" i="2" a="1"/>
  <c r="N559" i="2" s="1"/>
  <c r="N560" i="2" a="1"/>
  <c r="N560" i="2" s="1"/>
  <c r="N561" i="2" a="1"/>
  <c r="N561" i="2" s="1"/>
  <c r="N562" i="2" a="1"/>
  <c r="N562" i="2" s="1"/>
  <c r="N563" i="2" a="1"/>
  <c r="N563" i="2" s="1"/>
  <c r="N564" i="2" a="1"/>
  <c r="N564" i="2" s="1"/>
  <c r="N565" i="2" a="1"/>
  <c r="N565" i="2" s="1"/>
  <c r="N566" i="2" a="1"/>
  <c r="N566" i="2" s="1"/>
  <c r="N567" i="2" a="1"/>
  <c r="N567" i="2" s="1"/>
  <c r="N568" i="2" a="1"/>
  <c r="N568" i="2" s="1"/>
  <c r="N569" i="2" a="1"/>
  <c r="N569" i="2" s="1"/>
  <c r="N570" i="2" a="1"/>
  <c r="N570" i="2" s="1"/>
  <c r="N571" i="2" a="1"/>
  <c r="N571" i="2" s="1"/>
  <c r="N572" i="2" a="1"/>
  <c r="N572" i="2" s="1"/>
  <c r="N573" i="2" a="1"/>
  <c r="N573" i="2" s="1"/>
  <c r="N574" i="2" a="1"/>
  <c r="N574" i="2" s="1"/>
  <c r="N575" i="2" a="1"/>
  <c r="N575" i="2" s="1"/>
  <c r="N576" i="2" a="1"/>
  <c r="N576" i="2" s="1"/>
  <c r="N577" i="2" a="1"/>
  <c r="N577" i="2" s="1"/>
  <c r="N578" i="2" a="1"/>
  <c r="N578" i="2" s="1"/>
  <c r="N579" i="2" a="1"/>
  <c r="N579" i="2" s="1"/>
  <c r="N580" i="2" a="1"/>
  <c r="N580" i="2" s="1"/>
  <c r="N581" i="2" a="1"/>
  <c r="N581" i="2" s="1"/>
  <c r="N582" i="2" a="1"/>
  <c r="N582" i="2" s="1"/>
  <c r="N583" i="2" a="1"/>
  <c r="N583" i="2" s="1"/>
  <c r="N584" i="2" a="1"/>
  <c r="N584" i="2" s="1"/>
  <c r="N585" i="2" a="1"/>
  <c r="N585" i="2" s="1"/>
  <c r="N586" i="2" a="1"/>
  <c r="N586" i="2" s="1"/>
  <c r="N587" i="2" a="1"/>
  <c r="N587" i="2" s="1"/>
  <c r="N588" i="2" a="1"/>
  <c r="N588" i="2" s="1"/>
  <c r="N589" i="2" a="1"/>
  <c r="N589" i="2" s="1"/>
  <c r="N590" i="2" a="1"/>
  <c r="N590" i="2" s="1"/>
  <c r="N591" i="2" a="1"/>
  <c r="N591" i="2" s="1"/>
  <c r="N592" i="2" a="1"/>
  <c r="N592" i="2" s="1"/>
  <c r="N593" i="2" a="1"/>
  <c r="N593" i="2" s="1"/>
  <c r="N594" i="2" a="1"/>
  <c r="N594" i="2" s="1"/>
  <c r="N595" i="2" a="1"/>
  <c r="N595" i="2" s="1"/>
  <c r="N596" i="2" a="1"/>
  <c r="N596" i="2" s="1"/>
  <c r="N597" i="2" a="1"/>
  <c r="N597" i="2" s="1"/>
  <c r="N598" i="2" a="1"/>
  <c r="N598" i="2" s="1"/>
  <c r="N599" i="2" a="1"/>
  <c r="N599" i="2" s="1"/>
  <c r="N600" i="2" a="1"/>
  <c r="N600" i="2" s="1"/>
  <c r="N601" i="2" a="1"/>
  <c r="N601" i="2" s="1"/>
  <c r="N602" i="2" a="1"/>
  <c r="N602" i="2" s="1"/>
  <c r="N603" i="2" a="1"/>
  <c r="N603" i="2" s="1"/>
  <c r="N604" i="2" a="1"/>
  <c r="N604" i="2" s="1"/>
  <c r="N605" i="2" a="1"/>
  <c r="N605" i="2" s="1"/>
  <c r="N606" i="2" a="1"/>
  <c r="N606" i="2" s="1"/>
  <c r="N607" i="2" a="1"/>
  <c r="N607" i="2" s="1"/>
  <c r="N608" i="2" a="1"/>
  <c r="N608" i="2" s="1"/>
  <c r="N609" i="2" a="1"/>
  <c r="N609" i="2" s="1"/>
  <c r="N610" i="2" a="1"/>
  <c r="N610" i="2" s="1"/>
  <c r="N611" i="2" a="1"/>
  <c r="N611" i="2" s="1"/>
  <c r="N612" i="2" a="1"/>
  <c r="N612" i="2" s="1"/>
  <c r="N613" i="2" a="1"/>
  <c r="N613" i="2" s="1"/>
  <c r="N614" i="2" a="1"/>
  <c r="N614" i="2" s="1"/>
  <c r="N615" i="2" a="1"/>
  <c r="N615" i="2" s="1"/>
  <c r="N616" i="2" a="1"/>
  <c r="N616" i="2" s="1"/>
  <c r="N617" i="2" a="1"/>
  <c r="N617" i="2" s="1"/>
  <c r="N618" i="2" a="1"/>
  <c r="N618" i="2" s="1"/>
  <c r="N619" i="2" a="1"/>
  <c r="N619" i="2" s="1"/>
  <c r="N620" i="2" a="1"/>
  <c r="N620" i="2" s="1"/>
  <c r="N621" i="2" a="1"/>
  <c r="N621" i="2" s="1"/>
  <c r="N622" i="2" a="1"/>
  <c r="N622" i="2" s="1"/>
  <c r="N623" i="2" a="1"/>
  <c r="N623" i="2" s="1"/>
  <c r="N624" i="2" a="1"/>
  <c r="N624" i="2" s="1"/>
  <c r="N625" i="2" a="1"/>
  <c r="N625" i="2" s="1"/>
  <c r="N626" i="2" a="1"/>
  <c r="N626" i="2" s="1"/>
  <c r="N627" i="2" a="1"/>
  <c r="N627" i="2" s="1"/>
  <c r="N628" i="2" a="1"/>
  <c r="N628" i="2" s="1"/>
  <c r="N629" i="2" a="1"/>
  <c r="N629" i="2" s="1"/>
  <c r="N630" i="2" a="1"/>
  <c r="N630" i="2" s="1"/>
  <c r="N631" i="2" a="1"/>
  <c r="N631" i="2" s="1"/>
  <c r="N632" i="2" a="1"/>
  <c r="N632" i="2" s="1"/>
  <c r="N633" i="2" a="1"/>
  <c r="N633" i="2" s="1"/>
  <c r="N634" i="2" a="1"/>
  <c r="N634" i="2" s="1"/>
  <c r="N635" i="2" a="1"/>
  <c r="N635" i="2" s="1"/>
  <c r="N636" i="2" a="1"/>
  <c r="N636" i="2" s="1"/>
  <c r="N637" i="2" a="1"/>
  <c r="N637" i="2" s="1"/>
  <c r="N638" i="2" a="1"/>
  <c r="N638" i="2" s="1"/>
  <c r="N639" i="2" a="1"/>
  <c r="N639" i="2" s="1"/>
  <c r="N640" i="2" a="1"/>
  <c r="N640" i="2" s="1"/>
  <c r="N641" i="2" a="1"/>
  <c r="N641" i="2" s="1"/>
  <c r="N642" i="2" a="1"/>
  <c r="N642" i="2" s="1"/>
  <c r="N643" i="2" a="1"/>
  <c r="N643" i="2" s="1"/>
  <c r="N644" i="2" a="1"/>
  <c r="N644" i="2" s="1"/>
  <c r="N645" i="2" a="1"/>
  <c r="N645" i="2" s="1"/>
  <c r="N646" i="2" a="1"/>
  <c r="N646" i="2" s="1"/>
  <c r="N647" i="2" a="1"/>
  <c r="N647" i="2" s="1"/>
  <c r="N648" i="2" a="1"/>
  <c r="N648" i="2" s="1"/>
  <c r="N649" i="2" a="1"/>
  <c r="N649" i="2" s="1"/>
  <c r="N650" i="2" a="1"/>
  <c r="N650" i="2" s="1"/>
  <c r="N651" i="2" a="1"/>
  <c r="N651" i="2" s="1"/>
  <c r="N652" i="2" a="1"/>
  <c r="N652" i="2" s="1"/>
  <c r="N653" i="2" a="1"/>
  <c r="N653" i="2" s="1"/>
  <c r="N654" i="2" a="1"/>
  <c r="N654" i="2" s="1"/>
  <c r="N655" i="2" a="1"/>
  <c r="N655" i="2" s="1"/>
  <c r="N656" i="2" a="1"/>
  <c r="N656" i="2" s="1"/>
  <c r="N657" i="2" a="1"/>
  <c r="N657" i="2" s="1"/>
  <c r="N658" i="2" a="1"/>
  <c r="N658" i="2" s="1"/>
  <c r="N659" i="2" a="1"/>
  <c r="N659" i="2" s="1"/>
  <c r="N660" i="2" a="1"/>
  <c r="N660" i="2" s="1"/>
  <c r="N661" i="2" a="1"/>
  <c r="N661" i="2" s="1"/>
  <c r="N662" i="2" a="1"/>
  <c r="N662" i="2" s="1"/>
  <c r="N663" i="2" a="1"/>
  <c r="N663" i="2" s="1"/>
  <c r="N664" i="2" a="1"/>
  <c r="N664" i="2" s="1"/>
  <c r="N665" i="2" a="1"/>
  <c r="N665" i="2" s="1"/>
  <c r="N666" i="2" a="1"/>
  <c r="N666" i="2" s="1"/>
  <c r="N667" i="2" a="1"/>
  <c r="N667" i="2" s="1"/>
  <c r="N668" i="2" a="1"/>
  <c r="N668" i="2" s="1"/>
  <c r="N669" i="2" a="1"/>
  <c r="N669" i="2" s="1"/>
  <c r="N670" i="2" a="1"/>
  <c r="N670" i="2" s="1"/>
  <c r="N671" i="2" a="1"/>
  <c r="N671" i="2" s="1"/>
  <c r="N672" i="2" a="1"/>
  <c r="N672" i="2" s="1"/>
  <c r="N673" i="2" a="1"/>
  <c r="N673" i="2" s="1"/>
  <c r="N674" i="2" a="1"/>
  <c r="N674" i="2" s="1"/>
  <c r="N675" i="2" a="1"/>
  <c r="N675" i="2" s="1"/>
  <c r="N676" i="2" a="1"/>
  <c r="N676" i="2" s="1"/>
  <c r="N677" i="2" a="1"/>
  <c r="N677" i="2" s="1"/>
  <c r="N678" i="2" a="1"/>
  <c r="N678" i="2" s="1"/>
  <c r="N679" i="2" a="1"/>
  <c r="N679" i="2" s="1"/>
  <c r="N680" i="2" a="1"/>
  <c r="N680" i="2" s="1"/>
  <c r="N681" i="2" a="1"/>
  <c r="N681" i="2" s="1"/>
  <c r="N682" i="2" a="1"/>
  <c r="N682" i="2" s="1"/>
  <c r="N683" i="2" a="1"/>
  <c r="N683" i="2" s="1"/>
  <c r="N684" i="2" a="1"/>
  <c r="N684" i="2" s="1"/>
  <c r="N685" i="2" a="1"/>
  <c r="N685" i="2" s="1"/>
  <c r="N686" i="2" a="1"/>
  <c r="N686" i="2" s="1"/>
  <c r="N687" i="2" a="1"/>
  <c r="N687" i="2" s="1"/>
  <c r="N688" i="2" a="1"/>
  <c r="N688" i="2" s="1"/>
  <c r="N689" i="2" a="1"/>
  <c r="N689" i="2" s="1"/>
  <c r="N690" i="2" a="1"/>
  <c r="N690" i="2" s="1"/>
  <c r="N691" i="2" a="1"/>
  <c r="N691" i="2" s="1"/>
  <c r="N692" i="2" a="1"/>
  <c r="N692" i="2" s="1"/>
  <c r="N693" i="2" a="1"/>
  <c r="N693" i="2" s="1"/>
  <c r="N694" i="2" a="1"/>
  <c r="N694" i="2" s="1"/>
  <c r="N695" i="2" a="1"/>
  <c r="N695" i="2" s="1"/>
  <c r="N696" i="2" a="1"/>
  <c r="N696" i="2" s="1"/>
  <c r="N697" i="2" a="1"/>
  <c r="N697" i="2" s="1"/>
  <c r="N698" i="2" a="1"/>
  <c r="N698" i="2" s="1"/>
  <c r="N699" i="2" a="1"/>
  <c r="N699" i="2" s="1"/>
  <c r="N700" i="2" a="1"/>
  <c r="N700" i="2" s="1"/>
  <c r="N701" i="2" a="1"/>
  <c r="N701" i="2" s="1"/>
  <c r="N702" i="2" a="1"/>
  <c r="N702" i="2" s="1"/>
  <c r="N703" i="2" a="1"/>
  <c r="N703" i="2" s="1"/>
  <c r="N704" i="2" a="1"/>
  <c r="N704" i="2" s="1"/>
  <c r="N705" i="2" a="1"/>
  <c r="N705" i="2" s="1"/>
  <c r="N706" i="2" a="1"/>
  <c r="N706" i="2" s="1"/>
  <c r="N707" i="2" a="1"/>
  <c r="N707" i="2" s="1"/>
  <c r="N708" i="2" a="1"/>
  <c r="N708" i="2" s="1"/>
  <c r="N709" i="2" a="1"/>
  <c r="N709" i="2" s="1"/>
  <c r="N710" i="2" a="1"/>
  <c r="N710" i="2" s="1"/>
  <c r="N711" i="2" a="1"/>
  <c r="N711" i="2" s="1"/>
  <c r="N712" i="2" a="1"/>
  <c r="N712" i="2" s="1"/>
  <c r="N713" i="2" a="1"/>
  <c r="N713" i="2" s="1"/>
  <c r="N714" i="2" a="1"/>
  <c r="N714" i="2" s="1"/>
  <c r="N715" i="2" a="1"/>
  <c r="N715" i="2" s="1"/>
  <c r="N716" i="2" a="1"/>
  <c r="N716" i="2" s="1"/>
  <c r="N717" i="2" a="1"/>
  <c r="N717" i="2" s="1"/>
  <c r="N718" i="2" a="1"/>
  <c r="N718" i="2" s="1"/>
  <c r="N719" i="2" a="1"/>
  <c r="N719" i="2" s="1"/>
  <c r="N720" i="2" a="1"/>
  <c r="N720" i="2" s="1"/>
  <c r="N721" i="2" a="1"/>
  <c r="N721" i="2" s="1"/>
  <c r="N722" i="2" a="1"/>
  <c r="N722" i="2" s="1"/>
  <c r="N723" i="2" a="1"/>
  <c r="N723" i="2" s="1"/>
  <c r="N724" i="2" a="1"/>
  <c r="N724" i="2" s="1"/>
  <c r="N725" i="2" a="1"/>
  <c r="N725" i="2" s="1"/>
  <c r="N726" i="2" a="1"/>
  <c r="N726" i="2" s="1"/>
  <c r="N727" i="2" a="1"/>
  <c r="N727" i="2" s="1"/>
  <c r="N728" i="2" a="1"/>
  <c r="N728" i="2" s="1"/>
  <c r="N729" i="2" a="1"/>
  <c r="N729" i="2" s="1"/>
  <c r="N730" i="2" a="1"/>
  <c r="N730" i="2" s="1"/>
  <c r="N731" i="2" a="1"/>
  <c r="N731" i="2" s="1"/>
  <c r="N732" i="2" a="1"/>
  <c r="N732" i="2" s="1"/>
  <c r="N733" i="2" a="1"/>
  <c r="N733" i="2" s="1"/>
  <c r="N734" i="2" a="1"/>
  <c r="N734" i="2" s="1"/>
  <c r="N735" i="2" a="1"/>
  <c r="N735" i="2" s="1"/>
  <c r="N736" i="2" a="1"/>
  <c r="N736" i="2" s="1"/>
  <c r="N737" i="2" a="1"/>
  <c r="N737" i="2" s="1"/>
  <c r="N738" i="2" a="1"/>
  <c r="N738" i="2" s="1"/>
  <c r="N739" i="2" a="1"/>
  <c r="N739" i="2" s="1"/>
  <c r="N740" i="2" a="1"/>
  <c r="N740" i="2" s="1"/>
  <c r="N741" i="2" a="1"/>
  <c r="N741" i="2" s="1"/>
  <c r="N742" i="2" a="1"/>
  <c r="N742" i="2" s="1"/>
  <c r="N743" i="2" a="1"/>
  <c r="N743" i="2" s="1"/>
  <c r="N744" i="2" a="1"/>
  <c r="N744" i="2" s="1"/>
  <c r="N745" i="2" a="1"/>
  <c r="N745" i="2" s="1"/>
  <c r="N746" i="2" a="1"/>
  <c r="N746" i="2" s="1"/>
  <c r="N747" i="2" a="1"/>
  <c r="N747" i="2" s="1"/>
  <c r="N748" i="2" a="1"/>
  <c r="N748" i="2" s="1"/>
  <c r="N749" i="2" a="1"/>
  <c r="N749" i="2" s="1"/>
  <c r="N750" i="2" a="1"/>
  <c r="N750" i="2" s="1"/>
  <c r="N751" i="2" a="1"/>
  <c r="N751" i="2" s="1"/>
  <c r="N752" i="2" a="1"/>
  <c r="N752" i="2" s="1"/>
  <c r="N753" i="2" a="1"/>
  <c r="N753" i="2" s="1"/>
  <c r="N754" i="2" a="1"/>
  <c r="N754" i="2" s="1"/>
  <c r="N755" i="2" a="1"/>
  <c r="N755" i="2" s="1"/>
  <c r="N756" i="2" a="1"/>
  <c r="N756" i="2" s="1"/>
  <c r="N757" i="2" a="1"/>
  <c r="N757" i="2" s="1"/>
  <c r="N758" i="2" a="1"/>
  <c r="N758" i="2" s="1"/>
  <c r="N759" i="2" a="1"/>
  <c r="N759" i="2" s="1"/>
  <c r="N760" i="2" a="1"/>
  <c r="N760" i="2" s="1"/>
  <c r="N761" i="2" a="1"/>
  <c r="N761" i="2" s="1"/>
  <c r="N762" i="2" a="1"/>
  <c r="N762" i="2" s="1"/>
  <c r="N763" i="2" a="1"/>
  <c r="N763" i="2" s="1"/>
  <c r="N764" i="2" a="1"/>
  <c r="N764" i="2" s="1"/>
  <c r="N765" i="2" a="1"/>
  <c r="N765" i="2" s="1"/>
  <c r="N766" i="2" a="1"/>
  <c r="N766" i="2" s="1"/>
  <c r="N767" i="2" a="1"/>
  <c r="N767" i="2" s="1"/>
  <c r="N768" i="2" a="1"/>
  <c r="N768" i="2" s="1"/>
  <c r="N769" i="2" a="1"/>
  <c r="N769" i="2" s="1"/>
  <c r="N770" i="2" a="1"/>
  <c r="N770" i="2" s="1"/>
  <c r="N771" i="2" a="1"/>
  <c r="N771" i="2" s="1"/>
  <c r="N772" i="2" a="1"/>
  <c r="N772" i="2" s="1"/>
  <c r="N773" i="2" a="1"/>
  <c r="N773" i="2" s="1"/>
  <c r="N774" i="2" a="1"/>
  <c r="N774" i="2" s="1"/>
  <c r="N775" i="2" a="1"/>
  <c r="N775" i="2" s="1"/>
  <c r="N776" i="2" a="1"/>
  <c r="N776" i="2" s="1"/>
  <c r="N777" i="2" a="1"/>
  <c r="N777" i="2" s="1"/>
  <c r="N778" i="2" a="1"/>
  <c r="N778" i="2" s="1"/>
  <c r="N779" i="2" a="1"/>
  <c r="N779" i="2" s="1"/>
  <c r="N780" i="2" a="1"/>
  <c r="N780" i="2" s="1"/>
  <c r="N781" i="2" a="1"/>
  <c r="N781" i="2" s="1"/>
  <c r="N782" i="2" a="1"/>
  <c r="N782" i="2" s="1"/>
  <c r="N783" i="2" a="1"/>
  <c r="N783" i="2" s="1"/>
  <c r="N784" i="2" a="1"/>
  <c r="N784" i="2" s="1"/>
  <c r="N785" i="2" a="1"/>
  <c r="N785" i="2" s="1"/>
  <c r="N786" i="2" a="1"/>
  <c r="N786" i="2" s="1"/>
  <c r="N787" i="2" a="1"/>
  <c r="N787" i="2" s="1"/>
  <c r="N788" i="2" a="1"/>
  <c r="N788" i="2" s="1"/>
  <c r="N789" i="2" a="1"/>
  <c r="N789" i="2" s="1"/>
  <c r="N790" i="2" a="1"/>
  <c r="N790" i="2" s="1"/>
  <c r="N791" i="2" a="1"/>
  <c r="N791" i="2" s="1"/>
  <c r="N792" i="2" a="1"/>
  <c r="N792" i="2" s="1"/>
  <c r="N793" i="2" a="1"/>
  <c r="N793" i="2" s="1"/>
  <c r="N794" i="2" a="1"/>
  <c r="N794" i="2" s="1"/>
  <c r="N795" i="2" a="1"/>
  <c r="N795" i="2" s="1"/>
  <c r="N796" i="2" a="1"/>
  <c r="N796" i="2" s="1"/>
  <c r="N797" i="2" a="1"/>
  <c r="N797" i="2" s="1"/>
  <c r="N798" i="2" a="1"/>
  <c r="N798" i="2" s="1"/>
  <c r="N799" i="2" a="1"/>
  <c r="N799" i="2" s="1"/>
  <c r="N800" i="2" a="1"/>
  <c r="N800" i="2" s="1"/>
  <c r="N801" i="2" a="1"/>
  <c r="N801" i="2" s="1"/>
  <c r="N802" i="2" a="1"/>
  <c r="N802" i="2" s="1"/>
  <c r="N803" i="2" a="1"/>
  <c r="N803" i="2" s="1"/>
  <c r="N804" i="2" a="1"/>
  <c r="N804" i="2" s="1"/>
  <c r="N805" i="2" a="1"/>
  <c r="N805" i="2" s="1"/>
  <c r="N806" i="2" a="1"/>
  <c r="N806" i="2" s="1"/>
  <c r="N807" i="2" a="1"/>
  <c r="N807" i="2" s="1"/>
  <c r="N808" i="2" a="1"/>
  <c r="N808" i="2" s="1"/>
  <c r="N809" i="2" a="1"/>
  <c r="N809" i="2" s="1"/>
  <c r="N810" i="2" a="1"/>
  <c r="N810" i="2" s="1"/>
  <c r="N811" i="2" a="1"/>
  <c r="N811" i="2" s="1"/>
  <c r="N812" i="2" a="1"/>
  <c r="N812" i="2" s="1"/>
  <c r="N813" i="2" a="1"/>
  <c r="N813" i="2" s="1"/>
  <c r="N814" i="2" a="1"/>
  <c r="N814" i="2" s="1"/>
  <c r="N815" i="2" a="1"/>
  <c r="N815" i="2" s="1"/>
  <c r="N816" i="2" a="1"/>
  <c r="N816" i="2" s="1"/>
  <c r="N817" i="2" a="1"/>
  <c r="N817" i="2" s="1"/>
  <c r="N818" i="2" a="1"/>
  <c r="N818" i="2" s="1"/>
  <c r="N819" i="2" a="1"/>
  <c r="N819" i="2" s="1"/>
  <c r="N820" i="2" a="1"/>
  <c r="N820" i="2" s="1"/>
  <c r="N821" i="2" a="1"/>
  <c r="N821" i="2" s="1"/>
  <c r="N822" i="2" a="1"/>
  <c r="N822" i="2" s="1"/>
  <c r="N823" i="2" a="1"/>
  <c r="N823" i="2" s="1"/>
  <c r="N824" i="2" a="1"/>
  <c r="N824" i="2" s="1"/>
  <c r="N825" i="2" a="1"/>
  <c r="N825" i="2" s="1"/>
  <c r="N826" i="2" a="1"/>
  <c r="N826" i="2" s="1"/>
  <c r="N827" i="2" a="1"/>
  <c r="N827" i="2" s="1"/>
  <c r="N828" i="2" a="1"/>
  <c r="N828" i="2" s="1"/>
  <c r="N829" i="2" a="1"/>
  <c r="N829" i="2" s="1"/>
  <c r="N830" i="2" a="1"/>
  <c r="N830" i="2" s="1"/>
  <c r="N831" i="2" a="1"/>
  <c r="N831" i="2" s="1"/>
  <c r="N832" i="2" a="1"/>
  <c r="N832" i="2" s="1"/>
  <c r="N833" i="2" a="1"/>
  <c r="N833" i="2" s="1"/>
  <c r="N834" i="2" a="1"/>
  <c r="N834" i="2" s="1"/>
  <c r="N835" i="2" a="1"/>
  <c r="N835" i="2" s="1"/>
  <c r="N836" i="2" a="1"/>
  <c r="N836" i="2" s="1"/>
  <c r="N837" i="2" a="1"/>
  <c r="N837" i="2" s="1"/>
  <c r="N838" i="2" a="1"/>
  <c r="N838" i="2" s="1"/>
  <c r="N839" i="2" a="1"/>
  <c r="N839" i="2" s="1"/>
  <c r="N840" i="2" a="1"/>
  <c r="N840" i="2" s="1"/>
  <c r="N841" i="2" a="1"/>
  <c r="N841" i="2" s="1"/>
  <c r="N842" i="2" a="1"/>
  <c r="N842" i="2" s="1"/>
  <c r="N843" i="2" a="1"/>
  <c r="N843" i="2" s="1"/>
  <c r="N844" i="2" a="1"/>
  <c r="N844" i="2" s="1"/>
  <c r="N845" i="2" a="1"/>
  <c r="N845" i="2" s="1"/>
  <c r="N846" i="2" a="1"/>
  <c r="N846" i="2" s="1"/>
  <c r="N847" i="2" a="1"/>
  <c r="N847" i="2" s="1"/>
  <c r="N848" i="2" a="1"/>
  <c r="N848" i="2" s="1"/>
  <c r="N849" i="2" a="1"/>
  <c r="N849" i="2" s="1"/>
  <c r="N850" i="2" a="1"/>
  <c r="N850" i="2" s="1"/>
  <c r="N851" i="2" a="1"/>
  <c r="N851" i="2" s="1"/>
  <c r="N852" i="2" a="1"/>
  <c r="N852" i="2" s="1"/>
  <c r="N853" i="2" a="1"/>
  <c r="N853" i="2" s="1"/>
  <c r="N854" i="2" a="1"/>
  <c r="N854" i="2" s="1"/>
  <c r="N855" i="2" a="1"/>
  <c r="N855" i="2" s="1"/>
  <c r="N856" i="2" a="1"/>
  <c r="N856" i="2" s="1"/>
  <c r="N857" i="2" a="1"/>
  <c r="N857" i="2" s="1"/>
  <c r="N858" i="2" a="1"/>
  <c r="N858" i="2" s="1"/>
  <c r="N859" i="2" a="1"/>
  <c r="N859" i="2" s="1"/>
  <c r="N860" i="2" a="1"/>
  <c r="N860" i="2" s="1"/>
  <c r="N861" i="2" a="1"/>
  <c r="N861" i="2" s="1"/>
  <c r="N862" i="2" a="1"/>
  <c r="N862" i="2" s="1"/>
  <c r="N863" i="2" a="1"/>
  <c r="N863" i="2" s="1"/>
  <c r="N864" i="2" a="1"/>
  <c r="N864" i="2" s="1"/>
  <c r="N865" i="2" a="1"/>
  <c r="N865" i="2" s="1"/>
  <c r="N866" i="2" a="1"/>
  <c r="N866" i="2" s="1"/>
  <c r="N867" i="2" a="1"/>
  <c r="N867" i="2" s="1"/>
  <c r="N868" i="2" a="1"/>
  <c r="N868" i="2" s="1"/>
  <c r="N869" i="2" a="1"/>
  <c r="N869" i="2" s="1"/>
  <c r="N870" i="2" a="1"/>
  <c r="N870" i="2" s="1"/>
  <c r="N871" i="2" a="1"/>
  <c r="N871" i="2" s="1"/>
  <c r="N872" i="2" a="1"/>
  <c r="N872" i="2" s="1"/>
  <c r="N873" i="2" a="1"/>
  <c r="N873" i="2" s="1"/>
  <c r="N874" i="2" a="1"/>
  <c r="N874" i="2" s="1"/>
  <c r="N875" i="2" a="1"/>
  <c r="N875" i="2" s="1"/>
  <c r="N876" i="2" a="1"/>
  <c r="N876" i="2" s="1"/>
  <c r="N877" i="2" a="1"/>
  <c r="N877" i="2" s="1"/>
  <c r="N878" i="2" a="1"/>
  <c r="N878" i="2" s="1"/>
  <c r="N879" i="2" a="1"/>
  <c r="N879" i="2" s="1"/>
  <c r="N880" i="2" a="1"/>
  <c r="N880" i="2" s="1"/>
  <c r="N881" i="2" a="1"/>
  <c r="N881" i="2" s="1"/>
  <c r="N882" i="2" a="1"/>
  <c r="N882" i="2" s="1"/>
  <c r="N883" i="2" a="1"/>
  <c r="N883" i="2" s="1"/>
  <c r="N884" i="2" a="1"/>
  <c r="N884" i="2" s="1"/>
  <c r="N885" i="2" a="1"/>
  <c r="N885" i="2" s="1"/>
  <c r="N886" i="2" a="1"/>
  <c r="N886" i="2" s="1"/>
  <c r="N887" i="2" a="1"/>
  <c r="N887" i="2" s="1"/>
  <c r="N888" i="2" a="1"/>
  <c r="N888" i="2" s="1"/>
  <c r="N889" i="2" a="1"/>
  <c r="N889" i="2" s="1"/>
  <c r="N890" i="2" a="1"/>
  <c r="N890" i="2" s="1"/>
  <c r="N891" i="2" a="1"/>
  <c r="N891" i="2" s="1"/>
  <c r="N892" i="2" a="1"/>
  <c r="N892" i="2" s="1"/>
  <c r="N893" i="2" a="1"/>
  <c r="N893" i="2" s="1"/>
  <c r="N894" i="2" a="1"/>
  <c r="N894" i="2" s="1"/>
  <c r="N895" i="2" a="1"/>
  <c r="N895" i="2" s="1"/>
  <c r="N896" i="2" a="1"/>
  <c r="N896" i="2" s="1"/>
  <c r="N897" i="2" a="1"/>
  <c r="N897" i="2" s="1"/>
  <c r="N898" i="2" a="1"/>
  <c r="N898" i="2" s="1"/>
  <c r="N899" i="2" a="1"/>
  <c r="N899" i="2" s="1"/>
  <c r="N900" i="2" a="1"/>
  <c r="N900" i="2" s="1"/>
  <c r="N901" i="2" a="1"/>
  <c r="N901" i="2" s="1"/>
  <c r="N902" i="2" a="1"/>
  <c r="N902" i="2" s="1"/>
  <c r="N903" i="2" a="1"/>
  <c r="N903" i="2" s="1"/>
  <c r="N904" i="2" a="1"/>
  <c r="N904" i="2" s="1"/>
  <c r="N905" i="2" a="1"/>
  <c r="N905" i="2" s="1"/>
  <c r="N906" i="2" a="1"/>
  <c r="N906" i="2" s="1"/>
  <c r="N907" i="2" a="1"/>
  <c r="N907" i="2" s="1"/>
  <c r="N908" i="2" a="1"/>
  <c r="N908" i="2" s="1"/>
  <c r="N909" i="2" a="1"/>
  <c r="N909" i="2" s="1"/>
  <c r="N910" i="2" a="1"/>
  <c r="N910" i="2" s="1"/>
  <c r="N911" i="2" a="1"/>
  <c r="N911" i="2" s="1"/>
  <c r="N912" i="2" a="1"/>
  <c r="N912" i="2" s="1"/>
  <c r="N913" i="2" a="1"/>
  <c r="N913" i="2" s="1"/>
  <c r="N914" i="2" a="1"/>
  <c r="N914" i="2" s="1"/>
  <c r="N915" i="2" a="1"/>
  <c r="N915" i="2" s="1"/>
  <c r="N916" i="2" a="1"/>
  <c r="N916" i="2" s="1"/>
  <c r="N917" i="2" a="1"/>
  <c r="N917" i="2" s="1"/>
  <c r="N918" i="2" a="1"/>
  <c r="N918" i="2" s="1"/>
  <c r="N919" i="2" a="1"/>
  <c r="N919" i="2" s="1"/>
  <c r="N920" i="2" a="1"/>
  <c r="N920" i="2" s="1"/>
  <c r="N921" i="2" a="1"/>
  <c r="N921" i="2" s="1"/>
  <c r="N922" i="2" a="1"/>
  <c r="N922" i="2" s="1"/>
  <c r="N923" i="2" a="1"/>
  <c r="N923" i="2" s="1"/>
  <c r="N924" i="2" a="1"/>
  <c r="N924" i="2" s="1"/>
  <c r="N925" i="2" a="1"/>
  <c r="N925" i="2" s="1"/>
  <c r="N926" i="2" a="1"/>
  <c r="N926" i="2" s="1"/>
  <c r="N927" i="2" a="1"/>
  <c r="N927" i="2" s="1"/>
  <c r="N928" i="2" a="1"/>
  <c r="N928" i="2" s="1"/>
  <c r="N929" i="2" a="1"/>
  <c r="N929" i="2" s="1"/>
  <c r="N930" i="2" a="1"/>
  <c r="N930" i="2" s="1"/>
  <c r="N931" i="2" a="1"/>
  <c r="N931" i="2" s="1"/>
  <c r="N932" i="2" a="1"/>
  <c r="N932" i="2" s="1"/>
  <c r="N933" i="2" a="1"/>
  <c r="N933" i="2" s="1"/>
  <c r="N934" i="2" a="1"/>
  <c r="N934" i="2" s="1"/>
  <c r="N935" i="2" a="1"/>
  <c r="N935" i="2" s="1"/>
  <c r="N936" i="2" a="1"/>
  <c r="N936" i="2" s="1"/>
  <c r="N937" i="2" a="1"/>
  <c r="N937" i="2" s="1"/>
  <c r="N938" i="2" a="1"/>
  <c r="N938" i="2" s="1"/>
  <c r="N939" i="2" a="1"/>
  <c r="N939" i="2" s="1"/>
  <c r="N940" i="2" a="1"/>
  <c r="N940" i="2" s="1"/>
  <c r="N941" i="2" a="1"/>
  <c r="N941" i="2" s="1"/>
  <c r="N942" i="2" a="1"/>
  <c r="N942" i="2" s="1"/>
  <c r="N943" i="2" a="1"/>
  <c r="N943" i="2" s="1"/>
  <c r="N944" i="2" a="1"/>
  <c r="N944" i="2" s="1"/>
  <c r="N945" i="2" a="1"/>
  <c r="N945" i="2" s="1"/>
  <c r="N946" i="2" a="1"/>
  <c r="N946" i="2" s="1"/>
  <c r="N947" i="2" a="1"/>
  <c r="N947" i="2" s="1"/>
  <c r="N948" i="2" a="1"/>
  <c r="N948" i="2" s="1"/>
  <c r="N949" i="2" a="1"/>
  <c r="N949" i="2" s="1"/>
  <c r="N950" i="2" a="1"/>
  <c r="N950" i="2" s="1"/>
  <c r="N951" i="2" a="1"/>
  <c r="N951" i="2" s="1"/>
  <c r="N952" i="2" a="1"/>
  <c r="N952" i="2" s="1"/>
  <c r="N953" i="2" a="1"/>
  <c r="N953" i="2" s="1"/>
  <c r="N954" i="2" a="1"/>
  <c r="N954" i="2" s="1"/>
  <c r="N955" i="2" a="1"/>
  <c r="N955" i="2" s="1"/>
  <c r="N956" i="2" a="1"/>
  <c r="N956" i="2" s="1"/>
  <c r="N957" i="2" a="1"/>
  <c r="N957" i="2" s="1"/>
  <c r="N958" i="2" a="1"/>
  <c r="N958" i="2" s="1"/>
  <c r="N959" i="2" a="1"/>
  <c r="N959" i="2" s="1"/>
  <c r="N960" i="2" a="1"/>
  <c r="N960" i="2" s="1"/>
  <c r="N961" i="2" a="1"/>
  <c r="N961" i="2" s="1"/>
  <c r="N962" i="2" a="1"/>
  <c r="N962" i="2" s="1"/>
  <c r="N963" i="2" a="1"/>
  <c r="N963" i="2" s="1"/>
  <c r="N964" i="2" a="1"/>
  <c r="N964" i="2" s="1"/>
  <c r="N965" i="2" a="1"/>
  <c r="N965" i="2" s="1"/>
  <c r="N966" i="2" a="1"/>
  <c r="N966" i="2" s="1"/>
  <c r="N967" i="2" a="1"/>
  <c r="N967" i="2" s="1"/>
  <c r="N968" i="2" a="1"/>
  <c r="N968" i="2" s="1"/>
  <c r="N969" i="2" a="1"/>
  <c r="N969" i="2" s="1"/>
  <c r="N970" i="2" a="1"/>
  <c r="N970" i="2" s="1"/>
  <c r="N971" i="2" a="1"/>
  <c r="N971" i="2" s="1"/>
  <c r="N972" i="2" a="1"/>
  <c r="N972" i="2" s="1"/>
  <c r="N973" i="2" a="1"/>
  <c r="N973" i="2" s="1"/>
  <c r="N974" i="2" a="1"/>
  <c r="N974" i="2" s="1"/>
  <c r="N975" i="2" a="1"/>
  <c r="N975" i="2" s="1"/>
  <c r="N976" i="2" a="1"/>
  <c r="N976" i="2" s="1"/>
  <c r="N977" i="2" a="1"/>
  <c r="N977" i="2" s="1"/>
  <c r="N978" i="2" a="1"/>
  <c r="N978" i="2" s="1"/>
  <c r="N979" i="2" a="1"/>
  <c r="N979" i="2" s="1"/>
  <c r="N980" i="2" a="1"/>
  <c r="N980" i="2" s="1"/>
  <c r="N981" i="2" a="1"/>
  <c r="N981" i="2" s="1"/>
  <c r="N982" i="2" a="1"/>
  <c r="N982" i="2" s="1"/>
  <c r="N983" i="2" a="1"/>
  <c r="N983" i="2" s="1"/>
  <c r="N984" i="2" a="1"/>
  <c r="N984" i="2" s="1"/>
  <c r="N985" i="2" a="1"/>
  <c r="N985" i="2" s="1"/>
  <c r="N986" i="2" a="1"/>
  <c r="N986" i="2" s="1"/>
  <c r="N987" i="2" a="1"/>
  <c r="N987" i="2" s="1"/>
  <c r="N988" i="2" a="1"/>
  <c r="N988" i="2" s="1"/>
  <c r="N989" i="2" a="1"/>
  <c r="N989" i="2" s="1"/>
  <c r="N990" i="2" a="1"/>
  <c r="N990" i="2" s="1"/>
  <c r="N991" i="2" a="1"/>
  <c r="N991" i="2" s="1"/>
  <c r="N992" i="2" a="1"/>
  <c r="N992" i="2" s="1"/>
  <c r="N993" i="2" a="1"/>
  <c r="N993" i="2" s="1"/>
  <c r="N994" i="2" a="1"/>
  <c r="N994" i="2" s="1"/>
  <c r="N995" i="2" a="1"/>
  <c r="N995" i="2" s="1"/>
  <c r="N996" i="2" a="1"/>
  <c r="N996" i="2" s="1"/>
  <c r="N997" i="2" a="1"/>
  <c r="N997" i="2" s="1"/>
  <c r="N998" i="2" a="1"/>
  <c r="N998" i="2" s="1"/>
  <c r="N999" i="2" a="1"/>
  <c r="N999" i="2" s="1"/>
  <c r="N1000" i="2" a="1"/>
  <c r="N1000" i="2" s="1"/>
  <c r="N1001" i="2" a="1"/>
  <c r="N1001" i="2" s="1"/>
  <c r="N2" i="2" a="1"/>
  <c r="N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<sst xmlns="http://schemas.openxmlformats.org/spreadsheetml/2006/main" count="16376" uniqueCount="104">
  <si>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</si>
  <si>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</si>
  <si>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</si>
  <si>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</si>
  <si>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</si>
  <si>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</si>
  <si>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</si>
  <si>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</si>
  <si>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</si>
  <si>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</si>
  <si>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</si>
  <si>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</si>
  <si>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</si>
  <si>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</si>
  <si>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</si>
  <si>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</si>
  <si>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</si>
  <si>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</si>
  <si>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</si>
  <si>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</si>
  <si>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</si>
  <si>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</si>
  <si>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</si>
  <si>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</si>
  <si>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</si>
  <si>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</si>
  <si>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</si>
  <si>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</si>
  <si>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</si>
  <si>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</si>
  <si>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</si>
  <si>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</si>
  <si>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</si>
  <si>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</si>
  <si>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</si>
  <si>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</si>
  <si>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</si>
  <si>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</si>
  <si>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</si>
  <si>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</si>
  <si>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Group</t>
  </si>
  <si>
    <t>Grand Total</t>
  </si>
  <si>
    <t>Count of Purchased Bike</t>
  </si>
  <si>
    <t>10 Miles+</t>
  </si>
  <si>
    <t>Average of Income</t>
  </si>
  <si>
    <t>f</t>
  </si>
  <si>
    <t>europe</t>
  </si>
  <si>
    <t>Bachelorrs</t>
  </si>
  <si>
    <t>Middle-aged</t>
  </si>
  <si>
    <t>Old</t>
  </si>
  <si>
    <t>Young</t>
  </si>
  <si>
    <t>Key Insights</t>
  </si>
  <si>
    <t xml:space="preserve"> M</t>
  </si>
  <si>
    <t>bachelors</t>
  </si>
  <si>
    <t>high School</t>
  </si>
  <si>
    <t>pacific</t>
  </si>
  <si>
    <t xml:space="preserve"> Europe</t>
  </si>
  <si>
    <t xml:space="preserve">5-10 Miles </t>
  </si>
  <si>
    <t>Income Group</t>
  </si>
  <si>
    <t>High Income</t>
  </si>
  <si>
    <t>Low Income</t>
  </si>
  <si>
    <t>Middle Income</t>
  </si>
  <si>
    <t>partial College</t>
  </si>
  <si>
    <t>manual</t>
  </si>
  <si>
    <t>Customers with shorter commute distances showed higher purchase volume, while the 10 miles + group had fewer purchases.</t>
  </si>
  <si>
    <t>North America recorded the highest number of bike buyers</t>
  </si>
  <si>
    <t>Bike purchases where more common among male, middle-aged and lower-income customers, with purchasing patterns also varying by region and occupation.</t>
  </si>
  <si>
    <t>Male customers recorded a higher number of bike purchases than female customers.</t>
  </si>
  <si>
    <t>Focus marketing efforts on customer groups with higher bike purchase activity.</t>
  </si>
  <si>
    <t>Offer affordable bikes, discounts, or flexible payment options to attract more customers in this group.</t>
  </si>
  <si>
    <t>Focus marketing efforts on middle-aged customers and highlight benefits relevant to this group.</t>
  </si>
  <si>
    <t>Prioritize professionals as a potential target segment and conduct further research to understand what drives their higher purchase activity.</t>
  </si>
  <si>
    <t>Use commute distance to help identify and prioritize customers who are more likely to purchase bikes in future marketing campaigns.</t>
  </si>
  <si>
    <t>Recommendations</t>
  </si>
  <si>
    <t>Executive Summary</t>
  </si>
  <si>
    <t>This analysis examined customer characteristics and bike purchasing patterns. The findings show that bike purchases were more common among male, middle-aged and lower-income customers, with professionals recording the highest number of purchases among occupations. Customers with shorter commute distances also recorded higher purchase volumes, while North America recorded the highest number of bike buyers. These findings can help the business identify and prioritize customer segments and regions with stronger purchase activity.</t>
  </si>
  <si>
    <t>The low-income group recorded the highest number of bike purchases.</t>
  </si>
  <si>
    <t>Middle-aged customers recorded the highest number of bike purchases among the age groups analyzed, indicating that this segment showed a stronger tendency to purchase bikes.</t>
  </si>
  <si>
    <t>Professionals recorded the highest number of bike purchases among the occupations analyzed</t>
  </si>
  <si>
    <t>Continue targeting the male customer segment while developing strategies to increase engagement and purchases among female customers.</t>
  </si>
  <si>
    <t>Prioritize North America as a strong market while investigating the lower-performing regions to identify opportunities to improve bike purchases.</t>
  </si>
  <si>
    <t>Bike Purchase Dashboard</t>
  </si>
  <si>
    <t>Column Name</t>
  </si>
  <si>
    <t>Description</t>
  </si>
  <si>
    <t>Data Type</t>
  </si>
  <si>
    <t>Example</t>
  </si>
  <si>
    <t xml:space="preserve">Region </t>
  </si>
  <si>
    <t>Unique identifier assigned to each customer</t>
  </si>
  <si>
    <t>Age  of the customer</t>
  </si>
  <si>
    <t>Indicates whether a customer is married or single</t>
  </si>
  <si>
    <t>Indicates whether a customer is male or female</t>
  </si>
  <si>
    <t>Income of the customer</t>
  </si>
  <si>
    <t>Income category assigned to the customer</t>
  </si>
  <si>
    <t>Number of children the customer has</t>
  </si>
  <si>
    <t>Occupation of the customer</t>
  </si>
  <si>
    <t>Indicates whether the customer owns a home or not</t>
  </si>
  <si>
    <t xml:space="preserve">Number of cars owned by the customer </t>
  </si>
  <si>
    <t>Geographical lotion where the customer resides</t>
  </si>
  <si>
    <t>Age category assigned to the customer</t>
  </si>
  <si>
    <t>Indicates whether a customer purchased a bike or not</t>
  </si>
  <si>
    <t>Distance between customer's home and work place</t>
  </si>
  <si>
    <t>Text</t>
  </si>
  <si>
    <t xml:space="preserve">Number </t>
  </si>
  <si>
    <t>Educational level attained by the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</si>
</sst>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
      <b/>
      <sz val="16"/>
      <color theme="1"/>
      <name val="Calibri"/>
      <family val="2"/>
      <scheme val="minor"/>
    </font>
    <font>
      <b/>
      <sz val="24"/>
      <color theme="1"/>
      <name val="Calibri"/>
      <family val="2"/>
      <scheme val="minor"/>
    </font>
    <font>
      <b/>
      <sz val="26"/>
      <color theme="1"/>
      <name val="Calibri"/>
      <family val="2"/>
      <scheme val="minor"/>
    </font>
    <font>
      <b/>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bgColor theme="9"/>
      </patternFill>
    </fill>
    <fill>
      <patternFill patternType="solid">
        <fgColor theme="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18" fillId="0" borderId="0" xfId="0" applyFont="1"/>
    <xf numFmtId="0" fontId="0" fillId="0" borderId="0" xfId="0" pivotButton="1"/>
    <xf numFmtId="165" fontId="0" fillId="0" borderId="0" xfId="0" applyNumberFormat="1"/>
    <xf numFmtId="0" fontId="19" fillId="33" borderId="0" xfId="0" applyFont="1" applyFill="1"/>
    <xf numFmtId="2" fontId="0" fillId="0" borderId="0" xfId="0" applyNumberFormat="1"/>
    <xf numFmtId="164" fontId="0" fillId="0" borderId="10" xfId="0" applyNumberFormat="1" applyBorder="1"/>
    <xf numFmtId="0" fontId="20" fillId="0" borderId="0" xfId="0" applyFont="1"/>
    <xf numFmtId="0" fontId="0" fillId="0" borderId="0" xfId="0" applyAlignment="1">
      <alignment wrapText="1"/>
    </xf>
    <xf numFmtId="0" fontId="20" fillId="0" borderId="0" xfId="0" applyFont="1" applyAlignment="1">
      <alignment horizontal="center"/>
    </xf>
    <xf numFmtId="0" fontId="23" fillId="0" borderId="0" xfId="0" applyFont="1"/>
    <xf numFmtId="1" fontId="0" fillId="0" borderId="0" xfId="0" applyNumberFormat="1"/>
    <xf numFmtId="49" fontId="0" fillId="0" borderId="0" xfId="0" applyNumberFormat="1"/>
    <xf numFmtId="2" fontId="13" fillId="34" borderId="0" xfId="0" applyNumberFormat="1" applyFont="1" applyFill="1"/>
    <xf numFmtId="2" fontId="0" fillId="0" borderId="10" xfId="0" applyNumberFormat="1" applyBorder="1"/>
    <xf numFmtId="1" fontId="13" fillId="34" borderId="0" xfId="0" applyNumberFormat="1" applyFont="1" applyFill="1"/>
    <xf numFmtId="1" fontId="0" fillId="0" borderId="10" xfId="0" applyNumberFormat="1" applyBorder="1"/>
    <xf numFmtId="49" fontId="13" fillId="34" borderId="0" xfId="0" applyNumberFormat="1" applyFont="1" applyFill="1"/>
    <xf numFmtId="49" fontId="0" fillId="0" borderId="10" xfId="0" applyNumberFormat="1" applyBorder="1"/>
    <xf numFmtId="164" fontId="13" fillId="34" borderId="0" xfId="0" applyNumberFormat="1" applyFont="1" applyFill="1"/>
    <xf numFmtId="164" fontId="0" fillId="0" borderId="0" xfId="0" applyNumberFormat="1"/>
    <xf numFmtId="1" fontId="18" fillId="0" borderId="10" xfId="0" applyNumberFormat="1" applyFont="1" applyBorder="1"/>
    <xf numFmtId="3" fontId="0" fillId="0" borderId="0" xfId="0" applyNumberFormat="1"/>
    <xf numFmtId="0" fontId="22" fillId="35" borderId="0" xfId="0" applyFont="1" applyFill="1" applyAlignment="1">
      <alignment horizontal="center" vertical="center"/>
    </xf>
    <xf numFmtId="0" fontId="21" fillId="35"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font>
        <b val="0"/>
        <i val="0"/>
        <strike val="0"/>
        <condense val="0"/>
        <extend val="0"/>
        <outline val="0"/>
        <shadow val="0"/>
        <u val="none"/>
        <vertAlign val="baseline"/>
        <sz val="11"/>
        <color theme="1"/>
        <name val="Calibri"/>
        <family val="2"/>
        <scheme val="minor"/>
      </font>
      <numFmt numFmtId="30" formatCode="@"/>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30" formatCode="@"/>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2" formatCode="0.0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30" formatCode="@"/>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30" formatCode="@"/>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30" formatCode="@"/>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30" formatCode="@"/>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30" formatCode="@"/>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30" formatCode="@"/>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164" formatCode="&quot;$&quot;#,##0.0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30" formatCode="@"/>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30" formatCode="@"/>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2" formatCode="0.00"/>
      <border diagonalUp="0" diagonalDown="0" outline="0">
        <left/>
        <right/>
        <top style="thin">
          <color theme="9"/>
        </top>
        <bottom/>
      </border>
    </dxf>
    <dxf>
      <border outline="0">
        <left style="thin">
          <color theme="9"/>
        </left>
        <right style="thin">
          <color theme="9"/>
        </right>
        <top style="thin">
          <color theme="9"/>
        </top>
        <bottom style="thin">
          <color theme="9"/>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[Bike-Purchase-Analysis.xlsx]Pivot_Table &amp;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Avg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 &amp; Analysis'!$B$3:$B$4</c:f>
              <c:strCache>
                <c:ptCount val="1"/>
                <c:pt idx="0">
                  <c:v>No</c:v>
                </c:pt>
              </c:strCache>
            </c:strRef>
          </c:tx>
          <c:spPr>
            <a:solidFill>
              <a:schemeClr val="accent6"/>
            </a:solidFill>
            <a:ln>
              <a:noFill/>
            </a:ln>
            <a:effectLst/>
          </c:spPr>
          <c:invertIfNegative val="0"/>
          <c:cat>
            <c:strRef>
              <c:f>'Pivot_Table &amp; Analysis'!$A$5:$A$7</c:f>
              <c:strCache>
                <c:ptCount val="2"/>
                <c:pt idx="0">
                  <c:v>Female</c:v>
                </c:pt>
                <c:pt idx="1">
                  <c:v>Male</c:v>
                </c:pt>
              </c:strCache>
            </c:strRef>
          </c:cat>
          <c:val>
            <c:numRef>
              <c:f>'Pivot_Table &amp; Analysis'!$B$5:$B$7</c:f>
              <c:numCache>
                <c:formatCode>"$"#,##0</c:formatCode>
                <c:ptCount val="2"/>
                <c:pt idx="0">
                  <c:v>53440</c:v>
                </c:pt>
                <c:pt idx="1">
                  <c:v>56208.178438661707</c:v>
                </c:pt>
              </c:numCache>
            </c:numRef>
          </c:val>
          <c:extLst>
            <c:ext xmlns:c16="http://schemas.microsoft.com/office/drawing/2014/chart" uri="{C3380CC4-5D6E-409C-BE32-E72D297353CC}">
              <c16:uniqueId val="{00000003-03A2-436D-BCB1-D209B76C3704}"/>
            </c:ext>
          </c:extLst>
        </c:ser>
        <c:ser>
          <c:idx val="1"/>
          <c:order val="1"/>
          <c:tx>
            <c:strRef>
              <c:f>'Pivot_Table &amp; Analysis'!$C$3:$C$4</c:f>
              <c:strCache>
                <c:ptCount val="1"/>
                <c:pt idx="0">
                  <c:v>Yes</c:v>
                </c:pt>
              </c:strCache>
            </c:strRef>
          </c:tx>
          <c:spPr>
            <a:solidFill>
              <a:schemeClr val="accent2"/>
            </a:solidFill>
            <a:ln>
              <a:noFill/>
            </a:ln>
            <a:effectLst/>
          </c:spPr>
          <c:invertIfNegative val="0"/>
          <c:cat>
            <c:strRef>
              <c:f>'Pivot_Table &amp; Analysis'!$A$5:$A$7</c:f>
              <c:strCache>
                <c:ptCount val="2"/>
                <c:pt idx="0">
                  <c:v>Female</c:v>
                </c:pt>
                <c:pt idx="1">
                  <c:v>Male</c:v>
                </c:pt>
              </c:strCache>
            </c:strRef>
          </c:cat>
          <c:val>
            <c:numRef>
              <c:f>'Pivot_Table &amp; Analysis'!$C$5:$C$7</c:f>
              <c:numCache>
                <c:formatCode>"$"#,##0</c:formatCode>
                <c:ptCount val="2"/>
                <c:pt idx="0">
                  <c:v>55774.058577405856</c:v>
                </c:pt>
                <c:pt idx="1">
                  <c:v>60123.966942148763</c:v>
                </c:pt>
              </c:numCache>
            </c:numRef>
          </c:val>
          <c:extLst>
            <c:ext xmlns:c16="http://schemas.microsoft.com/office/drawing/2014/chart" uri="{C3380CC4-5D6E-409C-BE32-E72D297353CC}">
              <c16:uniqueId val="{00000004-03A2-436D-BCB1-D209B76C3704}"/>
            </c:ext>
          </c:extLst>
        </c:ser>
        <c:dLbls>
          <c:showLegendKey val="0"/>
          <c:showVal val="0"/>
          <c:showCatName val="0"/>
          <c:showSerName val="0"/>
          <c:showPercent val="0"/>
          <c:showBubbleSize val="0"/>
        </c:dLbls>
        <c:gapWidth val="219"/>
        <c:overlap val="-27"/>
        <c:axId val="1076504911"/>
        <c:axId val="1076506351"/>
      </c:barChart>
      <c:catAx>
        <c:axId val="107650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06351"/>
        <c:crosses val="autoZero"/>
        <c:auto val="1"/>
        <c:lblAlgn val="ctr"/>
        <c:lblOffset val="100"/>
        <c:noMultiLvlLbl val="0"/>
      </c:catAx>
      <c:valAx>
        <c:axId val="1076506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049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[Bike-Purchase-Analysis.xlsx]Pivot_Table &amp; 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Group</a:t>
            </a:r>
            <a:r>
              <a:rPr lang="en-US" baseline="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 &amp; Analysis'!$B$49:$B$50</c:f>
              <c:strCache>
                <c:ptCount val="1"/>
                <c:pt idx="0">
                  <c:v>No</c:v>
                </c:pt>
              </c:strCache>
            </c:strRef>
          </c:tx>
          <c:spPr>
            <a:solidFill>
              <a:schemeClr val="accent6"/>
            </a:solidFill>
            <a:ln>
              <a:noFill/>
            </a:ln>
            <a:effectLst/>
          </c:spPr>
          <c:invertIfNegative val="0"/>
          <c:cat>
            <c:strRef>
              <c:f>'Pivot_Table &amp; Analysis'!$A$51:$A$54</c:f>
              <c:strCache>
                <c:ptCount val="3"/>
                <c:pt idx="0">
                  <c:v>Middle-aged</c:v>
                </c:pt>
                <c:pt idx="1">
                  <c:v>Old</c:v>
                </c:pt>
                <c:pt idx="2">
                  <c:v>Young</c:v>
                </c:pt>
              </c:strCache>
            </c:strRef>
          </c:cat>
          <c:val>
            <c:numRef>
              <c:f>'Pivot_Table &amp; Analysis'!$B$51:$B$54</c:f>
              <c:numCache>
                <c:formatCode>General</c:formatCode>
                <c:ptCount val="3"/>
                <c:pt idx="0">
                  <c:v>262</c:v>
                </c:pt>
                <c:pt idx="1">
                  <c:v>130</c:v>
                </c:pt>
                <c:pt idx="2">
                  <c:v>127</c:v>
                </c:pt>
              </c:numCache>
            </c:numRef>
          </c:val>
          <c:extLst>
            <c:ext xmlns:c16="http://schemas.microsoft.com/office/drawing/2014/chart" uri="{C3380CC4-5D6E-409C-BE32-E72D297353CC}">
              <c16:uniqueId val="{00000000-F8D5-4AD5-9AF5-98E42E5443C2}"/>
            </c:ext>
          </c:extLst>
        </c:ser>
        <c:ser>
          <c:idx val="1"/>
          <c:order val="1"/>
          <c:tx>
            <c:strRef>
              <c:f>'Pivot_Table &amp; Analysis'!$C$49:$C$50</c:f>
              <c:strCache>
                <c:ptCount val="1"/>
                <c:pt idx="0">
                  <c:v>Yes</c:v>
                </c:pt>
              </c:strCache>
            </c:strRef>
          </c:tx>
          <c:spPr>
            <a:solidFill>
              <a:schemeClr val="accent2"/>
            </a:solidFill>
            <a:ln>
              <a:noFill/>
            </a:ln>
            <a:effectLst/>
          </c:spPr>
          <c:invertIfNegative val="0"/>
          <c:cat>
            <c:strRef>
              <c:f>'Pivot_Table &amp; Analysis'!$A$51:$A$54</c:f>
              <c:strCache>
                <c:ptCount val="3"/>
                <c:pt idx="0">
                  <c:v>Middle-aged</c:v>
                </c:pt>
                <c:pt idx="1">
                  <c:v>Old</c:v>
                </c:pt>
                <c:pt idx="2">
                  <c:v>Young</c:v>
                </c:pt>
              </c:strCache>
            </c:strRef>
          </c:cat>
          <c:val>
            <c:numRef>
              <c:f>'Pivot_Table &amp; Analysis'!$C$51:$C$54</c:f>
              <c:numCache>
                <c:formatCode>General</c:formatCode>
                <c:ptCount val="3"/>
                <c:pt idx="0">
                  <c:v>329</c:v>
                </c:pt>
                <c:pt idx="1">
                  <c:v>59</c:v>
                </c:pt>
                <c:pt idx="2">
                  <c:v>93</c:v>
                </c:pt>
              </c:numCache>
            </c:numRef>
          </c:val>
          <c:extLst>
            <c:ext xmlns:c16="http://schemas.microsoft.com/office/drawing/2014/chart" uri="{C3380CC4-5D6E-409C-BE32-E72D297353CC}">
              <c16:uniqueId val="{00000001-F8D5-4AD5-9AF5-98E42E5443C2}"/>
            </c:ext>
          </c:extLst>
        </c:ser>
        <c:dLbls>
          <c:showLegendKey val="0"/>
          <c:showVal val="0"/>
          <c:showCatName val="0"/>
          <c:showSerName val="0"/>
          <c:showPercent val="0"/>
          <c:showBubbleSize val="0"/>
        </c:dLbls>
        <c:gapWidth val="10"/>
        <c:axId val="1168766127"/>
        <c:axId val="1168766607"/>
      </c:barChart>
      <c:catAx>
        <c:axId val="116876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66607"/>
        <c:crosses val="autoZero"/>
        <c:auto val="1"/>
        <c:lblAlgn val="ctr"/>
        <c:lblOffset val="100"/>
        <c:noMultiLvlLbl val="0"/>
      </c:catAx>
      <c:valAx>
        <c:axId val="116876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6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[Bike-Purchase-Analysis.xlsx]Pivot_Table &amp; Analysis!PivotTable15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 &amp; Analysis'!$B$34:$B$35</c:f>
              <c:strCache>
                <c:ptCount val="1"/>
                <c:pt idx="0">
                  <c:v>No</c:v>
                </c:pt>
              </c:strCache>
            </c:strRef>
          </c:tx>
          <c:spPr>
            <a:ln w="28575" cap="rnd">
              <a:solidFill>
                <a:schemeClr val="accent6">
                  <a:lumMod val="75000"/>
                </a:schemeClr>
              </a:solidFill>
              <a:round/>
            </a:ln>
            <a:effectLst/>
          </c:spPr>
          <c:marker>
            <c:symbol val="none"/>
          </c:marker>
          <c:cat>
            <c:strRef>
              <c:f>'Pivot_Table &amp; Analysis'!$A$36:$A$41</c:f>
              <c:strCache>
                <c:ptCount val="5"/>
                <c:pt idx="0">
                  <c:v>0-1 Miles</c:v>
                </c:pt>
                <c:pt idx="1">
                  <c:v>1-2 Miles</c:v>
                </c:pt>
                <c:pt idx="2">
                  <c:v>2-5 Miles</c:v>
                </c:pt>
                <c:pt idx="3">
                  <c:v>5-10 Miles</c:v>
                </c:pt>
                <c:pt idx="4">
                  <c:v>10 Miles+</c:v>
                </c:pt>
              </c:strCache>
            </c:strRef>
          </c:cat>
          <c:val>
            <c:numRef>
              <c:f>'Pivot_Table &amp; Analysis'!$B$36:$B$41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E30-4D2D-A877-A75A7DD5714D}"/>
            </c:ext>
          </c:extLst>
        </c:ser>
        <c:ser>
          <c:idx val="1"/>
          <c:order val="1"/>
          <c:tx>
            <c:strRef>
              <c:f>'Pivot_Table &amp; Analysis'!$C$34:$C$35</c:f>
              <c:strCache>
                <c:ptCount val="1"/>
                <c:pt idx="0">
                  <c:v>Yes</c:v>
                </c:pt>
              </c:strCache>
            </c:strRef>
          </c:tx>
          <c:spPr>
            <a:ln w="28575" cap="rnd">
              <a:solidFill>
                <a:schemeClr val="accent2"/>
              </a:solidFill>
              <a:round/>
            </a:ln>
            <a:effectLst/>
          </c:spPr>
          <c:marker>
            <c:symbol val="none"/>
          </c:marker>
          <c:cat>
            <c:strRef>
              <c:f>'Pivot_Table &amp; Analysis'!$A$36:$A$41</c:f>
              <c:strCache>
                <c:ptCount val="5"/>
                <c:pt idx="0">
                  <c:v>0-1 Miles</c:v>
                </c:pt>
                <c:pt idx="1">
                  <c:v>1-2 Miles</c:v>
                </c:pt>
                <c:pt idx="2">
                  <c:v>2-5 Miles</c:v>
                </c:pt>
                <c:pt idx="3">
                  <c:v>5-10 Miles</c:v>
                </c:pt>
                <c:pt idx="4">
                  <c:v>10 Miles+</c:v>
                </c:pt>
              </c:strCache>
            </c:strRef>
          </c:cat>
          <c:val>
            <c:numRef>
              <c:f>'Pivot_Table &amp; Analysis'!$C$36:$C$41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E30-4D2D-A877-A75A7DD5714D}"/>
            </c:ext>
          </c:extLst>
        </c:ser>
        <c:dLbls>
          <c:showLegendKey val="0"/>
          <c:showVal val="0"/>
          <c:showCatName val="0"/>
          <c:showSerName val="0"/>
          <c:showPercent val="0"/>
          <c:showBubbleSize val="0"/>
        </c:dLbls>
        <c:smooth val="0"/>
        <c:axId val="976650879"/>
        <c:axId val="976631679"/>
      </c:lineChart>
      <c:catAx>
        <c:axId val="97665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31679"/>
        <c:crosses val="autoZero"/>
        <c:auto val="1"/>
        <c:lblAlgn val="ctr"/>
        <c:lblOffset val="100"/>
        <c:noMultiLvlLbl val="0"/>
      </c:catAx>
      <c:valAx>
        <c:axId val="97663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5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[Bike-Purchase-Analysis.xlsx]Pivot_Table &amp;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 &amp; Analysis'!$B$18:$B$19</c:f>
              <c:strCache>
                <c:ptCount val="1"/>
                <c:pt idx="0">
                  <c:v>No</c:v>
                </c:pt>
              </c:strCache>
            </c:strRef>
          </c:tx>
          <c:spPr>
            <a:solidFill>
              <a:schemeClr val="accent6"/>
            </a:solidFill>
            <a:ln>
              <a:noFill/>
            </a:ln>
            <a:effectLst/>
          </c:spPr>
          <c:invertIfNegative val="0"/>
          <c:cat>
            <c:strRef>
              <c:f>'Pivot_Table &amp; Analysis'!$A$20:$A$23</c:f>
              <c:strCache>
                <c:ptCount val="3"/>
                <c:pt idx="0">
                  <c:v>High Income</c:v>
                </c:pt>
                <c:pt idx="1">
                  <c:v>Low Income</c:v>
                </c:pt>
                <c:pt idx="2">
                  <c:v>Middle Income</c:v>
                </c:pt>
              </c:strCache>
            </c:strRef>
          </c:cat>
          <c:val>
            <c:numRef>
              <c:f>'Pivot_Table &amp; Analysis'!$B$20:$B$23</c:f>
              <c:numCache>
                <c:formatCode>General</c:formatCode>
                <c:ptCount val="3"/>
                <c:pt idx="0">
                  <c:v>54</c:v>
                </c:pt>
                <c:pt idx="1">
                  <c:v>253</c:v>
                </c:pt>
                <c:pt idx="2">
                  <c:v>212</c:v>
                </c:pt>
              </c:numCache>
            </c:numRef>
          </c:val>
          <c:extLst>
            <c:ext xmlns:c16="http://schemas.microsoft.com/office/drawing/2014/chart" uri="{C3380CC4-5D6E-409C-BE32-E72D297353CC}">
              <c16:uniqueId val="{00000000-C34E-44F4-94EF-7EF3E537DC67}"/>
            </c:ext>
          </c:extLst>
        </c:ser>
        <c:ser>
          <c:idx val="1"/>
          <c:order val="1"/>
          <c:tx>
            <c:strRef>
              <c:f>'Pivot_Table &amp; Analysis'!$C$18:$C$19</c:f>
              <c:strCache>
                <c:ptCount val="1"/>
                <c:pt idx="0">
                  <c:v>Yes</c:v>
                </c:pt>
              </c:strCache>
            </c:strRef>
          </c:tx>
          <c:spPr>
            <a:solidFill>
              <a:schemeClr val="accent2"/>
            </a:solidFill>
            <a:ln>
              <a:noFill/>
            </a:ln>
            <a:effectLst/>
          </c:spPr>
          <c:invertIfNegative val="0"/>
          <c:cat>
            <c:strRef>
              <c:f>'Pivot_Table &amp; Analysis'!$A$20:$A$23</c:f>
              <c:strCache>
                <c:ptCount val="3"/>
                <c:pt idx="0">
                  <c:v>High Income</c:v>
                </c:pt>
                <c:pt idx="1">
                  <c:v>Low Income</c:v>
                </c:pt>
                <c:pt idx="2">
                  <c:v>Middle Income</c:v>
                </c:pt>
              </c:strCache>
            </c:strRef>
          </c:cat>
          <c:val>
            <c:numRef>
              <c:f>'Pivot_Table &amp; Analysis'!$C$20:$C$23</c:f>
              <c:numCache>
                <c:formatCode>General</c:formatCode>
                <c:ptCount val="3"/>
                <c:pt idx="0">
                  <c:v>51</c:v>
                </c:pt>
                <c:pt idx="1">
                  <c:v>223</c:v>
                </c:pt>
                <c:pt idx="2">
                  <c:v>207</c:v>
                </c:pt>
              </c:numCache>
            </c:numRef>
          </c:val>
          <c:extLst>
            <c:ext xmlns:c16="http://schemas.microsoft.com/office/drawing/2014/chart" uri="{C3380CC4-5D6E-409C-BE32-E72D297353CC}">
              <c16:uniqueId val="{00000001-C34E-44F4-94EF-7EF3E537DC67}"/>
            </c:ext>
          </c:extLst>
        </c:ser>
        <c:dLbls>
          <c:showLegendKey val="0"/>
          <c:showVal val="0"/>
          <c:showCatName val="0"/>
          <c:showSerName val="0"/>
          <c:showPercent val="0"/>
          <c:showBubbleSize val="0"/>
        </c:dLbls>
        <c:gapWidth val="30"/>
        <c:overlap val="-9"/>
        <c:axId val="1652998224"/>
        <c:axId val="1595057344"/>
      </c:barChart>
      <c:catAx>
        <c:axId val="165299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057344"/>
        <c:crosses val="autoZero"/>
        <c:auto val="1"/>
        <c:lblAlgn val="ctr"/>
        <c:lblOffset val="100"/>
        <c:noMultiLvlLbl val="0"/>
      </c:catAx>
      <c:valAx>
        <c:axId val="159505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99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[Bike-Purchase-Analysis.xlsx]Pivot_Table &amp; Analysis!PivotTable1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Buyers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 &amp; Analysis'!$B$62:$B$63</c:f>
              <c:strCache>
                <c:ptCount val="1"/>
                <c:pt idx="0">
                  <c:v>No</c:v>
                </c:pt>
              </c:strCache>
            </c:strRef>
          </c:tx>
          <c:spPr>
            <a:solidFill>
              <a:schemeClr val="accent6"/>
            </a:solidFill>
            <a:ln>
              <a:noFill/>
            </a:ln>
            <a:effectLst/>
          </c:spPr>
          <c:invertIfNegative val="0"/>
          <c:cat>
            <c:strRef>
              <c:f>'Pivot_Table &amp; Analysis'!$A$64:$A$69</c:f>
              <c:strCache>
                <c:ptCount val="5"/>
                <c:pt idx="0">
                  <c:v>Clerical</c:v>
                </c:pt>
                <c:pt idx="1">
                  <c:v>Management</c:v>
                </c:pt>
                <c:pt idx="2">
                  <c:v>Manual</c:v>
                </c:pt>
                <c:pt idx="3">
                  <c:v>Professional</c:v>
                </c:pt>
                <c:pt idx="4">
                  <c:v>Skilled Manual</c:v>
                </c:pt>
              </c:strCache>
            </c:strRef>
          </c:cat>
          <c:val>
            <c:numRef>
              <c:f>'Pivot_Table &amp; Analysis'!$B$64:$B$69</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C83C-4C9A-A9A9-7AEC724D9332}"/>
            </c:ext>
          </c:extLst>
        </c:ser>
        <c:ser>
          <c:idx val="1"/>
          <c:order val="1"/>
          <c:tx>
            <c:strRef>
              <c:f>'Pivot_Table &amp; Analysis'!$C$62:$C$63</c:f>
              <c:strCache>
                <c:ptCount val="1"/>
                <c:pt idx="0">
                  <c:v>Yes</c:v>
                </c:pt>
              </c:strCache>
            </c:strRef>
          </c:tx>
          <c:spPr>
            <a:solidFill>
              <a:schemeClr val="accent2"/>
            </a:solidFill>
            <a:ln>
              <a:noFill/>
            </a:ln>
            <a:effectLst/>
          </c:spPr>
          <c:invertIfNegative val="0"/>
          <c:cat>
            <c:strRef>
              <c:f>'Pivot_Table &amp; Analysis'!$A$64:$A$69</c:f>
              <c:strCache>
                <c:ptCount val="5"/>
                <c:pt idx="0">
                  <c:v>Clerical</c:v>
                </c:pt>
                <c:pt idx="1">
                  <c:v>Management</c:v>
                </c:pt>
                <c:pt idx="2">
                  <c:v>Manual</c:v>
                </c:pt>
                <c:pt idx="3">
                  <c:v>Professional</c:v>
                </c:pt>
                <c:pt idx="4">
                  <c:v>Skilled Manual</c:v>
                </c:pt>
              </c:strCache>
            </c:strRef>
          </c:cat>
          <c:val>
            <c:numRef>
              <c:f>'Pivot_Table &amp; Analysis'!$C$64:$C$69</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C83C-4C9A-A9A9-7AEC724D9332}"/>
            </c:ext>
          </c:extLst>
        </c:ser>
        <c:dLbls>
          <c:showLegendKey val="0"/>
          <c:showVal val="0"/>
          <c:showCatName val="0"/>
          <c:showSerName val="0"/>
          <c:showPercent val="0"/>
          <c:showBubbleSize val="0"/>
        </c:dLbls>
        <c:gapWidth val="50"/>
        <c:axId val="1903154607"/>
        <c:axId val="1955529503"/>
      </c:barChart>
      <c:catAx>
        <c:axId val="190315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529503"/>
        <c:crosses val="autoZero"/>
        <c:auto val="1"/>
        <c:lblAlgn val="ctr"/>
        <c:lblOffset val="100"/>
        <c:noMultiLvlLbl val="0"/>
      </c:catAx>
      <c:valAx>
        <c:axId val="195552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15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[Bike-Purchase-Analysis.xlsx]Pivot_Table &amp; Analysis!PivotTable4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 &amp; Analysis'!$B$75:$B$76</c:f>
              <c:strCache>
                <c:ptCount val="1"/>
                <c:pt idx="0">
                  <c:v>Yes</c:v>
                </c:pt>
              </c:strCache>
            </c:strRef>
          </c:tx>
          <c:spPr>
            <a:solidFill>
              <a:schemeClr val="accent2"/>
            </a:solidFill>
            <a:ln>
              <a:noFill/>
            </a:ln>
            <a:effectLst/>
          </c:spPr>
          <c:invertIfNegative val="0"/>
          <c:cat>
            <c:strRef>
              <c:f>'Pivot_Table &amp; Analysis'!$A$77:$A$80</c:f>
              <c:strCache>
                <c:ptCount val="3"/>
                <c:pt idx="0">
                  <c:v>Europe</c:v>
                </c:pt>
                <c:pt idx="1">
                  <c:v>North America</c:v>
                </c:pt>
                <c:pt idx="2">
                  <c:v>Pacific</c:v>
                </c:pt>
              </c:strCache>
            </c:strRef>
          </c:cat>
          <c:val>
            <c:numRef>
              <c:f>'Pivot_Table &amp; Analysis'!$B$77:$B$80</c:f>
              <c:numCache>
                <c:formatCode>General</c:formatCode>
                <c:ptCount val="3"/>
                <c:pt idx="0">
                  <c:v>148</c:v>
                </c:pt>
                <c:pt idx="1">
                  <c:v>220</c:v>
                </c:pt>
                <c:pt idx="2">
                  <c:v>113</c:v>
                </c:pt>
              </c:numCache>
            </c:numRef>
          </c:val>
          <c:extLst>
            <c:ext xmlns:c16="http://schemas.microsoft.com/office/drawing/2014/chart" uri="{C3380CC4-5D6E-409C-BE32-E72D297353CC}">
              <c16:uniqueId val="{00000000-C669-4191-90F9-655E9A33790A}"/>
            </c:ext>
          </c:extLst>
        </c:ser>
        <c:dLbls>
          <c:showLegendKey val="0"/>
          <c:showVal val="0"/>
          <c:showCatName val="0"/>
          <c:showSerName val="0"/>
          <c:showPercent val="0"/>
          <c:showBubbleSize val="0"/>
        </c:dLbls>
        <c:gapWidth val="50"/>
        <c:axId val="2098173935"/>
        <c:axId val="1955528543"/>
      </c:barChart>
      <c:catAx>
        <c:axId val="209817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528543"/>
        <c:crosses val="autoZero"/>
        <c:auto val="1"/>
        <c:lblAlgn val="ctr"/>
        <c:lblOffset val="100"/>
        <c:noMultiLvlLbl val="0"/>
      </c:catAx>
      <c:valAx>
        <c:axId val="195552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17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[Bike-Purchase-Analysis.xlsx]Pivot_Table &amp;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Avg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46740528611343"/>
          <c:y val="0.30940386967427136"/>
          <c:w val="0.59647716839876497"/>
          <c:h val="0.32422112791601782"/>
        </c:manualLayout>
      </c:layout>
      <c:barChart>
        <c:barDir val="col"/>
        <c:grouping val="clustered"/>
        <c:varyColors val="0"/>
        <c:ser>
          <c:idx val="0"/>
          <c:order val="0"/>
          <c:tx>
            <c:strRef>
              <c:f>'Pivot_Table &amp; Analysis'!$B$3:$B$4</c:f>
              <c:strCache>
                <c:ptCount val="1"/>
                <c:pt idx="0">
                  <c:v>No</c:v>
                </c:pt>
              </c:strCache>
            </c:strRef>
          </c:tx>
          <c:spPr>
            <a:solidFill>
              <a:schemeClr val="accent6"/>
            </a:solidFill>
            <a:ln>
              <a:noFill/>
            </a:ln>
            <a:effectLst/>
          </c:spPr>
          <c:invertIfNegative val="0"/>
          <c:cat>
            <c:strRef>
              <c:f>'Pivot_Table &amp; Analysis'!$A$5:$A$7</c:f>
              <c:strCache>
                <c:ptCount val="2"/>
                <c:pt idx="0">
                  <c:v>Female</c:v>
                </c:pt>
                <c:pt idx="1">
                  <c:v>Male</c:v>
                </c:pt>
              </c:strCache>
            </c:strRef>
          </c:cat>
          <c:val>
            <c:numRef>
              <c:f>'Pivot_Table &amp; Analysis'!$B$5:$B$7</c:f>
              <c:numCache>
                <c:formatCode>"$"#,##0</c:formatCode>
                <c:ptCount val="2"/>
                <c:pt idx="0">
                  <c:v>53440</c:v>
                </c:pt>
                <c:pt idx="1">
                  <c:v>56208.178438661707</c:v>
                </c:pt>
              </c:numCache>
            </c:numRef>
          </c:val>
          <c:extLst>
            <c:ext xmlns:c16="http://schemas.microsoft.com/office/drawing/2014/chart" uri="{C3380CC4-5D6E-409C-BE32-E72D297353CC}">
              <c16:uniqueId val="{00000000-0AF7-431F-9350-19D9027E5B31}"/>
            </c:ext>
          </c:extLst>
        </c:ser>
        <c:ser>
          <c:idx val="1"/>
          <c:order val="1"/>
          <c:tx>
            <c:strRef>
              <c:f>'Pivot_Table &amp; Analysis'!$C$3:$C$4</c:f>
              <c:strCache>
                <c:ptCount val="1"/>
                <c:pt idx="0">
                  <c:v>Yes</c:v>
                </c:pt>
              </c:strCache>
            </c:strRef>
          </c:tx>
          <c:spPr>
            <a:solidFill>
              <a:schemeClr val="accent2"/>
            </a:solidFill>
            <a:ln>
              <a:noFill/>
            </a:ln>
            <a:effectLst/>
          </c:spPr>
          <c:invertIfNegative val="0"/>
          <c:cat>
            <c:strRef>
              <c:f>'Pivot_Table &amp; Analysis'!$A$5:$A$7</c:f>
              <c:strCache>
                <c:ptCount val="2"/>
                <c:pt idx="0">
                  <c:v>Female</c:v>
                </c:pt>
                <c:pt idx="1">
                  <c:v>Male</c:v>
                </c:pt>
              </c:strCache>
            </c:strRef>
          </c:cat>
          <c:val>
            <c:numRef>
              <c:f>'Pivot_Table &amp; Analysis'!$C$5:$C$7</c:f>
              <c:numCache>
                <c:formatCode>"$"#,##0</c:formatCode>
                <c:ptCount val="2"/>
                <c:pt idx="0">
                  <c:v>55774.058577405856</c:v>
                </c:pt>
                <c:pt idx="1">
                  <c:v>60123.966942148763</c:v>
                </c:pt>
              </c:numCache>
            </c:numRef>
          </c:val>
          <c:extLst>
            <c:ext xmlns:c16="http://schemas.microsoft.com/office/drawing/2014/chart" uri="{C3380CC4-5D6E-409C-BE32-E72D297353CC}">
              <c16:uniqueId val="{00000001-0AF7-431F-9350-19D9027E5B31}"/>
            </c:ext>
          </c:extLst>
        </c:ser>
        <c:dLbls>
          <c:showLegendKey val="0"/>
          <c:showVal val="0"/>
          <c:showCatName val="0"/>
          <c:showSerName val="0"/>
          <c:showPercent val="0"/>
          <c:showBubbleSize val="0"/>
        </c:dLbls>
        <c:gapWidth val="219"/>
        <c:overlap val="-27"/>
        <c:axId val="1076504911"/>
        <c:axId val="1076506351"/>
      </c:barChart>
      <c:catAx>
        <c:axId val="107650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06351"/>
        <c:crosses val="autoZero"/>
        <c:auto val="1"/>
        <c:lblAlgn val="ctr"/>
        <c:lblOffset val="100"/>
        <c:noMultiLvlLbl val="0"/>
      </c:catAx>
      <c:valAx>
        <c:axId val="1076506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049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4642404850704491"/>
          <c:y val="0.43963706542204212"/>
          <c:w val="0.234617001848622"/>
          <c:h val="0.262670473652757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[Bike-Purchase-Analysis.xlsx]Pivot_Table &amp; Analysis!PivotTable15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75000"/>
              </a:schemeClr>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41769419110381E-2"/>
          <c:y val="0.30044909366379546"/>
          <c:w val="0.69317288689550671"/>
          <c:h val="0.45326597503253085"/>
        </c:manualLayout>
      </c:layout>
      <c:lineChart>
        <c:grouping val="standard"/>
        <c:varyColors val="0"/>
        <c:ser>
          <c:idx val="0"/>
          <c:order val="0"/>
          <c:tx>
            <c:strRef>
              <c:f>'Pivot_Table &amp; Analysis'!$B$34:$B$35</c:f>
              <c:strCache>
                <c:ptCount val="1"/>
                <c:pt idx="0">
                  <c:v>No</c:v>
                </c:pt>
              </c:strCache>
            </c:strRef>
          </c:tx>
          <c:spPr>
            <a:ln w="28575" cap="rnd">
              <a:solidFill>
                <a:schemeClr val="accent6">
                  <a:lumMod val="75000"/>
                </a:schemeClr>
              </a:solidFill>
              <a:round/>
            </a:ln>
            <a:effectLst/>
          </c:spPr>
          <c:marker>
            <c:symbol val="none"/>
          </c:marker>
          <c:cat>
            <c:strRef>
              <c:f>'Pivot_Table &amp; Analysis'!$A$36:$A$41</c:f>
              <c:strCache>
                <c:ptCount val="5"/>
                <c:pt idx="0">
                  <c:v>0-1 Miles</c:v>
                </c:pt>
                <c:pt idx="1">
                  <c:v>1-2 Miles</c:v>
                </c:pt>
                <c:pt idx="2">
                  <c:v>2-5 Miles</c:v>
                </c:pt>
                <c:pt idx="3">
                  <c:v>5-10 Miles</c:v>
                </c:pt>
                <c:pt idx="4">
                  <c:v>10 Miles+</c:v>
                </c:pt>
              </c:strCache>
            </c:strRef>
          </c:cat>
          <c:val>
            <c:numRef>
              <c:f>'Pivot_Table &amp; Analysis'!$B$36:$B$41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E25-46AF-BE65-77FB8649D01A}"/>
            </c:ext>
          </c:extLst>
        </c:ser>
        <c:ser>
          <c:idx val="1"/>
          <c:order val="1"/>
          <c:tx>
            <c:strRef>
              <c:f>'Pivot_Table &amp; Analysis'!$C$34:$C$35</c:f>
              <c:strCache>
                <c:ptCount val="1"/>
                <c:pt idx="0">
                  <c:v>Yes</c:v>
                </c:pt>
              </c:strCache>
            </c:strRef>
          </c:tx>
          <c:spPr>
            <a:ln w="28575" cap="rnd">
              <a:solidFill>
                <a:schemeClr val="accent2"/>
              </a:solidFill>
              <a:round/>
            </a:ln>
            <a:effectLst/>
          </c:spPr>
          <c:marker>
            <c:symbol val="none"/>
          </c:marker>
          <c:cat>
            <c:strRef>
              <c:f>'Pivot_Table &amp; Analysis'!$A$36:$A$41</c:f>
              <c:strCache>
                <c:ptCount val="5"/>
                <c:pt idx="0">
                  <c:v>0-1 Miles</c:v>
                </c:pt>
                <c:pt idx="1">
                  <c:v>1-2 Miles</c:v>
                </c:pt>
                <c:pt idx="2">
                  <c:v>2-5 Miles</c:v>
                </c:pt>
                <c:pt idx="3">
                  <c:v>5-10 Miles</c:v>
                </c:pt>
                <c:pt idx="4">
                  <c:v>10 Miles+</c:v>
                </c:pt>
              </c:strCache>
            </c:strRef>
          </c:cat>
          <c:val>
            <c:numRef>
              <c:f>'Pivot_Table &amp; Analysis'!$C$36:$C$41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E25-46AF-BE65-77FB8649D01A}"/>
            </c:ext>
          </c:extLst>
        </c:ser>
        <c:dLbls>
          <c:showLegendKey val="0"/>
          <c:showVal val="0"/>
          <c:showCatName val="0"/>
          <c:showSerName val="0"/>
          <c:showPercent val="0"/>
          <c:showBubbleSize val="0"/>
        </c:dLbls>
        <c:smooth val="0"/>
        <c:axId val="976650879"/>
        <c:axId val="976631679"/>
      </c:lineChart>
      <c:catAx>
        <c:axId val="97665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31679"/>
        <c:crosses val="autoZero"/>
        <c:auto val="1"/>
        <c:lblAlgn val="ctr"/>
        <c:lblOffset val="100"/>
        <c:noMultiLvlLbl val="0"/>
      </c:catAx>
      <c:valAx>
        <c:axId val="97663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5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[Bike-Purchase-Analysis.xlsx]Pivot_Table &amp; Analysis!PivotTable11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Group </a:t>
            </a:r>
            <a:endParaRPr lang="en-US" baseline="0"/>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'Pivot_Table &amp; Analysis'!$B$49:$B$50</c:f>
              <c:strCache>
                <c:ptCount val="1"/>
                <c:pt idx="0">
                  <c:v>No</c:v>
                </c:pt>
              </c:strCache>
            </c:strRef>
          </c:tx>
          <c:spPr>
            <a:solidFill>
              <a:schemeClr val="accent6"/>
            </a:solidFill>
            <a:ln>
              <a:noFill/>
            </a:ln>
            <a:effectLst/>
          </c:spPr>
          <c:invertIfNegative val="0"/>
          <c:cat>
            <c:strRef>
              <c:f>'Pivot_Table &amp; Analysis'!$A$51:$A$54</c:f>
              <c:strCache>
                <c:ptCount val="3"/>
                <c:pt idx="0">
                  <c:v>Middle-aged</c:v>
                </c:pt>
                <c:pt idx="1">
                  <c:v>Old</c:v>
                </c:pt>
                <c:pt idx="2">
                  <c:v>Young</c:v>
                </c:pt>
              </c:strCache>
            </c:strRef>
          </c:cat>
          <c:val>
            <c:numRef>
              <c:f>'Pivot_Table &amp; Analysis'!$B$51:$B$54</c:f>
              <c:numCache>
                <c:formatCode>General</c:formatCode>
                <c:ptCount val="3"/>
                <c:pt idx="0">
                  <c:v>262</c:v>
                </c:pt>
                <c:pt idx="1">
                  <c:v>130</c:v>
                </c:pt>
                <c:pt idx="2">
                  <c:v>127</c:v>
                </c:pt>
              </c:numCache>
            </c:numRef>
          </c:val>
          <c:extLst>
            <c:ext xmlns:c16="http://schemas.microsoft.com/office/drawing/2014/chart" uri="{C3380CC4-5D6E-409C-BE32-E72D297353CC}">
              <c16:uniqueId val="{00000005-6B9E-49E5-8476-1202E9F379CB}"/>
            </c:ext>
          </c:extLst>
        </c:ser>
        <c:ser>
          <c:idx val="1"/>
          <c:order val="1"/>
          <c:tx>
            <c:strRef>
              <c:f>'Pivot_Table &amp; Analysis'!$C$49:$C$50</c:f>
              <c:strCache>
                <c:ptCount val="1"/>
                <c:pt idx="0">
                  <c:v>Yes</c:v>
                </c:pt>
              </c:strCache>
            </c:strRef>
          </c:tx>
          <c:spPr>
            <a:solidFill>
              <a:schemeClr val="accent2"/>
            </a:solidFill>
            <a:ln>
              <a:noFill/>
            </a:ln>
            <a:effectLst/>
          </c:spPr>
          <c:invertIfNegative val="0"/>
          <c:cat>
            <c:strRef>
              <c:f>'Pivot_Table &amp; Analysis'!$A$51:$A$54</c:f>
              <c:strCache>
                <c:ptCount val="3"/>
                <c:pt idx="0">
                  <c:v>Middle-aged</c:v>
                </c:pt>
                <c:pt idx="1">
                  <c:v>Old</c:v>
                </c:pt>
                <c:pt idx="2">
                  <c:v>Young</c:v>
                </c:pt>
              </c:strCache>
            </c:strRef>
          </c:cat>
          <c:val>
            <c:numRef>
              <c:f>'Pivot_Table &amp; Analysis'!$C$51:$C$54</c:f>
              <c:numCache>
                <c:formatCode>General</c:formatCode>
                <c:ptCount val="3"/>
                <c:pt idx="0">
                  <c:v>329</c:v>
                </c:pt>
                <c:pt idx="1">
                  <c:v>59</c:v>
                </c:pt>
                <c:pt idx="2">
                  <c:v>93</c:v>
                </c:pt>
              </c:numCache>
            </c:numRef>
          </c:val>
          <c:extLst>
            <c:ext xmlns:c16="http://schemas.microsoft.com/office/drawing/2014/chart" uri="{C3380CC4-5D6E-409C-BE32-E72D297353CC}">
              <c16:uniqueId val="{00000007-6B9E-49E5-8476-1202E9F379CB}"/>
            </c:ext>
          </c:extLst>
        </c:ser>
        <c:dLbls>
          <c:showLegendKey val="0"/>
          <c:showVal val="0"/>
          <c:showCatName val="0"/>
          <c:showSerName val="0"/>
          <c:showPercent val="0"/>
          <c:showBubbleSize val="0"/>
        </c:dLbls>
        <c:gapWidth val="10"/>
        <c:overlap val="1"/>
        <c:axId val="1168766127"/>
        <c:axId val="1168766607"/>
      </c:barChart>
      <c:catAx>
        <c:axId val="116876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66607"/>
        <c:crosses val="autoZero"/>
        <c:auto val="1"/>
        <c:lblAlgn val="ctr"/>
        <c:lblOffset val="100"/>
        <c:noMultiLvlLbl val="0"/>
      </c:catAx>
      <c:valAx>
        <c:axId val="116876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6612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chemeClr val="bg1">
          <a:lumMod val="75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[Bike-Purchase-Analysis.xlsx]Pivot_Table &amp; 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'Pivot_Table &amp; Analysis'!$B$18:$B$19</c:f>
              <c:strCache>
                <c:ptCount val="1"/>
                <c:pt idx="0">
                  <c:v>No</c:v>
                </c:pt>
              </c:strCache>
            </c:strRef>
          </c:tx>
          <c:spPr>
            <a:solidFill>
              <a:schemeClr val="accent6"/>
            </a:solidFill>
            <a:ln>
              <a:noFill/>
            </a:ln>
            <a:effectLst/>
          </c:spPr>
          <c:invertIfNegative val="0"/>
          <c:cat>
            <c:strRef>
              <c:f>'Pivot_Table &amp; Analysis'!$A$20:$A$23</c:f>
              <c:strCache>
                <c:ptCount val="3"/>
                <c:pt idx="0">
                  <c:v>High Income</c:v>
                </c:pt>
                <c:pt idx="1">
                  <c:v>Low Income</c:v>
                </c:pt>
                <c:pt idx="2">
                  <c:v>Middle Income</c:v>
                </c:pt>
              </c:strCache>
            </c:strRef>
          </c:cat>
          <c:val>
            <c:numRef>
              <c:f>'Pivot_Table &amp; Analysis'!$B$20:$B$23</c:f>
              <c:numCache>
                <c:formatCode>General</c:formatCode>
                <c:ptCount val="3"/>
                <c:pt idx="0">
                  <c:v>54</c:v>
                </c:pt>
                <c:pt idx="1">
                  <c:v>253</c:v>
                </c:pt>
                <c:pt idx="2">
                  <c:v>212</c:v>
                </c:pt>
              </c:numCache>
            </c:numRef>
          </c:val>
          <c:extLst>
            <c:ext xmlns:c16="http://schemas.microsoft.com/office/drawing/2014/chart" uri="{C3380CC4-5D6E-409C-BE32-E72D297353CC}">
              <c16:uniqueId val="{00000000-4BFE-4160-8BD1-D009B0FA1AB6}"/>
            </c:ext>
          </c:extLst>
        </c:ser>
        <c:ser>
          <c:idx val="1"/>
          <c:order val="1"/>
          <c:tx>
            <c:strRef>
              <c:f>'Pivot_Table &amp; Analysis'!$C$18:$C$19</c:f>
              <c:strCache>
                <c:ptCount val="1"/>
                <c:pt idx="0">
                  <c:v>Yes</c:v>
                </c:pt>
              </c:strCache>
            </c:strRef>
          </c:tx>
          <c:spPr>
            <a:solidFill>
              <a:schemeClr val="accent2"/>
            </a:solidFill>
            <a:ln>
              <a:noFill/>
            </a:ln>
            <a:effectLst/>
          </c:spPr>
          <c:invertIfNegative val="0"/>
          <c:cat>
            <c:strRef>
              <c:f>'Pivot_Table &amp; Analysis'!$A$20:$A$23</c:f>
              <c:strCache>
                <c:ptCount val="3"/>
                <c:pt idx="0">
                  <c:v>High Income</c:v>
                </c:pt>
                <c:pt idx="1">
                  <c:v>Low Income</c:v>
                </c:pt>
                <c:pt idx="2">
                  <c:v>Middle Income</c:v>
                </c:pt>
              </c:strCache>
            </c:strRef>
          </c:cat>
          <c:val>
            <c:numRef>
              <c:f>'Pivot_Table &amp; Analysis'!$C$20:$C$23</c:f>
              <c:numCache>
                <c:formatCode>General</c:formatCode>
                <c:ptCount val="3"/>
                <c:pt idx="0">
                  <c:v>51</c:v>
                </c:pt>
                <c:pt idx="1">
                  <c:v>223</c:v>
                </c:pt>
                <c:pt idx="2">
                  <c:v>207</c:v>
                </c:pt>
              </c:numCache>
            </c:numRef>
          </c:val>
          <c:extLst>
            <c:ext xmlns:c16="http://schemas.microsoft.com/office/drawing/2014/chart" uri="{C3380CC4-5D6E-409C-BE32-E72D297353CC}">
              <c16:uniqueId val="{00000001-4BFE-4160-8BD1-D009B0FA1AB6}"/>
            </c:ext>
          </c:extLst>
        </c:ser>
        <c:dLbls>
          <c:showLegendKey val="0"/>
          <c:showVal val="0"/>
          <c:showCatName val="0"/>
          <c:showSerName val="0"/>
          <c:showPercent val="0"/>
          <c:showBubbleSize val="0"/>
        </c:dLbls>
        <c:gapWidth val="30"/>
        <c:overlap val="-9"/>
        <c:axId val="1652998224"/>
        <c:axId val="1595057344"/>
      </c:barChart>
      <c:catAx>
        <c:axId val="165299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057344"/>
        <c:crosses val="autoZero"/>
        <c:auto val="1"/>
        <c:lblAlgn val="ctr"/>
        <c:lblOffset val="100"/>
        <c:noMultiLvlLbl val="0"/>
      </c:catAx>
      <c:valAx>
        <c:axId val="159505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99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1019176</xdr:colOff>
      <xdr:row>0</xdr:row>
      <xdr:rowOff>57150</xdr:rowOff>
    </xdr:from>
    <xdr:to>
      <xdr:col>8</xdr:col>
      <xdr:colOff>238126</xdr:colOff>
      <xdr:row>13</xdr:row>
      <xdr:rowOff>0</xdr:rowOff>
    </xdr:to>
    <xdr:graphicFrame macro="">
      <xdr:nvGraphicFramePr>
        <xdr:cNvPr id="2" name="Chart 1">
          <a:extLst>
            <a:ext uri="{FF2B5EF4-FFF2-40B4-BE49-F238E27FC236}">
              <a16:creationId xmlns:a16="http://schemas.microsoft.com/office/drawing/2014/main" id="{803012DF-802F-017C-87BC-F3A6A4A96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76200</xdr:colOff>
      <xdr:row>7</xdr:row>
      <xdr:rowOff>114300</xdr:rowOff>
    </xdr:from>
    <xdr:to>
      <xdr:col>15</xdr:col>
      <xdr:colOff>76200</xdr:colOff>
      <xdr:row>12</xdr:row>
      <xdr:rowOff>142875</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23E731C5-4F75-9EA1-9683-610C559363E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648700" y="1447800"/>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85725</xdr:colOff>
      <xdr:row>13</xdr:row>
      <xdr:rowOff>104775</xdr:rowOff>
    </xdr:from>
    <xdr:to>
      <xdr:col>15</xdr:col>
      <xdr:colOff>85725</xdr:colOff>
      <xdr:row>24</xdr:row>
      <xdr:rowOff>28575</xdr:rowOff>
    </xdr:to>
    <mc:AlternateContent xmlns:mc="http://schemas.openxmlformats.org/markup-compatibility/2006" xmlns:a14="http://schemas.microsoft.com/office/drawing/2010/main">
      <mc:Choice Requires="a14">
        <xdr:graphicFrame macro="">
          <xdr:nvGraphicFramePr>
            <xdr:cNvPr id="7" name="Occupation">
              <a:extLst>
                <a:ext uri="{FF2B5EF4-FFF2-40B4-BE49-F238E27FC236}">
                  <a16:creationId xmlns:a16="http://schemas.microsoft.com/office/drawing/2014/main" id="{91A87177-3A63-779E-E02E-C35F7D428848}"/>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8658225" y="2581276"/>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85725</xdr:colOff>
      <xdr:row>0</xdr:row>
      <xdr:rowOff>123825</xdr:rowOff>
    </xdr:from>
    <xdr:to>
      <xdr:col>15</xdr:col>
      <xdr:colOff>85725</xdr:colOff>
      <xdr:row>6</xdr:row>
      <xdr:rowOff>152400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BFE76EC-2F30-4D1A-C295-2BE5F5F03B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58225" y="123825"/>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461962</xdr:colOff>
      <xdr:row>47</xdr:row>
      <xdr:rowOff>14287</xdr:rowOff>
    </xdr:from>
    <xdr:to>
      <xdr:col>10</xdr:col>
      <xdr:colOff>381000</xdr:colOff>
      <xdr:row>58</xdr:row>
      <xdr:rowOff>85725</xdr:rowOff>
    </xdr:to>
    <xdr:graphicFrame macro="">
      <xdr:nvGraphicFramePr>
        <xdr:cNvPr id="9" name="Chart 8">
          <a:extLst>
            <a:ext uri="{FF2B5EF4-FFF2-40B4-BE49-F238E27FC236}">
              <a16:creationId xmlns:a16="http://schemas.microsoft.com/office/drawing/2014/main" id="{FD3E2D3D-2737-9152-844D-1CD3A2343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676275</xdr:colOff>
      <xdr:row>30</xdr:row>
      <xdr:rowOff>190499</xdr:rowOff>
    </xdr:from>
    <xdr:to>
      <xdr:col>10</xdr:col>
      <xdr:colOff>219075</xdr:colOff>
      <xdr:row>41</xdr:row>
      <xdr:rowOff>180974</xdr:rowOff>
    </xdr:to>
    <xdr:graphicFrame macro="">
      <xdr:nvGraphicFramePr>
        <xdr:cNvPr id="10" name="Chart 9">
          <a:extLst>
            <a:ext uri="{FF2B5EF4-FFF2-40B4-BE49-F238E27FC236}">
              <a16:creationId xmlns:a16="http://schemas.microsoft.com/office/drawing/2014/main" id="{2DFE46D5-3951-D1E2-00CA-A2CAF15AF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895350</xdr:colOff>
      <xdr:row>14</xdr:row>
      <xdr:rowOff>104775</xdr:rowOff>
    </xdr:from>
    <xdr:to>
      <xdr:col>8</xdr:col>
      <xdr:colOff>342900</xdr:colOff>
      <xdr:row>27</xdr:row>
      <xdr:rowOff>147637</xdr:rowOff>
    </xdr:to>
    <xdr:graphicFrame macro="">
      <xdr:nvGraphicFramePr>
        <xdr:cNvPr id="4" name="Chart 3">
          <a:extLst>
            <a:ext uri="{FF2B5EF4-FFF2-40B4-BE49-F238E27FC236}">
              <a16:creationId xmlns:a16="http://schemas.microsoft.com/office/drawing/2014/main" id="{2A120922-39B2-8AE2-3162-3B30B2BEA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538161</xdr:colOff>
      <xdr:row>59</xdr:row>
      <xdr:rowOff>71437</xdr:rowOff>
    </xdr:from>
    <xdr:to>
      <xdr:col>10</xdr:col>
      <xdr:colOff>257174</xdr:colOff>
      <xdr:row>71</xdr:row>
      <xdr:rowOff>85725</xdr:rowOff>
    </xdr:to>
    <xdr:graphicFrame macro="">
      <xdr:nvGraphicFramePr>
        <xdr:cNvPr id="3" name="Chart 2">
          <a:extLst>
            <a:ext uri="{FF2B5EF4-FFF2-40B4-BE49-F238E27FC236}">
              <a16:creationId xmlns:a16="http://schemas.microsoft.com/office/drawing/2014/main" id="{B85FA2A6-F9A5-CEDE-AC99-577FAFD9D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633412</xdr:colOff>
      <xdr:row>72</xdr:row>
      <xdr:rowOff>128587</xdr:rowOff>
    </xdr:from>
    <xdr:to>
      <xdr:col>5</xdr:col>
      <xdr:colOff>1824037</xdr:colOff>
      <xdr:row>87</xdr:row>
      <xdr:rowOff>14287</xdr:rowOff>
    </xdr:to>
    <xdr:graphicFrame macro="">
      <xdr:nvGraphicFramePr>
        <xdr:cNvPr id="5" name="Chart 4">
          <a:extLst>
            <a:ext uri="{FF2B5EF4-FFF2-40B4-BE49-F238E27FC236}">
              <a16:creationId xmlns:a16="http://schemas.microsoft.com/office/drawing/2014/main" id="{14C8AF79-34B7-4B88-2484-490E4365F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27213</xdr:colOff>
      <xdr:row>2</xdr:row>
      <xdr:rowOff>23131</xdr:rowOff>
    </xdr:from>
    <xdr:to>
      <xdr:col>9</xdr:col>
      <xdr:colOff>488155</xdr:colOff>
      <xdr:row>14</xdr:row>
      <xdr:rowOff>24845</xdr:rowOff>
    </xdr:to>
    <xdr:graphicFrame macro="">
      <xdr:nvGraphicFramePr>
        <xdr:cNvPr id="3" name="Chart 2">
          <a:extLst>
            <a:ext uri="{FF2B5EF4-FFF2-40B4-BE49-F238E27FC236}">
              <a16:creationId xmlns:a16="http://schemas.microsoft.com/office/drawing/2014/main" id="{280C9D0F-2CE3-4990-97AC-CAF5C26C0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559591</xdr:colOff>
      <xdr:row>2</xdr:row>
      <xdr:rowOff>23132</xdr:rowOff>
    </xdr:from>
    <xdr:to>
      <xdr:col>19</xdr:col>
      <xdr:colOff>0</xdr:colOff>
      <xdr:row>14</xdr:row>
      <xdr:rowOff>23812</xdr:rowOff>
    </xdr:to>
    <xdr:graphicFrame macro="">
      <xdr:nvGraphicFramePr>
        <xdr:cNvPr id="5" name="Chart 4">
          <a:extLst>
            <a:ext uri="{FF2B5EF4-FFF2-40B4-BE49-F238E27FC236}">
              <a16:creationId xmlns:a16="http://schemas.microsoft.com/office/drawing/2014/main" id="{68F50CCB-CB6A-43FF-86B0-8A3983428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0</xdr:colOff>
      <xdr:row>2</xdr:row>
      <xdr:rowOff>23132</xdr:rowOff>
    </xdr:from>
    <xdr:to>
      <xdr:col>2</xdr:col>
      <xdr:colOff>557893</xdr:colOff>
      <xdr:row>6</xdr:row>
      <xdr:rowOff>160564</xdr:rowOff>
    </xdr:to>
    <mc:AlternateContent xmlns:mc="http://schemas.openxmlformats.org/markup-compatibility/2006" xmlns:a14="http://schemas.microsoft.com/office/drawing/2010/main">
      <mc:Choice Requires="a14">
        <xdr:graphicFrame macro="">
          <xdr:nvGraphicFramePr>
            <xdr:cNvPr id="7" name="Marital Status 1">
              <a:extLst>
                <a:ext uri="{FF2B5EF4-FFF2-40B4-BE49-F238E27FC236}">
                  <a16:creationId xmlns:a16="http://schemas.microsoft.com/office/drawing/2014/main" id="{BA3EB4CE-484B-4E37-8DF8-24EE9729017A}"/>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0" y="689882"/>
              <a:ext cx="1772331" cy="970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0</xdr:colOff>
      <xdr:row>13</xdr:row>
      <xdr:rowOff>161584</xdr:rowOff>
    </xdr:from>
    <xdr:to>
      <xdr:col>2</xdr:col>
      <xdr:colOff>558437</xdr:colOff>
      <xdr:row>23</xdr:row>
      <xdr:rowOff>28234</xdr:rowOff>
    </xdr:to>
    <mc:AlternateContent xmlns:mc="http://schemas.openxmlformats.org/markup-compatibility/2006" xmlns:a14="http://schemas.microsoft.com/office/drawing/2010/main">
      <mc:Choice Requires="a14">
        <xdr:graphicFrame macro="">
          <xdr:nvGraphicFramePr>
            <xdr:cNvPr id="11" name="Occupation 1">
              <a:extLst>
                <a:ext uri="{FF2B5EF4-FFF2-40B4-BE49-F238E27FC236}">
                  <a16:creationId xmlns:a16="http://schemas.microsoft.com/office/drawing/2014/main" id="{6399A99C-8312-4245-B27D-8766710A212F}"/>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0" y="2995272"/>
              <a:ext cx="1772875"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0</xdr:colOff>
      <xdr:row>7</xdr:row>
      <xdr:rowOff>38611</xdr:rowOff>
    </xdr:from>
    <xdr:to>
      <xdr:col>2</xdr:col>
      <xdr:colOff>558437</xdr:colOff>
      <xdr:row>13</xdr:row>
      <xdr:rowOff>93038</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69A7015C-F982-4FC2-8874-E490BCDBBE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729299"/>
              <a:ext cx="1772875" cy="11974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xdr:from>
      <xdr:col>3</xdr:col>
      <xdr:colOff>0</xdr:colOff>
      <xdr:row>14</xdr:row>
      <xdr:rowOff>83344</xdr:rowOff>
    </xdr:from>
    <xdr:to>
      <xdr:col>19</xdr:col>
      <xdr:colOff>11906</xdr:colOff>
      <xdr:row>24</xdr:row>
      <xdr:rowOff>178594</xdr:rowOff>
    </xdr:to>
    <xdr:graphicFrame macro="">
      <xdr:nvGraphicFramePr>
        <xdr:cNvPr id="6" name="Chart 5">
          <a:extLst>
            <a:ext uri="{FF2B5EF4-FFF2-40B4-BE49-F238E27FC236}">
              <a16:creationId xmlns:a16="http://schemas.microsoft.com/office/drawing/2014/main" id="{036CED82-0D92-4F95-840E-6D003BB4A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59531</xdr:colOff>
      <xdr:row>2</xdr:row>
      <xdr:rowOff>35719</xdr:rowOff>
    </xdr:from>
    <xdr:to>
      <xdr:col>24</xdr:col>
      <xdr:colOff>595312</xdr:colOff>
      <xdr:row>24</xdr:row>
      <xdr:rowOff>178593</xdr:rowOff>
    </xdr:to>
    <xdr:graphicFrame macro="">
      <xdr:nvGraphicFramePr>
        <xdr:cNvPr id="8" name="Chart 7">
          <a:extLst>
            <a:ext uri="{FF2B5EF4-FFF2-40B4-BE49-F238E27FC236}">
              <a16:creationId xmlns:a16="http://schemas.microsoft.com/office/drawing/2014/main" id="{EA7BA756-BD6B-40B2-B549-66E54727B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6.565771296293" missingItemsLimit="0" createdVersion="8" refreshedVersion="8" minRefreshableVersion="3" recordCount="1000" xr:uid="{5D653F58-46AF-4493-A8EC-2DE3A31A4AF4}">
  <cacheSource type="worksheet">
    <worksheetSource name="Bike_Sales_Clean"/>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Income Group" numFmtId="164">
      <sharedItems count="3">
        <s v="Low Income"/>
        <s v="Middle Income"/>
        <s v="High Income"/>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aged"/>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474380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n v="1"/>
    <s v="Bachelors"/>
    <x v="0"/>
    <s v="Yes"/>
    <n v="0"/>
    <x v="0"/>
    <x v="0"/>
    <n v="42"/>
    <x v="0"/>
    <x v="0"/>
  </r>
  <r>
    <n v="24107"/>
    <x v="0"/>
    <x v="1"/>
    <n v="30000"/>
    <x v="0"/>
    <n v="3"/>
    <s v="Partial College"/>
    <x v="1"/>
    <s v="Yes"/>
    <n v="1"/>
    <x v="0"/>
    <x v="0"/>
    <n v="43"/>
    <x v="0"/>
    <x v="0"/>
  </r>
  <r>
    <n v="14177"/>
    <x v="0"/>
    <x v="1"/>
    <n v="80000"/>
    <x v="1"/>
    <n v="5"/>
    <s v="Partial College"/>
    <x v="2"/>
    <s v="No"/>
    <n v="2"/>
    <x v="1"/>
    <x v="0"/>
    <n v="60"/>
    <x v="1"/>
    <x v="0"/>
  </r>
  <r>
    <n v="24381"/>
    <x v="1"/>
    <x v="1"/>
    <n v="70000"/>
    <x v="1"/>
    <n v="0"/>
    <s v="Bachelors"/>
    <x v="2"/>
    <s v="Yes"/>
    <n v="1"/>
    <x v="2"/>
    <x v="1"/>
    <n v="41"/>
    <x v="0"/>
    <x v="1"/>
  </r>
  <r>
    <n v="25597"/>
    <x v="1"/>
    <x v="1"/>
    <n v="30000"/>
    <x v="0"/>
    <n v="0"/>
    <s v="Bachelors"/>
    <x v="1"/>
    <s v="No"/>
    <n v="0"/>
    <x v="0"/>
    <x v="0"/>
    <n v="36"/>
    <x v="0"/>
    <x v="1"/>
  </r>
  <r>
    <n v="13507"/>
    <x v="0"/>
    <x v="0"/>
    <n v="10000"/>
    <x v="0"/>
    <n v="2"/>
    <s v="Partial College"/>
    <x v="3"/>
    <s v="Yes"/>
    <n v="0"/>
    <x v="3"/>
    <x v="0"/>
    <n v="50"/>
    <x v="0"/>
    <x v="0"/>
  </r>
  <r>
    <n v="27974"/>
    <x v="1"/>
    <x v="1"/>
    <n v="160000"/>
    <x v="2"/>
    <n v="2"/>
    <s v="High School"/>
    <x v="4"/>
    <s v="Yes"/>
    <n v="4"/>
    <x v="0"/>
    <x v="1"/>
    <n v="33"/>
    <x v="2"/>
    <x v="1"/>
  </r>
  <r>
    <n v="19364"/>
    <x v="0"/>
    <x v="1"/>
    <n v="40000"/>
    <x v="0"/>
    <n v="1"/>
    <s v="Bachelors"/>
    <x v="0"/>
    <s v="Yes"/>
    <n v="0"/>
    <x v="0"/>
    <x v="0"/>
    <n v="43"/>
    <x v="0"/>
    <x v="1"/>
  </r>
  <r>
    <n v="22155"/>
    <x v="0"/>
    <x v="1"/>
    <n v="20000"/>
    <x v="0"/>
    <n v="2"/>
    <s v="Partial High School"/>
    <x v="1"/>
    <s v="Yes"/>
    <n v="2"/>
    <x v="2"/>
    <x v="1"/>
    <n v="58"/>
    <x v="1"/>
    <x v="0"/>
  </r>
  <r>
    <n v="19280"/>
    <x v="0"/>
    <x v="1"/>
    <n v="120000"/>
    <x v="2"/>
    <n v="2"/>
    <s v="Partial College"/>
    <x v="3"/>
    <s v="Yes"/>
    <n v="1"/>
    <x v="0"/>
    <x v="0"/>
    <n v="40"/>
    <x v="0"/>
    <x v="1"/>
  </r>
  <r>
    <n v="22173"/>
    <x v="0"/>
    <x v="0"/>
    <n v="30000"/>
    <x v="0"/>
    <n v="3"/>
    <s v="High School"/>
    <x v="0"/>
    <s v="No"/>
    <n v="2"/>
    <x v="3"/>
    <x v="1"/>
    <n v="54"/>
    <x v="0"/>
    <x v="1"/>
  </r>
  <r>
    <n v="12697"/>
    <x v="1"/>
    <x v="0"/>
    <n v="90000"/>
    <x v="1"/>
    <n v="0"/>
    <s v="Bachelors"/>
    <x v="2"/>
    <s v="No"/>
    <n v="4"/>
    <x v="4"/>
    <x v="1"/>
    <n v="36"/>
    <x v="0"/>
    <x v="0"/>
  </r>
  <r>
    <n v="11434"/>
    <x v="0"/>
    <x v="1"/>
    <n v="170000"/>
    <x v="2"/>
    <n v="5"/>
    <s v="Partial College"/>
    <x v="2"/>
    <s v="Yes"/>
    <n v="0"/>
    <x v="0"/>
    <x v="0"/>
    <n v="55"/>
    <x v="1"/>
    <x v="0"/>
  </r>
  <r>
    <n v="25323"/>
    <x v="0"/>
    <x v="1"/>
    <n v="40000"/>
    <x v="0"/>
    <n v="2"/>
    <s v="Partial College"/>
    <x v="1"/>
    <s v="Yes"/>
    <n v="1"/>
    <x v="3"/>
    <x v="0"/>
    <n v="35"/>
    <x v="0"/>
    <x v="1"/>
  </r>
  <r>
    <n v="23542"/>
    <x v="1"/>
    <x v="1"/>
    <n v="60000"/>
    <x v="1"/>
    <n v="1"/>
    <s v="Partial College"/>
    <x v="0"/>
    <s v="No"/>
    <n v="1"/>
    <x v="0"/>
    <x v="1"/>
    <n v="45"/>
    <x v="0"/>
    <x v="1"/>
  </r>
  <r>
    <n v="20870"/>
    <x v="1"/>
    <x v="0"/>
    <n v="10000"/>
    <x v="0"/>
    <n v="2"/>
    <s v="High School"/>
    <x v="3"/>
    <s v="Yes"/>
    <n v="1"/>
    <x v="0"/>
    <x v="0"/>
    <n v="38"/>
    <x v="0"/>
    <x v="1"/>
  </r>
  <r>
    <n v="23316"/>
    <x v="1"/>
    <x v="1"/>
    <n v="30000"/>
    <x v="0"/>
    <n v="3"/>
    <s v="Partial College"/>
    <x v="1"/>
    <s v="No"/>
    <n v="2"/>
    <x v="3"/>
    <x v="1"/>
    <n v="59"/>
    <x v="1"/>
    <x v="1"/>
  </r>
  <r>
    <n v="12610"/>
    <x v="0"/>
    <x v="0"/>
    <n v="30000"/>
    <x v="0"/>
    <n v="1"/>
    <s v="Bachelors"/>
    <x v="1"/>
    <s v="Yes"/>
    <n v="0"/>
    <x v="0"/>
    <x v="0"/>
    <n v="47"/>
    <x v="0"/>
    <x v="0"/>
  </r>
  <r>
    <n v="27183"/>
    <x v="1"/>
    <x v="1"/>
    <n v="40000"/>
    <x v="0"/>
    <n v="2"/>
    <s v="Partial College"/>
    <x v="1"/>
    <s v="Yes"/>
    <n v="1"/>
    <x v="3"/>
    <x v="0"/>
    <n v="35"/>
    <x v="0"/>
    <x v="1"/>
  </r>
  <r>
    <n v="25940"/>
    <x v="1"/>
    <x v="1"/>
    <n v="20000"/>
    <x v="0"/>
    <n v="2"/>
    <s v="Partial High School"/>
    <x v="1"/>
    <s v="Yes"/>
    <n v="2"/>
    <x v="2"/>
    <x v="1"/>
    <n v="55"/>
    <x v="1"/>
    <x v="1"/>
  </r>
  <r>
    <n v="25598"/>
    <x v="0"/>
    <x v="0"/>
    <n v="40000"/>
    <x v="0"/>
    <n v="0"/>
    <s v="Graduate Degree"/>
    <x v="1"/>
    <s v="Yes"/>
    <n v="0"/>
    <x v="0"/>
    <x v="0"/>
    <n v="36"/>
    <x v="0"/>
    <x v="1"/>
  </r>
  <r>
    <n v="21564"/>
    <x v="1"/>
    <x v="0"/>
    <n v="80000"/>
    <x v="1"/>
    <n v="0"/>
    <s v="Bachelors"/>
    <x v="2"/>
    <s v="Yes"/>
    <n v="4"/>
    <x v="4"/>
    <x v="1"/>
    <n v="35"/>
    <x v="0"/>
    <x v="0"/>
  </r>
  <r>
    <n v="19193"/>
    <x v="1"/>
    <x v="1"/>
    <n v="40000"/>
    <x v="0"/>
    <n v="2"/>
    <s v="Partial College"/>
    <x v="1"/>
    <s v="Yes"/>
    <n v="0"/>
    <x v="3"/>
    <x v="0"/>
    <n v="35"/>
    <x v="0"/>
    <x v="1"/>
  </r>
  <r>
    <n v="26412"/>
    <x v="0"/>
    <x v="0"/>
    <n v="80000"/>
    <x v="1"/>
    <n v="5"/>
    <s v="High School"/>
    <x v="4"/>
    <s v="No"/>
    <n v="3"/>
    <x v="2"/>
    <x v="0"/>
    <n v="56"/>
    <x v="1"/>
    <x v="0"/>
  </r>
  <r>
    <n v="27184"/>
    <x v="1"/>
    <x v="1"/>
    <n v="40000"/>
    <x v="0"/>
    <n v="2"/>
    <s v="Partial College"/>
    <x v="1"/>
    <s v="No"/>
    <n v="1"/>
    <x v="0"/>
    <x v="0"/>
    <n v="34"/>
    <x v="2"/>
    <x v="0"/>
  </r>
  <r>
    <n v="12590"/>
    <x v="1"/>
    <x v="1"/>
    <n v="30000"/>
    <x v="0"/>
    <n v="1"/>
    <s v="Bachelors"/>
    <x v="1"/>
    <s v="Yes"/>
    <n v="0"/>
    <x v="0"/>
    <x v="0"/>
    <n v="63"/>
    <x v="1"/>
    <x v="0"/>
  </r>
  <r>
    <n v="17841"/>
    <x v="1"/>
    <x v="1"/>
    <n v="30000"/>
    <x v="0"/>
    <n v="0"/>
    <s v="Partial College"/>
    <x v="1"/>
    <s v="No"/>
    <n v="1"/>
    <x v="0"/>
    <x v="0"/>
    <n v="29"/>
    <x v="2"/>
    <x v="1"/>
  </r>
  <r>
    <n v="18283"/>
    <x v="1"/>
    <x v="0"/>
    <n v="100000"/>
    <x v="2"/>
    <n v="0"/>
    <s v="Bachelors"/>
    <x v="2"/>
    <s v="No"/>
    <n v="1"/>
    <x v="2"/>
    <x v="1"/>
    <n v="40"/>
    <x v="0"/>
    <x v="0"/>
  </r>
  <r>
    <n v="18299"/>
    <x v="0"/>
    <x v="1"/>
    <n v="70000"/>
    <x v="1"/>
    <n v="5"/>
    <s v="Partial College"/>
    <x v="0"/>
    <s v="Yes"/>
    <n v="2"/>
    <x v="2"/>
    <x v="1"/>
    <n v="44"/>
    <x v="0"/>
    <x v="0"/>
  </r>
  <r>
    <n v="16466"/>
    <x v="1"/>
    <x v="0"/>
    <n v="20000"/>
    <x v="0"/>
    <n v="0"/>
    <s v="Partial High School"/>
    <x v="3"/>
    <s v="No"/>
    <n v="2"/>
    <x v="0"/>
    <x v="0"/>
    <n v="32"/>
    <x v="2"/>
    <x v="1"/>
  </r>
  <r>
    <n v="19273"/>
    <x v="0"/>
    <x v="0"/>
    <n v="20000"/>
    <x v="0"/>
    <n v="2"/>
    <s v="Partial College"/>
    <x v="3"/>
    <s v="Yes"/>
    <n v="0"/>
    <x v="0"/>
    <x v="0"/>
    <n v="63"/>
    <x v="1"/>
    <x v="0"/>
  </r>
  <r>
    <n v="22400"/>
    <x v="0"/>
    <x v="1"/>
    <n v="10000"/>
    <x v="0"/>
    <n v="0"/>
    <s v="Partial College"/>
    <x v="3"/>
    <s v="No"/>
    <n v="1"/>
    <x v="0"/>
    <x v="1"/>
    <n v="26"/>
    <x v="2"/>
    <x v="1"/>
  </r>
  <r>
    <n v="20942"/>
    <x v="1"/>
    <x v="0"/>
    <n v="20000"/>
    <x v="0"/>
    <n v="0"/>
    <s v="High School"/>
    <x v="3"/>
    <s v="No"/>
    <n v="1"/>
    <x v="2"/>
    <x v="0"/>
    <n v="31"/>
    <x v="2"/>
    <x v="0"/>
  </r>
  <r>
    <n v="18484"/>
    <x v="1"/>
    <x v="1"/>
    <n v="80000"/>
    <x v="1"/>
    <n v="2"/>
    <s v="High School"/>
    <x v="0"/>
    <s v="No"/>
    <n v="2"/>
    <x v="3"/>
    <x v="1"/>
    <n v="50"/>
    <x v="0"/>
    <x v="1"/>
  </r>
  <r>
    <n v="12291"/>
    <x v="1"/>
    <x v="1"/>
    <n v="90000"/>
    <x v="1"/>
    <n v="5"/>
    <s v="Partial College"/>
    <x v="2"/>
    <s v="No"/>
    <n v="2"/>
    <x v="1"/>
    <x v="0"/>
    <n v="62"/>
    <x v="1"/>
    <x v="1"/>
  </r>
  <r>
    <n v="28380"/>
    <x v="1"/>
    <x v="0"/>
    <n v="10000"/>
    <x v="0"/>
    <n v="5"/>
    <s v="Partial High School"/>
    <x v="3"/>
    <s v="No"/>
    <n v="2"/>
    <x v="0"/>
    <x v="0"/>
    <n v="41"/>
    <x v="0"/>
    <x v="0"/>
  </r>
  <r>
    <n v="17891"/>
    <x v="0"/>
    <x v="0"/>
    <n v="10000"/>
    <x v="0"/>
    <n v="2"/>
    <s v="Partial College"/>
    <x v="3"/>
    <s v="Yes"/>
    <n v="1"/>
    <x v="0"/>
    <x v="0"/>
    <n v="50"/>
    <x v="0"/>
    <x v="1"/>
  </r>
  <r>
    <n v="27832"/>
    <x v="1"/>
    <x v="0"/>
    <n v="30000"/>
    <x v="0"/>
    <n v="0"/>
    <s v="Partial College"/>
    <x v="1"/>
    <s v="No"/>
    <n v="1"/>
    <x v="1"/>
    <x v="0"/>
    <n v="30"/>
    <x v="2"/>
    <x v="0"/>
  </r>
  <r>
    <n v="26863"/>
    <x v="1"/>
    <x v="1"/>
    <n v="20000"/>
    <x v="0"/>
    <n v="0"/>
    <s v="High School"/>
    <x v="3"/>
    <s v="No"/>
    <n v="1"/>
    <x v="1"/>
    <x v="0"/>
    <n v="28"/>
    <x v="2"/>
    <x v="0"/>
  </r>
  <r>
    <n v="16259"/>
    <x v="1"/>
    <x v="0"/>
    <n v="10000"/>
    <x v="0"/>
    <n v="4"/>
    <s v="Partial High School"/>
    <x v="3"/>
    <s v="Yes"/>
    <n v="2"/>
    <x v="0"/>
    <x v="0"/>
    <n v="40"/>
    <x v="0"/>
    <x v="1"/>
  </r>
  <r>
    <n v="27803"/>
    <x v="1"/>
    <x v="0"/>
    <n v="30000"/>
    <x v="0"/>
    <n v="2"/>
    <s v="Partial College"/>
    <x v="1"/>
    <s v="No"/>
    <n v="0"/>
    <x v="0"/>
    <x v="0"/>
    <n v="43"/>
    <x v="0"/>
    <x v="0"/>
  </r>
  <r>
    <n v="14347"/>
    <x v="1"/>
    <x v="0"/>
    <n v="40000"/>
    <x v="0"/>
    <n v="2"/>
    <s v="Bachelors"/>
    <x v="4"/>
    <s v="Yes"/>
    <n v="2"/>
    <x v="2"/>
    <x v="1"/>
    <n v="65"/>
    <x v="1"/>
    <x v="1"/>
  </r>
  <r>
    <n v="17703"/>
    <x v="0"/>
    <x v="0"/>
    <n v="10000"/>
    <x v="0"/>
    <n v="1"/>
    <s v="Graduate Degree"/>
    <x v="3"/>
    <s v="Yes"/>
    <n v="0"/>
    <x v="0"/>
    <x v="0"/>
    <n v="40"/>
    <x v="0"/>
    <x v="0"/>
  </r>
  <r>
    <n v="17185"/>
    <x v="0"/>
    <x v="0"/>
    <n v="170000"/>
    <x v="2"/>
    <n v="4"/>
    <s v="Partial College"/>
    <x v="2"/>
    <s v="No"/>
    <n v="3"/>
    <x v="2"/>
    <x v="0"/>
    <n v="48"/>
    <x v="0"/>
    <x v="1"/>
  </r>
  <r>
    <n v="29380"/>
    <x v="0"/>
    <x v="0"/>
    <n v="20000"/>
    <x v="0"/>
    <n v="3"/>
    <s v="High School"/>
    <x v="3"/>
    <s v="Yes"/>
    <n v="0"/>
    <x v="0"/>
    <x v="0"/>
    <n v="41"/>
    <x v="0"/>
    <x v="1"/>
  </r>
  <r>
    <n v="23986"/>
    <x v="0"/>
    <x v="0"/>
    <n v="20000"/>
    <x v="0"/>
    <n v="1"/>
    <s v="Bachelors"/>
    <x v="1"/>
    <s v="Yes"/>
    <n v="0"/>
    <x v="0"/>
    <x v="0"/>
    <n v="66"/>
    <x v="1"/>
    <x v="1"/>
  </r>
  <r>
    <n v="24466"/>
    <x v="0"/>
    <x v="0"/>
    <n v="60000"/>
    <x v="1"/>
    <n v="1"/>
    <s v="Partial College"/>
    <x v="0"/>
    <s v="Yes"/>
    <n v="1"/>
    <x v="2"/>
    <x v="1"/>
    <n v="46"/>
    <x v="0"/>
    <x v="1"/>
  </r>
  <r>
    <n v="29097"/>
    <x v="1"/>
    <x v="0"/>
    <n v="40000"/>
    <x v="0"/>
    <n v="2"/>
    <s v="Partial College"/>
    <x v="0"/>
    <s v="Yes"/>
    <n v="2"/>
    <x v="2"/>
    <x v="1"/>
    <n v="52"/>
    <x v="0"/>
    <x v="1"/>
  </r>
  <r>
    <n v="19487"/>
    <x v="0"/>
    <x v="1"/>
    <n v="30000"/>
    <x v="0"/>
    <n v="2"/>
    <s v="Partial College"/>
    <x v="1"/>
    <s v="No"/>
    <n v="2"/>
    <x v="0"/>
    <x v="0"/>
    <n v="42"/>
    <x v="0"/>
    <x v="0"/>
  </r>
  <r>
    <n v="14939"/>
    <x v="1"/>
    <x v="1"/>
    <n v="40000"/>
    <x v="0"/>
    <n v="0"/>
    <s v="Bachelors"/>
    <x v="1"/>
    <s v="Yes"/>
    <n v="0"/>
    <x v="0"/>
    <x v="0"/>
    <n v="39"/>
    <x v="0"/>
    <x v="1"/>
  </r>
  <r>
    <n v="13826"/>
    <x v="1"/>
    <x v="0"/>
    <n v="30000"/>
    <x v="0"/>
    <n v="0"/>
    <s v="Partial College"/>
    <x v="1"/>
    <s v="No"/>
    <n v="1"/>
    <x v="0"/>
    <x v="0"/>
    <n v="28"/>
    <x v="2"/>
    <x v="0"/>
  </r>
  <r>
    <n v="20619"/>
    <x v="1"/>
    <x v="1"/>
    <n v="80000"/>
    <x v="1"/>
    <n v="0"/>
    <s v="Bachelors"/>
    <x v="2"/>
    <s v="No"/>
    <n v="4"/>
    <x v="4"/>
    <x v="1"/>
    <n v="35"/>
    <x v="0"/>
    <x v="0"/>
  </r>
  <r>
    <n v="12558"/>
    <x v="0"/>
    <x v="0"/>
    <n v="20000"/>
    <x v="0"/>
    <n v="1"/>
    <s v="Bachelors"/>
    <x v="1"/>
    <s v="Yes"/>
    <n v="0"/>
    <x v="0"/>
    <x v="0"/>
    <n v="65"/>
    <x v="1"/>
    <x v="0"/>
  </r>
  <r>
    <n v="24871"/>
    <x v="1"/>
    <x v="0"/>
    <n v="90000"/>
    <x v="1"/>
    <n v="4"/>
    <s v="High School"/>
    <x v="4"/>
    <s v="No"/>
    <n v="3"/>
    <x v="2"/>
    <x v="0"/>
    <n v="56"/>
    <x v="1"/>
    <x v="0"/>
  </r>
  <r>
    <n v="17319"/>
    <x v="1"/>
    <x v="0"/>
    <n v="70000"/>
    <x v="1"/>
    <n v="0"/>
    <s v="Bachelors"/>
    <x v="2"/>
    <s v="No"/>
    <n v="1"/>
    <x v="2"/>
    <x v="1"/>
    <n v="42"/>
    <x v="0"/>
    <x v="0"/>
  </r>
  <r>
    <n v="28906"/>
    <x v="0"/>
    <x v="1"/>
    <n v="80000"/>
    <x v="1"/>
    <n v="4"/>
    <s v="High School"/>
    <x v="2"/>
    <s v="Yes"/>
    <n v="2"/>
    <x v="4"/>
    <x v="0"/>
    <n v="54"/>
    <x v="0"/>
    <x v="0"/>
  </r>
  <r>
    <n v="12808"/>
    <x v="0"/>
    <x v="1"/>
    <n v="40000"/>
    <x v="0"/>
    <n v="0"/>
    <s v="Bachelors"/>
    <x v="1"/>
    <s v="Yes"/>
    <n v="0"/>
    <x v="0"/>
    <x v="0"/>
    <n v="38"/>
    <x v="0"/>
    <x v="1"/>
  </r>
  <r>
    <n v="20567"/>
    <x v="0"/>
    <x v="1"/>
    <n v="130000"/>
    <x v="2"/>
    <n v="4"/>
    <s v="Partial College"/>
    <x v="2"/>
    <s v="No"/>
    <n v="4"/>
    <x v="2"/>
    <x v="0"/>
    <n v="61"/>
    <x v="1"/>
    <x v="1"/>
  </r>
  <r>
    <n v="25502"/>
    <x v="0"/>
    <x v="0"/>
    <n v="40000"/>
    <x v="0"/>
    <n v="1"/>
    <s v="Bachelors"/>
    <x v="0"/>
    <s v="Yes"/>
    <n v="0"/>
    <x v="0"/>
    <x v="0"/>
    <n v="43"/>
    <x v="0"/>
    <x v="1"/>
  </r>
  <r>
    <n v="15580"/>
    <x v="0"/>
    <x v="1"/>
    <n v="60000"/>
    <x v="1"/>
    <n v="2"/>
    <s v="Bachelors"/>
    <x v="2"/>
    <s v="Yes"/>
    <n v="1"/>
    <x v="1"/>
    <x v="1"/>
    <n v="38"/>
    <x v="0"/>
    <x v="1"/>
  </r>
  <r>
    <n v="24185"/>
    <x v="1"/>
    <x v="0"/>
    <n v="10000"/>
    <x v="0"/>
    <n v="1"/>
    <s v="High School"/>
    <x v="3"/>
    <s v="No"/>
    <n v="1"/>
    <x v="3"/>
    <x v="0"/>
    <n v="45"/>
    <x v="0"/>
    <x v="0"/>
  </r>
  <r>
    <n v="19291"/>
    <x v="1"/>
    <x v="0"/>
    <n v="10000"/>
    <x v="0"/>
    <n v="2"/>
    <s v="High School"/>
    <x v="3"/>
    <s v="Yes"/>
    <n v="0"/>
    <x v="0"/>
    <x v="0"/>
    <n v="35"/>
    <x v="0"/>
    <x v="0"/>
  </r>
  <r>
    <n v="16713"/>
    <x v="0"/>
    <x v="1"/>
    <n v="40000"/>
    <x v="0"/>
    <n v="2"/>
    <s v="Bachelors"/>
    <x v="4"/>
    <s v="Yes"/>
    <n v="1"/>
    <x v="0"/>
    <x v="1"/>
    <n v="52"/>
    <x v="0"/>
    <x v="1"/>
  </r>
  <r>
    <n v="16185"/>
    <x v="1"/>
    <x v="1"/>
    <n v="60000"/>
    <x v="1"/>
    <n v="4"/>
    <s v="Bachelors"/>
    <x v="2"/>
    <s v="Yes"/>
    <n v="3"/>
    <x v="4"/>
    <x v="1"/>
    <n v="41"/>
    <x v="0"/>
    <x v="0"/>
  </r>
  <r>
    <n v="14927"/>
    <x v="0"/>
    <x v="0"/>
    <n v="30000"/>
    <x v="0"/>
    <n v="1"/>
    <s v="Bachelors"/>
    <x v="1"/>
    <s v="Yes"/>
    <n v="0"/>
    <x v="0"/>
    <x v="0"/>
    <n v="37"/>
    <x v="0"/>
    <x v="1"/>
  </r>
  <r>
    <n v="29337"/>
    <x v="1"/>
    <x v="1"/>
    <n v="30000"/>
    <x v="0"/>
    <n v="2"/>
    <s v="Partial College"/>
    <x v="1"/>
    <s v="Yes"/>
    <n v="2"/>
    <x v="2"/>
    <x v="1"/>
    <n v="68"/>
    <x v="1"/>
    <x v="0"/>
  </r>
  <r>
    <n v="29355"/>
    <x v="0"/>
    <x v="0"/>
    <n v="40000"/>
    <x v="0"/>
    <n v="0"/>
    <s v="Graduate Degree"/>
    <x v="1"/>
    <s v="Yes"/>
    <n v="0"/>
    <x v="0"/>
    <x v="0"/>
    <n v="37"/>
    <x v="0"/>
    <x v="1"/>
  </r>
  <r>
    <n v="25303"/>
    <x v="1"/>
    <x v="1"/>
    <n v="30000"/>
    <x v="0"/>
    <n v="0"/>
    <s v="High School"/>
    <x v="3"/>
    <s v="Yes"/>
    <n v="1"/>
    <x v="1"/>
    <x v="0"/>
    <n v="33"/>
    <x v="2"/>
    <x v="1"/>
  </r>
  <r>
    <n v="14813"/>
    <x v="1"/>
    <x v="0"/>
    <n v="20000"/>
    <x v="0"/>
    <n v="4"/>
    <s v="High School"/>
    <x v="3"/>
    <s v="Yes"/>
    <n v="1"/>
    <x v="0"/>
    <x v="0"/>
    <n v="43"/>
    <x v="0"/>
    <x v="1"/>
  </r>
  <r>
    <n v="16438"/>
    <x v="0"/>
    <x v="0"/>
    <n v="10000"/>
    <x v="0"/>
    <n v="0"/>
    <s v="Partial High School"/>
    <x v="3"/>
    <s v="No"/>
    <n v="2"/>
    <x v="0"/>
    <x v="0"/>
    <n v="30"/>
    <x v="2"/>
    <x v="0"/>
  </r>
  <r>
    <n v="14238"/>
    <x v="0"/>
    <x v="1"/>
    <n v="120000"/>
    <x v="2"/>
    <n v="0"/>
    <s v="Partial High School"/>
    <x v="2"/>
    <s v="Yes"/>
    <n v="4"/>
    <x v="4"/>
    <x v="1"/>
    <n v="36"/>
    <x v="0"/>
    <x v="1"/>
  </r>
  <r>
    <n v="16200"/>
    <x v="1"/>
    <x v="0"/>
    <n v="10000"/>
    <x v="0"/>
    <n v="0"/>
    <s v="Partial High School"/>
    <x v="3"/>
    <s v="No"/>
    <n v="2"/>
    <x v="0"/>
    <x v="0"/>
    <n v="35"/>
    <x v="0"/>
    <x v="0"/>
  </r>
  <r>
    <n v="24857"/>
    <x v="0"/>
    <x v="0"/>
    <n v="130000"/>
    <x v="2"/>
    <n v="3"/>
    <s v="High School"/>
    <x v="2"/>
    <s v="Yes"/>
    <n v="4"/>
    <x v="0"/>
    <x v="0"/>
    <n v="52"/>
    <x v="0"/>
    <x v="0"/>
  </r>
  <r>
    <n v="26956"/>
    <x v="1"/>
    <x v="0"/>
    <n v="20000"/>
    <x v="0"/>
    <n v="0"/>
    <s v="Partial College"/>
    <x v="3"/>
    <s v="No"/>
    <n v="1"/>
    <x v="1"/>
    <x v="0"/>
    <n v="36"/>
    <x v="0"/>
    <x v="1"/>
  </r>
  <r>
    <n v="14517"/>
    <x v="0"/>
    <x v="0"/>
    <n v="20000"/>
    <x v="0"/>
    <n v="3"/>
    <s v="High School"/>
    <x v="0"/>
    <s v="No"/>
    <n v="2"/>
    <x v="3"/>
    <x v="1"/>
    <n v="62"/>
    <x v="1"/>
    <x v="0"/>
  </r>
  <r>
    <n v="12678"/>
    <x v="1"/>
    <x v="0"/>
    <n v="130000"/>
    <x v="2"/>
    <n v="4"/>
    <s v="High School"/>
    <x v="4"/>
    <s v="Yes"/>
    <n v="4"/>
    <x v="0"/>
    <x v="1"/>
    <n v="31"/>
    <x v="2"/>
    <x v="0"/>
  </r>
  <r>
    <n v="16188"/>
    <x v="1"/>
    <x v="0"/>
    <n v="20000"/>
    <x v="0"/>
    <n v="0"/>
    <s v="Partial High School"/>
    <x v="3"/>
    <s v="No"/>
    <n v="2"/>
    <x v="3"/>
    <x v="0"/>
    <n v="26"/>
    <x v="2"/>
    <x v="0"/>
  </r>
  <r>
    <n v="27969"/>
    <x v="0"/>
    <x v="1"/>
    <n v="80000"/>
    <x v="1"/>
    <n v="0"/>
    <s v="Bachelors"/>
    <x v="2"/>
    <s v="Yes"/>
    <n v="2"/>
    <x v="4"/>
    <x v="1"/>
    <n v="29"/>
    <x v="2"/>
    <x v="1"/>
  </r>
  <r>
    <n v="15752"/>
    <x v="0"/>
    <x v="1"/>
    <n v="80000"/>
    <x v="1"/>
    <n v="2"/>
    <s v="High School"/>
    <x v="0"/>
    <s v="No"/>
    <n v="2"/>
    <x v="3"/>
    <x v="1"/>
    <n v="50"/>
    <x v="0"/>
    <x v="1"/>
  </r>
  <r>
    <n v="27745"/>
    <x v="1"/>
    <x v="1"/>
    <n v="40000"/>
    <x v="0"/>
    <n v="2"/>
    <s v="Bachelors"/>
    <x v="4"/>
    <s v="Yes"/>
    <n v="2"/>
    <x v="2"/>
    <x v="1"/>
    <n v="63"/>
    <x v="1"/>
    <x v="1"/>
  </r>
  <r>
    <n v="20828"/>
    <x v="0"/>
    <x v="0"/>
    <n v="30000"/>
    <x v="0"/>
    <n v="4"/>
    <s v="Graduate Degree"/>
    <x v="1"/>
    <s v="Yes"/>
    <n v="0"/>
    <x v="0"/>
    <x v="0"/>
    <n v="45"/>
    <x v="0"/>
    <x v="1"/>
  </r>
  <r>
    <n v="19461"/>
    <x v="1"/>
    <x v="0"/>
    <n v="10000"/>
    <x v="0"/>
    <n v="4"/>
    <s v="Partial High School"/>
    <x v="3"/>
    <s v="Yes"/>
    <n v="2"/>
    <x v="0"/>
    <x v="0"/>
    <n v="40"/>
    <x v="0"/>
    <x v="0"/>
  </r>
  <r>
    <n v="26941"/>
    <x v="0"/>
    <x v="1"/>
    <n v="30000"/>
    <x v="0"/>
    <n v="0"/>
    <s v="Bachelors"/>
    <x v="1"/>
    <s v="Yes"/>
    <n v="0"/>
    <x v="0"/>
    <x v="0"/>
    <n v="47"/>
    <x v="0"/>
    <x v="1"/>
  </r>
  <r>
    <n v="28412"/>
    <x v="1"/>
    <x v="1"/>
    <n v="20000"/>
    <x v="0"/>
    <n v="0"/>
    <s v="High School"/>
    <x v="3"/>
    <s v="No"/>
    <n v="1"/>
    <x v="1"/>
    <x v="0"/>
    <n v="29"/>
    <x v="2"/>
    <x v="0"/>
  </r>
  <r>
    <n v="24485"/>
    <x v="1"/>
    <x v="1"/>
    <n v="40000"/>
    <x v="0"/>
    <n v="2"/>
    <s v="Bachelors"/>
    <x v="4"/>
    <s v="No"/>
    <n v="1"/>
    <x v="2"/>
    <x v="1"/>
    <n v="52"/>
    <x v="0"/>
    <x v="1"/>
  </r>
  <r>
    <n v="16514"/>
    <x v="1"/>
    <x v="1"/>
    <n v="10000"/>
    <x v="0"/>
    <n v="0"/>
    <s v="Partial College"/>
    <x v="3"/>
    <s v="Yes"/>
    <n v="1"/>
    <x v="3"/>
    <x v="1"/>
    <n v="26"/>
    <x v="2"/>
    <x v="1"/>
  </r>
  <r>
    <n v="17191"/>
    <x v="1"/>
    <x v="1"/>
    <n v="130000"/>
    <x v="2"/>
    <n v="3"/>
    <s v="Partial College"/>
    <x v="2"/>
    <s v="No"/>
    <n v="3"/>
    <x v="0"/>
    <x v="0"/>
    <n v="51"/>
    <x v="0"/>
    <x v="1"/>
  </r>
  <r>
    <n v="19608"/>
    <x v="0"/>
    <x v="1"/>
    <n v="80000"/>
    <x v="1"/>
    <n v="5"/>
    <s v="Bachelors"/>
    <x v="2"/>
    <s v="Yes"/>
    <n v="4"/>
    <x v="3"/>
    <x v="1"/>
    <n v="40"/>
    <x v="0"/>
    <x v="0"/>
  </r>
  <r>
    <n v="24119"/>
    <x v="1"/>
    <x v="1"/>
    <n v="30000"/>
    <x v="0"/>
    <n v="0"/>
    <s v="Partial College"/>
    <x v="1"/>
    <s v="No"/>
    <n v="1"/>
    <x v="1"/>
    <x v="0"/>
    <n v="29"/>
    <x v="2"/>
    <x v="0"/>
  </r>
  <r>
    <n v="25458"/>
    <x v="0"/>
    <x v="1"/>
    <n v="20000"/>
    <x v="0"/>
    <n v="1"/>
    <s v="High School"/>
    <x v="3"/>
    <s v="No"/>
    <n v="1"/>
    <x v="3"/>
    <x v="0"/>
    <n v="40"/>
    <x v="0"/>
    <x v="1"/>
  </r>
  <r>
    <n v="26886"/>
    <x v="1"/>
    <x v="0"/>
    <n v="30000"/>
    <x v="0"/>
    <n v="0"/>
    <s v="Partial College"/>
    <x v="1"/>
    <s v="No"/>
    <n v="1"/>
    <x v="0"/>
    <x v="0"/>
    <n v="29"/>
    <x v="2"/>
    <x v="1"/>
  </r>
  <r>
    <n v="28436"/>
    <x v="1"/>
    <x v="1"/>
    <n v="30000"/>
    <x v="0"/>
    <n v="0"/>
    <s v="Partial College"/>
    <x v="1"/>
    <s v="No"/>
    <n v="1"/>
    <x v="0"/>
    <x v="0"/>
    <n v="30"/>
    <x v="2"/>
    <x v="1"/>
  </r>
  <r>
    <n v="19562"/>
    <x v="1"/>
    <x v="0"/>
    <n v="60000"/>
    <x v="1"/>
    <n v="2"/>
    <s v="Bachelors"/>
    <x v="2"/>
    <s v="Yes"/>
    <n v="1"/>
    <x v="1"/>
    <x v="1"/>
    <n v="37"/>
    <x v="0"/>
    <x v="1"/>
  </r>
  <r>
    <n v="15608"/>
    <x v="1"/>
    <x v="0"/>
    <n v="30000"/>
    <x v="0"/>
    <n v="0"/>
    <s v="Partial College"/>
    <x v="1"/>
    <s v="No"/>
    <n v="1"/>
    <x v="1"/>
    <x v="0"/>
    <n v="33"/>
    <x v="2"/>
    <x v="0"/>
  </r>
  <r>
    <n v="16487"/>
    <x v="1"/>
    <x v="0"/>
    <n v="30000"/>
    <x v="0"/>
    <n v="3"/>
    <s v="High School"/>
    <x v="0"/>
    <s v="Yes"/>
    <n v="2"/>
    <x v="2"/>
    <x v="1"/>
    <n v="55"/>
    <x v="1"/>
    <x v="0"/>
  </r>
  <r>
    <n v="17197"/>
    <x v="1"/>
    <x v="0"/>
    <n v="90000"/>
    <x v="1"/>
    <n v="5"/>
    <s v="Partial College"/>
    <x v="2"/>
    <s v="Yes"/>
    <n v="2"/>
    <x v="4"/>
    <x v="0"/>
    <n v="62"/>
    <x v="1"/>
    <x v="0"/>
  </r>
  <r>
    <n v="12507"/>
    <x v="0"/>
    <x v="1"/>
    <n v="30000"/>
    <x v="0"/>
    <n v="1"/>
    <s v="Partial College"/>
    <x v="1"/>
    <s v="Yes"/>
    <n v="1"/>
    <x v="0"/>
    <x v="0"/>
    <n v="43"/>
    <x v="0"/>
    <x v="0"/>
  </r>
  <r>
    <n v="23940"/>
    <x v="0"/>
    <x v="1"/>
    <n v="40000"/>
    <x v="0"/>
    <n v="1"/>
    <s v="Bachelors"/>
    <x v="0"/>
    <s v="Yes"/>
    <n v="1"/>
    <x v="0"/>
    <x v="0"/>
    <n v="44"/>
    <x v="0"/>
    <x v="1"/>
  </r>
  <r>
    <n v="19441"/>
    <x v="0"/>
    <x v="1"/>
    <n v="40000"/>
    <x v="0"/>
    <n v="0"/>
    <s v="Graduate Degree"/>
    <x v="1"/>
    <s v="Yes"/>
    <n v="0"/>
    <x v="0"/>
    <x v="0"/>
    <n v="25"/>
    <x v="2"/>
    <x v="1"/>
  </r>
  <r>
    <n v="26852"/>
    <x v="0"/>
    <x v="0"/>
    <n v="20000"/>
    <x v="0"/>
    <n v="3"/>
    <s v="High School"/>
    <x v="3"/>
    <s v="Yes"/>
    <n v="2"/>
    <x v="0"/>
    <x v="0"/>
    <n v="43"/>
    <x v="0"/>
    <x v="0"/>
  </r>
  <r>
    <n v="12274"/>
    <x v="1"/>
    <x v="1"/>
    <n v="10000"/>
    <x v="0"/>
    <n v="2"/>
    <s v="High School"/>
    <x v="3"/>
    <s v="Yes"/>
    <n v="0"/>
    <x v="0"/>
    <x v="0"/>
    <n v="35"/>
    <x v="0"/>
    <x v="0"/>
  </r>
  <r>
    <n v="20236"/>
    <x v="1"/>
    <x v="1"/>
    <n v="60000"/>
    <x v="1"/>
    <n v="3"/>
    <s v="Bachelors"/>
    <x v="2"/>
    <s v="No"/>
    <n v="2"/>
    <x v="0"/>
    <x v="1"/>
    <n v="43"/>
    <x v="0"/>
    <x v="1"/>
  </r>
  <r>
    <n v="24149"/>
    <x v="0"/>
    <x v="1"/>
    <n v="10000"/>
    <x v="0"/>
    <n v="2"/>
    <s v="Partial College"/>
    <x v="3"/>
    <s v="Yes"/>
    <n v="0"/>
    <x v="3"/>
    <x v="0"/>
    <n v="49"/>
    <x v="0"/>
    <x v="0"/>
  </r>
  <r>
    <n v="26139"/>
    <x v="1"/>
    <x v="1"/>
    <n v="60000"/>
    <x v="1"/>
    <n v="1"/>
    <s v="Partial College"/>
    <x v="0"/>
    <s v="Yes"/>
    <n v="1"/>
    <x v="2"/>
    <x v="1"/>
    <n v="45"/>
    <x v="0"/>
    <x v="0"/>
  </r>
  <r>
    <n v="18491"/>
    <x v="1"/>
    <x v="0"/>
    <n v="70000"/>
    <x v="1"/>
    <n v="2"/>
    <s v="High School"/>
    <x v="2"/>
    <s v="Yes"/>
    <n v="2"/>
    <x v="2"/>
    <x v="1"/>
    <n v="49"/>
    <x v="0"/>
    <x v="1"/>
  </r>
  <r>
    <n v="22707"/>
    <x v="1"/>
    <x v="0"/>
    <n v="30000"/>
    <x v="0"/>
    <n v="0"/>
    <s v="Partial College"/>
    <x v="1"/>
    <s v="No"/>
    <n v="1"/>
    <x v="1"/>
    <x v="0"/>
    <n v="30"/>
    <x v="2"/>
    <x v="0"/>
  </r>
  <r>
    <n v="20430"/>
    <x v="0"/>
    <x v="1"/>
    <n v="70000"/>
    <x v="1"/>
    <n v="2"/>
    <s v="Partial College"/>
    <x v="0"/>
    <s v="Yes"/>
    <n v="2"/>
    <x v="2"/>
    <x v="1"/>
    <n v="52"/>
    <x v="0"/>
    <x v="1"/>
  </r>
  <r>
    <n v="27494"/>
    <x v="1"/>
    <x v="0"/>
    <n v="40000"/>
    <x v="0"/>
    <n v="2"/>
    <s v="Partial College"/>
    <x v="0"/>
    <s v="No"/>
    <n v="2"/>
    <x v="3"/>
    <x v="1"/>
    <n v="53"/>
    <x v="0"/>
    <x v="1"/>
  </r>
  <r>
    <n v="26829"/>
    <x v="0"/>
    <x v="0"/>
    <n v="40000"/>
    <x v="0"/>
    <n v="0"/>
    <s v="Bachelors"/>
    <x v="1"/>
    <s v="Yes"/>
    <n v="0"/>
    <x v="0"/>
    <x v="0"/>
    <n v="38"/>
    <x v="0"/>
    <x v="1"/>
  </r>
  <r>
    <n v="28395"/>
    <x v="1"/>
    <x v="1"/>
    <n v="40000"/>
    <x v="0"/>
    <n v="0"/>
    <s v="Bachelors"/>
    <x v="2"/>
    <s v="No"/>
    <n v="0"/>
    <x v="0"/>
    <x v="0"/>
    <n v="39"/>
    <x v="0"/>
    <x v="1"/>
  </r>
  <r>
    <n v="21006"/>
    <x v="1"/>
    <x v="0"/>
    <n v="30000"/>
    <x v="0"/>
    <n v="1"/>
    <s v="Partial College"/>
    <x v="3"/>
    <s v="No"/>
    <n v="0"/>
    <x v="0"/>
    <x v="0"/>
    <n v="46"/>
    <x v="0"/>
    <x v="1"/>
  </r>
  <r>
    <n v="14682"/>
    <x v="1"/>
    <x v="0"/>
    <n v="70000"/>
    <x v="1"/>
    <n v="0"/>
    <s v="Bachelors"/>
    <x v="2"/>
    <s v="No"/>
    <n v="1"/>
    <x v="2"/>
    <x v="1"/>
    <n v="38"/>
    <x v="0"/>
    <x v="0"/>
  </r>
  <r>
    <n v="17650"/>
    <x v="1"/>
    <x v="0"/>
    <n v="40000"/>
    <x v="0"/>
    <n v="2"/>
    <s v="Partial College"/>
    <x v="1"/>
    <s v="Yes"/>
    <n v="2"/>
    <x v="3"/>
    <x v="0"/>
    <n v="35"/>
    <x v="0"/>
    <x v="0"/>
  </r>
  <r>
    <n v="29191"/>
    <x v="1"/>
    <x v="0"/>
    <n v="130000"/>
    <x v="2"/>
    <n v="1"/>
    <s v="Graduate Degree"/>
    <x v="4"/>
    <s v="No"/>
    <n v="1"/>
    <x v="0"/>
    <x v="1"/>
    <n v="36"/>
    <x v="0"/>
    <x v="1"/>
  </r>
  <r>
    <n v="15030"/>
    <x v="0"/>
    <x v="1"/>
    <n v="20000"/>
    <x v="0"/>
    <n v="0"/>
    <s v="Bachelors"/>
    <x v="1"/>
    <s v="Yes"/>
    <n v="0"/>
    <x v="0"/>
    <x v="1"/>
    <n v="26"/>
    <x v="2"/>
    <x v="1"/>
  </r>
  <r>
    <n v="24140"/>
    <x v="1"/>
    <x v="1"/>
    <n v="10000"/>
    <x v="0"/>
    <n v="0"/>
    <s v="Graduate Degree"/>
    <x v="3"/>
    <s v="No"/>
    <n v="0"/>
    <x v="0"/>
    <x v="0"/>
    <n v="30"/>
    <x v="2"/>
    <x v="1"/>
  </r>
  <r>
    <n v="22496"/>
    <x v="0"/>
    <x v="0"/>
    <n v="30000"/>
    <x v="0"/>
    <n v="1"/>
    <s v="Bachelors"/>
    <x v="0"/>
    <s v="Yes"/>
    <n v="2"/>
    <x v="0"/>
    <x v="0"/>
    <n v="42"/>
    <x v="0"/>
    <x v="0"/>
  </r>
  <r>
    <n v="24065"/>
    <x v="1"/>
    <x v="0"/>
    <n v="20000"/>
    <x v="0"/>
    <n v="0"/>
    <s v="High School"/>
    <x v="3"/>
    <s v="Yes"/>
    <n v="0"/>
    <x v="0"/>
    <x v="0"/>
    <n v="40"/>
    <x v="0"/>
    <x v="1"/>
  </r>
  <r>
    <n v="19914"/>
    <x v="0"/>
    <x v="1"/>
    <n v="80000"/>
    <x v="1"/>
    <n v="5"/>
    <s v="Bachelors"/>
    <x v="4"/>
    <s v="Yes"/>
    <n v="2"/>
    <x v="1"/>
    <x v="0"/>
    <n v="62"/>
    <x v="1"/>
    <x v="0"/>
  </r>
  <r>
    <n v="12871"/>
    <x v="1"/>
    <x v="0"/>
    <n v="30000"/>
    <x v="0"/>
    <n v="0"/>
    <s v="Partial College"/>
    <x v="1"/>
    <s v="No"/>
    <n v="1"/>
    <x v="1"/>
    <x v="0"/>
    <n v="29"/>
    <x v="2"/>
    <x v="0"/>
  </r>
  <r>
    <n v="22988"/>
    <x v="0"/>
    <x v="0"/>
    <n v="40000"/>
    <x v="0"/>
    <n v="2"/>
    <s v="Bachelors"/>
    <x v="4"/>
    <s v="Yes"/>
    <n v="2"/>
    <x v="2"/>
    <x v="1"/>
    <n v="66"/>
    <x v="1"/>
    <x v="1"/>
  </r>
  <r>
    <n v="15922"/>
    <x v="0"/>
    <x v="1"/>
    <n v="150000"/>
    <x v="2"/>
    <n v="2"/>
    <s v="High School"/>
    <x v="2"/>
    <s v="Yes"/>
    <n v="4"/>
    <x v="0"/>
    <x v="0"/>
    <n v="48"/>
    <x v="0"/>
    <x v="0"/>
  </r>
  <r>
    <n v="12344"/>
    <x v="1"/>
    <x v="0"/>
    <n v="80000"/>
    <x v="1"/>
    <n v="0"/>
    <s v="Bachelors"/>
    <x v="2"/>
    <s v="No"/>
    <n v="3"/>
    <x v="4"/>
    <x v="1"/>
    <n v="31"/>
    <x v="2"/>
    <x v="0"/>
  </r>
  <r>
    <n v="23627"/>
    <x v="1"/>
    <x v="0"/>
    <n v="100000"/>
    <x v="2"/>
    <n v="3"/>
    <s v="Partial College"/>
    <x v="4"/>
    <s v="No"/>
    <n v="4"/>
    <x v="2"/>
    <x v="0"/>
    <n v="56"/>
    <x v="1"/>
    <x v="0"/>
  </r>
  <r>
    <n v="27775"/>
    <x v="1"/>
    <x v="0"/>
    <n v="40000"/>
    <x v="0"/>
    <n v="0"/>
    <s v="Bachelors"/>
    <x v="1"/>
    <s v="No"/>
    <n v="0"/>
    <x v="0"/>
    <x v="0"/>
    <n v="38"/>
    <x v="0"/>
    <x v="1"/>
  </r>
  <r>
    <n v="29301"/>
    <x v="0"/>
    <x v="1"/>
    <n v="80000"/>
    <x v="1"/>
    <n v="5"/>
    <s v="Bachelors"/>
    <x v="2"/>
    <s v="Yes"/>
    <n v="4"/>
    <x v="3"/>
    <x v="1"/>
    <n v="40"/>
    <x v="0"/>
    <x v="0"/>
  </r>
  <r>
    <n v="12716"/>
    <x v="1"/>
    <x v="1"/>
    <n v="30000"/>
    <x v="0"/>
    <n v="0"/>
    <s v="Partial College"/>
    <x v="1"/>
    <s v="Yes"/>
    <n v="1"/>
    <x v="1"/>
    <x v="0"/>
    <n v="32"/>
    <x v="2"/>
    <x v="0"/>
  </r>
  <r>
    <n v="12472"/>
    <x v="0"/>
    <x v="1"/>
    <n v="30000"/>
    <x v="0"/>
    <n v="1"/>
    <s v="Bachelors"/>
    <x v="1"/>
    <s v="Yes"/>
    <n v="1"/>
    <x v="1"/>
    <x v="0"/>
    <n v="39"/>
    <x v="0"/>
    <x v="0"/>
  </r>
  <r>
    <n v="20970"/>
    <x v="1"/>
    <x v="1"/>
    <n v="10000"/>
    <x v="0"/>
    <n v="2"/>
    <s v="Partial College"/>
    <x v="3"/>
    <s v="Yes"/>
    <n v="1"/>
    <x v="0"/>
    <x v="0"/>
    <n v="52"/>
    <x v="0"/>
    <x v="1"/>
  </r>
  <r>
    <n v="26818"/>
    <x v="1"/>
    <x v="1"/>
    <n v="10000"/>
    <x v="0"/>
    <n v="3"/>
    <s v="High School"/>
    <x v="3"/>
    <s v="Yes"/>
    <n v="1"/>
    <x v="0"/>
    <x v="0"/>
    <n v="39"/>
    <x v="0"/>
    <x v="1"/>
  </r>
  <r>
    <n v="12993"/>
    <x v="0"/>
    <x v="1"/>
    <n v="60000"/>
    <x v="1"/>
    <n v="2"/>
    <s v="Bachelors"/>
    <x v="2"/>
    <s v="Yes"/>
    <n v="1"/>
    <x v="1"/>
    <x v="1"/>
    <n v="37"/>
    <x v="0"/>
    <x v="0"/>
  </r>
  <r>
    <n v="14192"/>
    <x v="0"/>
    <x v="1"/>
    <n v="90000"/>
    <x v="1"/>
    <n v="4"/>
    <s v="High School"/>
    <x v="4"/>
    <s v="Yes"/>
    <n v="3"/>
    <x v="2"/>
    <x v="0"/>
    <n v="56"/>
    <x v="1"/>
    <x v="1"/>
  </r>
  <r>
    <n v="19477"/>
    <x v="0"/>
    <x v="1"/>
    <n v="40000"/>
    <x v="0"/>
    <n v="0"/>
    <s v="Bachelors"/>
    <x v="2"/>
    <s v="Yes"/>
    <n v="0"/>
    <x v="0"/>
    <x v="0"/>
    <n v="40"/>
    <x v="0"/>
    <x v="1"/>
  </r>
  <r>
    <n v="26796"/>
    <x v="1"/>
    <x v="1"/>
    <n v="40000"/>
    <x v="0"/>
    <n v="2"/>
    <s v="Bachelors"/>
    <x v="4"/>
    <s v="Yes"/>
    <n v="2"/>
    <x v="2"/>
    <x v="1"/>
    <n v="65"/>
    <x v="1"/>
    <x v="1"/>
  </r>
  <r>
    <n v="21094"/>
    <x v="1"/>
    <x v="0"/>
    <n v="30000"/>
    <x v="0"/>
    <n v="2"/>
    <s v="Partial College"/>
    <x v="1"/>
    <s v="Yes"/>
    <n v="2"/>
    <x v="0"/>
    <x v="0"/>
    <n v="42"/>
    <x v="0"/>
    <x v="0"/>
  </r>
  <r>
    <n v="12234"/>
    <x v="0"/>
    <x v="1"/>
    <n v="10000"/>
    <x v="0"/>
    <n v="2"/>
    <s v="Partial College"/>
    <x v="3"/>
    <s v="Yes"/>
    <n v="1"/>
    <x v="1"/>
    <x v="0"/>
    <n v="52"/>
    <x v="0"/>
    <x v="0"/>
  </r>
  <r>
    <n v="28683"/>
    <x v="1"/>
    <x v="0"/>
    <n v="10000"/>
    <x v="0"/>
    <n v="1"/>
    <s v="High School"/>
    <x v="3"/>
    <s v="No"/>
    <n v="1"/>
    <x v="2"/>
    <x v="0"/>
    <n v="35"/>
    <x v="0"/>
    <x v="1"/>
  </r>
  <r>
    <n v="17994"/>
    <x v="1"/>
    <x v="1"/>
    <n v="20000"/>
    <x v="0"/>
    <n v="2"/>
    <s v="High School"/>
    <x v="3"/>
    <s v="Yes"/>
    <n v="2"/>
    <x v="0"/>
    <x v="0"/>
    <n v="42"/>
    <x v="0"/>
    <x v="0"/>
  </r>
  <r>
    <n v="24273"/>
    <x v="0"/>
    <x v="0"/>
    <n v="20000"/>
    <x v="0"/>
    <n v="2"/>
    <s v="Partial High School"/>
    <x v="1"/>
    <s v="Yes"/>
    <n v="2"/>
    <x v="2"/>
    <x v="1"/>
    <n v="55"/>
    <x v="1"/>
    <x v="1"/>
  </r>
  <r>
    <n v="26547"/>
    <x v="1"/>
    <x v="0"/>
    <n v="30000"/>
    <x v="0"/>
    <n v="2"/>
    <s v="Partial College"/>
    <x v="1"/>
    <s v="No"/>
    <n v="2"/>
    <x v="2"/>
    <x v="1"/>
    <n v="60"/>
    <x v="1"/>
    <x v="1"/>
  </r>
  <r>
    <n v="22500"/>
    <x v="1"/>
    <x v="1"/>
    <n v="40000"/>
    <x v="0"/>
    <n v="0"/>
    <s v="Bachelors"/>
    <x v="2"/>
    <s v="No"/>
    <n v="0"/>
    <x v="0"/>
    <x v="0"/>
    <n v="40"/>
    <x v="0"/>
    <x v="1"/>
  </r>
  <r>
    <n v="23993"/>
    <x v="1"/>
    <x v="0"/>
    <n v="10000"/>
    <x v="0"/>
    <n v="0"/>
    <s v="Partial College"/>
    <x v="3"/>
    <s v="No"/>
    <n v="1"/>
    <x v="0"/>
    <x v="1"/>
    <n v="26"/>
    <x v="2"/>
    <x v="1"/>
  </r>
  <r>
    <n v="14832"/>
    <x v="0"/>
    <x v="1"/>
    <n v="40000"/>
    <x v="0"/>
    <n v="1"/>
    <s v="Bachelors"/>
    <x v="0"/>
    <s v="Yes"/>
    <n v="0"/>
    <x v="0"/>
    <x v="0"/>
    <n v="42"/>
    <x v="0"/>
    <x v="1"/>
  </r>
  <r>
    <n v="16614"/>
    <x v="0"/>
    <x v="0"/>
    <n v="80000"/>
    <x v="1"/>
    <n v="0"/>
    <s v="Bachelors"/>
    <x v="2"/>
    <s v="Yes"/>
    <n v="3"/>
    <x v="4"/>
    <x v="1"/>
    <n v="32"/>
    <x v="2"/>
    <x v="0"/>
  </r>
  <r>
    <n v="20877"/>
    <x v="1"/>
    <x v="1"/>
    <n v="30000"/>
    <x v="0"/>
    <n v="1"/>
    <s v="Bachelors"/>
    <x v="1"/>
    <s v="Yes"/>
    <n v="0"/>
    <x v="3"/>
    <x v="0"/>
    <n v="37"/>
    <x v="0"/>
    <x v="1"/>
  </r>
  <r>
    <n v="20729"/>
    <x v="0"/>
    <x v="0"/>
    <n v="40000"/>
    <x v="0"/>
    <n v="2"/>
    <s v="Partial College"/>
    <x v="1"/>
    <s v="No"/>
    <n v="1"/>
    <x v="0"/>
    <x v="0"/>
    <n v="34"/>
    <x v="2"/>
    <x v="0"/>
  </r>
  <r>
    <n v="22464"/>
    <x v="0"/>
    <x v="1"/>
    <n v="40000"/>
    <x v="0"/>
    <n v="0"/>
    <s v="Graduate Degree"/>
    <x v="1"/>
    <s v="Yes"/>
    <n v="0"/>
    <x v="0"/>
    <x v="0"/>
    <n v="37"/>
    <x v="0"/>
    <x v="1"/>
  </r>
  <r>
    <n v="19475"/>
    <x v="0"/>
    <x v="0"/>
    <n v="40000"/>
    <x v="0"/>
    <n v="0"/>
    <s v="Bachelors"/>
    <x v="2"/>
    <s v="No"/>
    <n v="0"/>
    <x v="0"/>
    <x v="0"/>
    <n v="40"/>
    <x v="0"/>
    <x v="1"/>
  </r>
  <r>
    <n v="19675"/>
    <x v="0"/>
    <x v="1"/>
    <n v="20000"/>
    <x v="0"/>
    <n v="4"/>
    <s v="High School"/>
    <x v="0"/>
    <s v="Yes"/>
    <n v="2"/>
    <x v="2"/>
    <x v="1"/>
    <n v="60"/>
    <x v="1"/>
    <x v="0"/>
  </r>
  <r>
    <n v="12728"/>
    <x v="1"/>
    <x v="1"/>
    <n v="30000"/>
    <x v="0"/>
    <n v="0"/>
    <s v="Partial College"/>
    <x v="1"/>
    <s v="No"/>
    <n v="1"/>
    <x v="3"/>
    <x v="0"/>
    <n v="27"/>
    <x v="2"/>
    <x v="0"/>
  </r>
  <r>
    <n v="26154"/>
    <x v="0"/>
    <x v="1"/>
    <n v="60000"/>
    <x v="1"/>
    <n v="1"/>
    <s v="Partial College"/>
    <x v="0"/>
    <s v="Yes"/>
    <n v="1"/>
    <x v="2"/>
    <x v="1"/>
    <n v="43"/>
    <x v="0"/>
    <x v="1"/>
  </r>
  <r>
    <n v="29117"/>
    <x v="1"/>
    <x v="1"/>
    <n v="100000"/>
    <x v="2"/>
    <n v="1"/>
    <s v="Bachelors"/>
    <x v="4"/>
    <s v="No"/>
    <n v="3"/>
    <x v="0"/>
    <x v="1"/>
    <n v="48"/>
    <x v="0"/>
    <x v="0"/>
  </r>
  <r>
    <n v="17845"/>
    <x v="1"/>
    <x v="0"/>
    <n v="20000"/>
    <x v="0"/>
    <n v="0"/>
    <s v="Partial High School"/>
    <x v="3"/>
    <s v="No"/>
    <n v="2"/>
    <x v="3"/>
    <x v="0"/>
    <n v="32"/>
    <x v="2"/>
    <x v="0"/>
  </r>
  <r>
    <n v="25058"/>
    <x v="0"/>
    <x v="1"/>
    <n v="100000"/>
    <x v="2"/>
    <n v="1"/>
    <s v="Bachelors"/>
    <x v="4"/>
    <s v="Yes"/>
    <n v="3"/>
    <x v="1"/>
    <x v="1"/>
    <n v="47"/>
    <x v="0"/>
    <x v="0"/>
  </r>
  <r>
    <n v="23426"/>
    <x v="1"/>
    <x v="1"/>
    <n v="80000"/>
    <x v="1"/>
    <n v="5"/>
    <s v="Graduate Degree"/>
    <x v="4"/>
    <s v="Yes"/>
    <n v="3"/>
    <x v="0"/>
    <x v="1"/>
    <n v="40"/>
    <x v="0"/>
    <x v="0"/>
  </r>
  <r>
    <n v="14798"/>
    <x v="1"/>
    <x v="0"/>
    <n v="10000"/>
    <x v="0"/>
    <n v="4"/>
    <s v="Partial High School"/>
    <x v="3"/>
    <s v="Yes"/>
    <n v="2"/>
    <x v="0"/>
    <x v="0"/>
    <n v="41"/>
    <x v="0"/>
    <x v="1"/>
  </r>
  <r>
    <n v="12664"/>
    <x v="0"/>
    <x v="0"/>
    <n v="130000"/>
    <x v="2"/>
    <n v="5"/>
    <s v="Partial College"/>
    <x v="2"/>
    <s v="Yes"/>
    <n v="4"/>
    <x v="0"/>
    <x v="0"/>
    <n v="59"/>
    <x v="1"/>
    <x v="0"/>
  </r>
  <r>
    <n v="23979"/>
    <x v="1"/>
    <x v="1"/>
    <n v="10000"/>
    <x v="0"/>
    <n v="2"/>
    <s v="Partial College"/>
    <x v="3"/>
    <s v="No"/>
    <n v="0"/>
    <x v="0"/>
    <x v="0"/>
    <n v="50"/>
    <x v="0"/>
    <x v="0"/>
  </r>
  <r>
    <n v="25605"/>
    <x v="1"/>
    <x v="0"/>
    <n v="20000"/>
    <x v="0"/>
    <n v="2"/>
    <s v="Partial College"/>
    <x v="3"/>
    <s v="No"/>
    <n v="1"/>
    <x v="0"/>
    <x v="0"/>
    <n v="54"/>
    <x v="0"/>
    <x v="1"/>
  </r>
  <r>
    <n v="20797"/>
    <x v="0"/>
    <x v="0"/>
    <n v="10000"/>
    <x v="0"/>
    <n v="1"/>
    <s v="Bachelors"/>
    <x v="3"/>
    <s v="Yes"/>
    <n v="0"/>
    <x v="0"/>
    <x v="0"/>
    <n v="48"/>
    <x v="0"/>
    <x v="0"/>
  </r>
  <r>
    <n v="21980"/>
    <x v="1"/>
    <x v="0"/>
    <n v="60000"/>
    <x v="1"/>
    <n v="1"/>
    <s v="Bachelors"/>
    <x v="2"/>
    <s v="Yes"/>
    <n v="1"/>
    <x v="2"/>
    <x v="1"/>
    <n v="44"/>
    <x v="0"/>
    <x v="1"/>
  </r>
  <r>
    <n v="25460"/>
    <x v="0"/>
    <x v="0"/>
    <n v="20000"/>
    <x v="0"/>
    <n v="2"/>
    <s v="High School"/>
    <x v="3"/>
    <s v="Yes"/>
    <n v="0"/>
    <x v="0"/>
    <x v="0"/>
    <n v="40"/>
    <x v="0"/>
    <x v="1"/>
  </r>
  <r>
    <n v="29181"/>
    <x v="1"/>
    <x v="0"/>
    <n v="60000"/>
    <x v="1"/>
    <n v="2"/>
    <s v="Bachelors"/>
    <x v="2"/>
    <s v="No"/>
    <n v="1"/>
    <x v="0"/>
    <x v="1"/>
    <n v="38"/>
    <x v="0"/>
    <x v="1"/>
  </r>
  <r>
    <n v="24279"/>
    <x v="1"/>
    <x v="1"/>
    <n v="40000"/>
    <x v="0"/>
    <n v="2"/>
    <s v="Partial College"/>
    <x v="0"/>
    <s v="No"/>
    <n v="2"/>
    <x v="3"/>
    <x v="1"/>
    <n v="52"/>
    <x v="0"/>
    <x v="0"/>
  </r>
  <r>
    <n v="22402"/>
    <x v="0"/>
    <x v="1"/>
    <n v="10000"/>
    <x v="0"/>
    <n v="0"/>
    <s v="Partial College"/>
    <x v="3"/>
    <s v="Yes"/>
    <n v="1"/>
    <x v="1"/>
    <x v="1"/>
    <n v="25"/>
    <x v="2"/>
    <x v="1"/>
  </r>
  <r>
    <n v="15465"/>
    <x v="0"/>
    <x v="0"/>
    <n v="10000"/>
    <x v="0"/>
    <n v="0"/>
    <s v="Partial College"/>
    <x v="3"/>
    <s v="No"/>
    <n v="1"/>
    <x v="0"/>
    <x v="1"/>
    <n v="25"/>
    <x v="2"/>
    <x v="0"/>
  </r>
  <r>
    <n v="26757"/>
    <x v="1"/>
    <x v="1"/>
    <n v="90000"/>
    <x v="1"/>
    <n v="1"/>
    <s v="Bachelors"/>
    <x v="2"/>
    <s v="Yes"/>
    <n v="1"/>
    <x v="1"/>
    <x v="1"/>
    <n v="47"/>
    <x v="0"/>
    <x v="1"/>
  </r>
  <r>
    <n v="14233"/>
    <x v="1"/>
    <x v="1"/>
    <n v="100000"/>
    <x v="2"/>
    <n v="0"/>
    <s v="High School"/>
    <x v="4"/>
    <s v="Yes"/>
    <n v="3"/>
    <x v="4"/>
    <x v="1"/>
    <n v="35"/>
    <x v="0"/>
    <x v="0"/>
  </r>
  <r>
    <n v="14058"/>
    <x v="1"/>
    <x v="1"/>
    <n v="70000"/>
    <x v="1"/>
    <n v="0"/>
    <s v="Bachelors"/>
    <x v="2"/>
    <s v="No"/>
    <n v="1"/>
    <x v="2"/>
    <x v="1"/>
    <n v="41"/>
    <x v="0"/>
    <x v="1"/>
  </r>
  <r>
    <n v="12273"/>
    <x v="0"/>
    <x v="1"/>
    <n v="30000"/>
    <x v="0"/>
    <n v="1"/>
    <s v="Bachelors"/>
    <x v="1"/>
    <s v="Yes"/>
    <n v="0"/>
    <x v="0"/>
    <x v="0"/>
    <n v="47"/>
    <x v="0"/>
    <x v="0"/>
  </r>
  <r>
    <n v="17203"/>
    <x v="0"/>
    <x v="0"/>
    <n v="130000"/>
    <x v="2"/>
    <n v="4"/>
    <s v="Partial College"/>
    <x v="2"/>
    <s v="Yes"/>
    <n v="4"/>
    <x v="2"/>
    <x v="0"/>
    <n v="61"/>
    <x v="1"/>
    <x v="1"/>
  </r>
  <r>
    <n v="18144"/>
    <x v="0"/>
    <x v="0"/>
    <n v="80000"/>
    <x v="1"/>
    <n v="5"/>
    <s v="Bachelors"/>
    <x v="4"/>
    <s v="Yes"/>
    <n v="2"/>
    <x v="1"/>
    <x v="0"/>
    <n v="61"/>
    <x v="1"/>
    <x v="0"/>
  </r>
  <r>
    <n v="23963"/>
    <x v="0"/>
    <x v="1"/>
    <n v="10000"/>
    <x v="0"/>
    <n v="0"/>
    <s v="Partial High School"/>
    <x v="3"/>
    <s v="No"/>
    <n v="2"/>
    <x v="0"/>
    <x v="0"/>
    <n v="33"/>
    <x v="2"/>
    <x v="0"/>
  </r>
  <r>
    <n v="17907"/>
    <x v="0"/>
    <x v="0"/>
    <n v="10000"/>
    <x v="0"/>
    <n v="0"/>
    <s v="Partial College"/>
    <x v="3"/>
    <s v="Yes"/>
    <n v="1"/>
    <x v="1"/>
    <x v="1"/>
    <n v="27"/>
    <x v="2"/>
    <x v="0"/>
  </r>
  <r>
    <n v="19442"/>
    <x v="1"/>
    <x v="1"/>
    <n v="50000"/>
    <x v="0"/>
    <n v="0"/>
    <s v="Graduate Degree"/>
    <x v="0"/>
    <s v="Yes"/>
    <n v="0"/>
    <x v="0"/>
    <x v="0"/>
    <n v="37"/>
    <x v="0"/>
    <x v="1"/>
  </r>
  <r>
    <n v="17504"/>
    <x v="1"/>
    <x v="0"/>
    <n v="80000"/>
    <x v="1"/>
    <n v="2"/>
    <s v="Partial College"/>
    <x v="0"/>
    <s v="Yes"/>
    <n v="2"/>
    <x v="2"/>
    <x v="1"/>
    <n v="52"/>
    <x v="0"/>
    <x v="1"/>
  </r>
  <r>
    <n v="12253"/>
    <x v="1"/>
    <x v="0"/>
    <n v="20000"/>
    <x v="0"/>
    <n v="0"/>
    <s v="Partial College"/>
    <x v="3"/>
    <s v="Yes"/>
    <n v="0"/>
    <x v="0"/>
    <x v="1"/>
    <n v="29"/>
    <x v="2"/>
    <x v="1"/>
  </r>
  <r>
    <n v="27304"/>
    <x v="1"/>
    <x v="0"/>
    <n v="110000"/>
    <x v="2"/>
    <n v="2"/>
    <s v="Partial College"/>
    <x v="2"/>
    <s v="No"/>
    <n v="3"/>
    <x v="2"/>
    <x v="0"/>
    <n v="48"/>
    <x v="0"/>
    <x v="0"/>
  </r>
  <r>
    <n v="14191"/>
    <x v="0"/>
    <x v="1"/>
    <n v="160000"/>
    <x v="2"/>
    <n v="4"/>
    <s v="Partial College"/>
    <x v="2"/>
    <s v="No"/>
    <n v="2"/>
    <x v="4"/>
    <x v="0"/>
    <n v="55"/>
    <x v="1"/>
    <x v="1"/>
  </r>
  <r>
    <n v="12212"/>
    <x v="0"/>
    <x v="0"/>
    <n v="10000"/>
    <x v="0"/>
    <n v="0"/>
    <s v="Graduate Degree"/>
    <x v="3"/>
    <s v="Yes"/>
    <n v="0"/>
    <x v="0"/>
    <x v="0"/>
    <n v="37"/>
    <x v="0"/>
    <x v="1"/>
  </r>
  <r>
    <n v="25529"/>
    <x v="1"/>
    <x v="1"/>
    <n v="10000"/>
    <x v="0"/>
    <n v="1"/>
    <s v="Graduate Degree"/>
    <x v="3"/>
    <s v="Yes"/>
    <n v="0"/>
    <x v="0"/>
    <x v="0"/>
    <n v="44"/>
    <x v="0"/>
    <x v="0"/>
  </r>
  <r>
    <n v="22170"/>
    <x v="0"/>
    <x v="0"/>
    <n v="30000"/>
    <x v="0"/>
    <n v="3"/>
    <s v="Partial College"/>
    <x v="1"/>
    <s v="No"/>
    <n v="2"/>
    <x v="3"/>
    <x v="1"/>
    <n v="55"/>
    <x v="1"/>
    <x v="1"/>
  </r>
  <r>
    <n v="19445"/>
    <x v="0"/>
    <x v="0"/>
    <n v="10000"/>
    <x v="0"/>
    <n v="2"/>
    <s v="High School"/>
    <x v="3"/>
    <s v="No"/>
    <n v="1"/>
    <x v="0"/>
    <x v="0"/>
    <n v="38"/>
    <x v="0"/>
    <x v="0"/>
  </r>
  <r>
    <n v="15265"/>
    <x v="1"/>
    <x v="1"/>
    <n v="40000"/>
    <x v="0"/>
    <n v="2"/>
    <s v="Bachelors"/>
    <x v="4"/>
    <s v="Yes"/>
    <n v="2"/>
    <x v="2"/>
    <x v="1"/>
    <n v="66"/>
    <x v="1"/>
    <x v="1"/>
  </r>
  <r>
    <n v="28918"/>
    <x v="0"/>
    <x v="0"/>
    <n v="130000"/>
    <x v="2"/>
    <n v="4"/>
    <s v="High School"/>
    <x v="4"/>
    <s v="No"/>
    <n v="4"/>
    <x v="4"/>
    <x v="0"/>
    <n v="58"/>
    <x v="1"/>
    <x v="0"/>
  </r>
  <r>
    <n v="15799"/>
    <x v="0"/>
    <x v="0"/>
    <n v="90000"/>
    <x v="1"/>
    <n v="1"/>
    <s v="Bachelors"/>
    <x v="2"/>
    <s v="Yes"/>
    <n v="1"/>
    <x v="1"/>
    <x v="1"/>
    <n v="47"/>
    <x v="0"/>
    <x v="1"/>
  </r>
  <r>
    <n v="11047"/>
    <x v="0"/>
    <x v="0"/>
    <n v="30000"/>
    <x v="0"/>
    <n v="3"/>
    <s v="High School"/>
    <x v="0"/>
    <s v="No"/>
    <n v="2"/>
    <x v="3"/>
    <x v="1"/>
    <n v="56"/>
    <x v="1"/>
    <x v="1"/>
  </r>
  <r>
    <n v="18151"/>
    <x v="1"/>
    <x v="1"/>
    <n v="80000"/>
    <x v="1"/>
    <n v="5"/>
    <s v="Partial College"/>
    <x v="2"/>
    <s v="No"/>
    <n v="2"/>
    <x v="4"/>
    <x v="0"/>
    <n v="59"/>
    <x v="1"/>
    <x v="0"/>
  </r>
  <r>
    <n v="20606"/>
    <x v="0"/>
    <x v="0"/>
    <n v="70000"/>
    <x v="1"/>
    <n v="0"/>
    <s v="Bachelors"/>
    <x v="2"/>
    <s v="Yes"/>
    <n v="4"/>
    <x v="4"/>
    <x v="1"/>
    <n v="32"/>
    <x v="2"/>
    <x v="1"/>
  </r>
  <r>
    <n v="19482"/>
    <x v="0"/>
    <x v="1"/>
    <n v="30000"/>
    <x v="0"/>
    <n v="1"/>
    <s v="Partial College"/>
    <x v="1"/>
    <s v="Yes"/>
    <n v="1"/>
    <x v="0"/>
    <x v="0"/>
    <n v="44"/>
    <x v="0"/>
    <x v="1"/>
  </r>
  <r>
    <n v="16489"/>
    <x v="0"/>
    <x v="1"/>
    <n v="30000"/>
    <x v="0"/>
    <n v="3"/>
    <s v="High School"/>
    <x v="0"/>
    <s v="Yes"/>
    <n v="2"/>
    <x v="2"/>
    <x v="1"/>
    <n v="55"/>
    <x v="1"/>
    <x v="0"/>
  </r>
  <r>
    <n v="26944"/>
    <x v="1"/>
    <x v="1"/>
    <n v="90000"/>
    <x v="1"/>
    <n v="2"/>
    <s v="High School"/>
    <x v="3"/>
    <s v="Yes"/>
    <n v="0"/>
    <x v="0"/>
    <x v="0"/>
    <n v="36"/>
    <x v="0"/>
    <x v="1"/>
  </r>
  <r>
    <n v="15682"/>
    <x v="1"/>
    <x v="0"/>
    <n v="80000"/>
    <x v="1"/>
    <n v="5"/>
    <s v="Bachelors"/>
    <x v="4"/>
    <s v="Yes"/>
    <n v="2"/>
    <x v="4"/>
    <x v="0"/>
    <n v="62"/>
    <x v="1"/>
    <x v="0"/>
  </r>
  <r>
    <n v="26032"/>
    <x v="0"/>
    <x v="0"/>
    <n v="70000"/>
    <x v="1"/>
    <n v="5"/>
    <s v="Bachelors"/>
    <x v="2"/>
    <s v="Yes"/>
    <n v="4"/>
    <x v="4"/>
    <x v="1"/>
    <n v="41"/>
    <x v="0"/>
    <x v="0"/>
  </r>
  <r>
    <n v="17843"/>
    <x v="1"/>
    <x v="0"/>
    <n v="10000"/>
    <x v="0"/>
    <n v="0"/>
    <s v="Partial High School"/>
    <x v="3"/>
    <s v="No"/>
    <n v="2"/>
    <x v="0"/>
    <x v="0"/>
    <n v="32"/>
    <x v="2"/>
    <x v="0"/>
  </r>
  <r>
    <n v="25559"/>
    <x v="1"/>
    <x v="1"/>
    <n v="20000"/>
    <x v="0"/>
    <n v="0"/>
    <s v="Bachelors"/>
    <x v="1"/>
    <s v="Yes"/>
    <n v="0"/>
    <x v="0"/>
    <x v="1"/>
    <n v="25"/>
    <x v="2"/>
    <x v="1"/>
  </r>
  <r>
    <n v="16209"/>
    <x v="1"/>
    <x v="0"/>
    <n v="50000"/>
    <x v="0"/>
    <n v="0"/>
    <s v="Graduate Degree"/>
    <x v="0"/>
    <s v="Yes"/>
    <n v="0"/>
    <x v="3"/>
    <x v="0"/>
    <n v="36"/>
    <x v="0"/>
    <x v="0"/>
  </r>
  <r>
    <n v="11147"/>
    <x v="0"/>
    <x v="1"/>
    <n v="60000"/>
    <x v="1"/>
    <n v="2"/>
    <s v="Graduate Degree"/>
    <x v="4"/>
    <s v="Yes"/>
    <n v="1"/>
    <x v="0"/>
    <x v="1"/>
    <n v="67"/>
    <x v="1"/>
    <x v="1"/>
  </r>
  <r>
    <n v="15214"/>
    <x v="1"/>
    <x v="0"/>
    <n v="100000"/>
    <x v="2"/>
    <n v="0"/>
    <s v="Graduate Degree"/>
    <x v="4"/>
    <s v="No"/>
    <n v="1"/>
    <x v="3"/>
    <x v="1"/>
    <n v="39"/>
    <x v="0"/>
    <x v="1"/>
  </r>
  <r>
    <n v="11453"/>
    <x v="1"/>
    <x v="1"/>
    <n v="80000"/>
    <x v="1"/>
    <n v="0"/>
    <s v="Bachelors"/>
    <x v="2"/>
    <s v="No"/>
    <n v="3"/>
    <x v="4"/>
    <x v="1"/>
    <n v="33"/>
    <x v="2"/>
    <x v="1"/>
  </r>
  <r>
    <n v="24584"/>
    <x v="1"/>
    <x v="1"/>
    <n v="60000"/>
    <x v="1"/>
    <n v="0"/>
    <s v="Bachelors"/>
    <x v="2"/>
    <s v="No"/>
    <n v="3"/>
    <x v="1"/>
    <x v="1"/>
    <n v="31"/>
    <x v="2"/>
    <x v="0"/>
  </r>
  <r>
    <n v="12585"/>
    <x v="0"/>
    <x v="1"/>
    <n v="10000"/>
    <x v="0"/>
    <n v="1"/>
    <s v="High School"/>
    <x v="3"/>
    <s v="Yes"/>
    <n v="0"/>
    <x v="1"/>
    <x v="1"/>
    <n v="27"/>
    <x v="2"/>
    <x v="1"/>
  </r>
  <r>
    <n v="18626"/>
    <x v="1"/>
    <x v="1"/>
    <n v="40000"/>
    <x v="0"/>
    <n v="2"/>
    <s v="Partial College"/>
    <x v="1"/>
    <s v="Yes"/>
    <n v="0"/>
    <x v="3"/>
    <x v="0"/>
    <n v="33"/>
    <x v="2"/>
    <x v="1"/>
  </r>
  <r>
    <n v="29298"/>
    <x v="1"/>
    <x v="0"/>
    <n v="60000"/>
    <x v="1"/>
    <n v="1"/>
    <s v="Partial College"/>
    <x v="0"/>
    <s v="Yes"/>
    <n v="1"/>
    <x v="2"/>
    <x v="1"/>
    <n v="46"/>
    <x v="0"/>
    <x v="1"/>
  </r>
  <r>
    <n v="24842"/>
    <x v="1"/>
    <x v="0"/>
    <n v="90000"/>
    <x v="1"/>
    <n v="3"/>
    <s v="High School"/>
    <x v="2"/>
    <s v="No"/>
    <n v="1"/>
    <x v="1"/>
    <x v="0"/>
    <n v="51"/>
    <x v="0"/>
    <x v="0"/>
  </r>
  <r>
    <n v="15657"/>
    <x v="0"/>
    <x v="1"/>
    <n v="30000"/>
    <x v="0"/>
    <n v="3"/>
    <s v="Graduate Degree"/>
    <x v="1"/>
    <s v="Yes"/>
    <n v="0"/>
    <x v="0"/>
    <x v="0"/>
    <n v="46"/>
    <x v="0"/>
    <x v="1"/>
  </r>
  <r>
    <n v="11415"/>
    <x v="1"/>
    <x v="1"/>
    <n v="90000"/>
    <x v="1"/>
    <n v="5"/>
    <s v="Partial College"/>
    <x v="2"/>
    <s v="No"/>
    <n v="2"/>
    <x v="4"/>
    <x v="0"/>
    <n v="62"/>
    <x v="1"/>
    <x v="0"/>
  </r>
  <r>
    <n v="28729"/>
    <x v="1"/>
    <x v="0"/>
    <n v="20000"/>
    <x v="0"/>
    <n v="0"/>
    <s v="Partial High School"/>
    <x v="3"/>
    <s v="Yes"/>
    <n v="2"/>
    <x v="3"/>
    <x v="0"/>
    <n v="26"/>
    <x v="2"/>
    <x v="1"/>
  </r>
  <r>
    <n v="22633"/>
    <x v="1"/>
    <x v="0"/>
    <n v="40000"/>
    <x v="0"/>
    <n v="0"/>
    <s v="Graduate Degree"/>
    <x v="1"/>
    <s v="Yes"/>
    <n v="0"/>
    <x v="0"/>
    <x v="0"/>
    <n v="37"/>
    <x v="0"/>
    <x v="1"/>
  </r>
  <r>
    <n v="25649"/>
    <x v="1"/>
    <x v="0"/>
    <n v="30000"/>
    <x v="0"/>
    <n v="3"/>
    <s v="Partial College"/>
    <x v="1"/>
    <s v="Yes"/>
    <n v="0"/>
    <x v="0"/>
    <x v="0"/>
    <n v="42"/>
    <x v="0"/>
    <x v="1"/>
  </r>
  <r>
    <n v="14669"/>
    <x v="0"/>
    <x v="0"/>
    <n v="80000"/>
    <x v="1"/>
    <n v="4"/>
    <s v="Graduate Degree"/>
    <x v="4"/>
    <s v="Yes"/>
    <n v="1"/>
    <x v="0"/>
    <x v="1"/>
    <n v="36"/>
    <x v="0"/>
    <x v="0"/>
  </r>
  <r>
    <n v="19299"/>
    <x v="0"/>
    <x v="0"/>
    <n v="50000"/>
    <x v="0"/>
    <n v="0"/>
    <s v="Graduate Degree"/>
    <x v="0"/>
    <s v="Yes"/>
    <n v="0"/>
    <x v="0"/>
    <x v="0"/>
    <n v="36"/>
    <x v="0"/>
    <x v="1"/>
  </r>
  <r>
    <n v="20946"/>
    <x v="1"/>
    <x v="0"/>
    <n v="30000"/>
    <x v="0"/>
    <n v="0"/>
    <s v="Partial College"/>
    <x v="1"/>
    <s v="No"/>
    <n v="1"/>
    <x v="1"/>
    <x v="0"/>
    <n v="30"/>
    <x v="2"/>
    <x v="0"/>
  </r>
  <r>
    <n v="11451"/>
    <x v="1"/>
    <x v="1"/>
    <n v="70000"/>
    <x v="1"/>
    <n v="0"/>
    <s v="Bachelors"/>
    <x v="2"/>
    <s v="No"/>
    <n v="4"/>
    <x v="4"/>
    <x v="1"/>
    <n v="31"/>
    <x v="2"/>
    <x v="1"/>
  </r>
  <r>
    <n v="25553"/>
    <x v="0"/>
    <x v="1"/>
    <n v="30000"/>
    <x v="0"/>
    <n v="1"/>
    <s v="Bachelors"/>
    <x v="1"/>
    <s v="Yes"/>
    <n v="0"/>
    <x v="0"/>
    <x v="0"/>
    <n v="65"/>
    <x v="1"/>
    <x v="1"/>
  </r>
  <r>
    <n v="27951"/>
    <x v="1"/>
    <x v="1"/>
    <n v="80000"/>
    <x v="1"/>
    <n v="4"/>
    <s v="Partial College"/>
    <x v="2"/>
    <s v="No"/>
    <n v="2"/>
    <x v="1"/>
    <x v="0"/>
    <n v="54"/>
    <x v="0"/>
    <x v="1"/>
  </r>
  <r>
    <n v="25026"/>
    <x v="0"/>
    <x v="1"/>
    <n v="20000"/>
    <x v="0"/>
    <n v="2"/>
    <s v="Partial High School"/>
    <x v="1"/>
    <s v="Yes"/>
    <n v="3"/>
    <x v="2"/>
    <x v="1"/>
    <n v="54"/>
    <x v="0"/>
    <x v="0"/>
  </r>
  <r>
    <n v="13673"/>
    <x v="1"/>
    <x v="0"/>
    <n v="20000"/>
    <x v="0"/>
    <n v="0"/>
    <s v="Partial High School"/>
    <x v="3"/>
    <s v="No"/>
    <n v="2"/>
    <x v="0"/>
    <x v="0"/>
    <n v="25"/>
    <x v="2"/>
    <x v="0"/>
  </r>
  <r>
    <n v="16043"/>
    <x v="1"/>
    <x v="1"/>
    <n v="10000"/>
    <x v="0"/>
    <n v="1"/>
    <s v="Bachelors"/>
    <x v="3"/>
    <s v="Yes"/>
    <n v="0"/>
    <x v="0"/>
    <x v="0"/>
    <n v="48"/>
    <x v="0"/>
    <x v="0"/>
  </r>
  <r>
    <n v="22399"/>
    <x v="1"/>
    <x v="1"/>
    <n v="10000"/>
    <x v="0"/>
    <n v="0"/>
    <s v="Partial College"/>
    <x v="3"/>
    <s v="Yes"/>
    <n v="1"/>
    <x v="3"/>
    <x v="1"/>
    <n v="26"/>
    <x v="2"/>
    <x v="1"/>
  </r>
  <r>
    <n v="27696"/>
    <x v="0"/>
    <x v="1"/>
    <n v="60000"/>
    <x v="1"/>
    <n v="1"/>
    <s v="Bachelors"/>
    <x v="2"/>
    <s v="Yes"/>
    <n v="1"/>
    <x v="2"/>
    <x v="1"/>
    <n v="43"/>
    <x v="0"/>
    <x v="1"/>
  </r>
  <r>
    <n v="25313"/>
    <x v="1"/>
    <x v="1"/>
    <n v="10000"/>
    <x v="0"/>
    <n v="0"/>
    <s v="Partial High School"/>
    <x v="3"/>
    <s v="No"/>
    <n v="2"/>
    <x v="3"/>
    <x v="0"/>
    <n v="35"/>
    <x v="0"/>
    <x v="0"/>
  </r>
  <r>
    <n v="13813"/>
    <x v="0"/>
    <x v="0"/>
    <n v="30000"/>
    <x v="0"/>
    <n v="3"/>
    <s v="Partial College"/>
    <x v="1"/>
    <s v="No"/>
    <n v="0"/>
    <x v="0"/>
    <x v="0"/>
    <n v="42"/>
    <x v="0"/>
    <x v="0"/>
  </r>
  <r>
    <n v="18711"/>
    <x v="1"/>
    <x v="0"/>
    <n v="70000"/>
    <x v="1"/>
    <n v="5"/>
    <s v="Bachelors"/>
    <x v="2"/>
    <s v="Yes"/>
    <n v="4"/>
    <x v="4"/>
    <x v="1"/>
    <n v="39"/>
    <x v="0"/>
    <x v="0"/>
  </r>
  <r>
    <n v="19650"/>
    <x v="0"/>
    <x v="0"/>
    <n v="30000"/>
    <x v="0"/>
    <n v="2"/>
    <s v="Partial College"/>
    <x v="1"/>
    <s v="No"/>
    <n v="2"/>
    <x v="0"/>
    <x v="1"/>
    <n v="67"/>
    <x v="1"/>
    <x v="0"/>
  </r>
  <r>
    <n v="14135"/>
    <x v="0"/>
    <x v="1"/>
    <n v="20000"/>
    <x v="0"/>
    <n v="1"/>
    <s v="Partial College"/>
    <x v="3"/>
    <s v="Yes"/>
    <n v="0"/>
    <x v="3"/>
    <x v="0"/>
    <n v="35"/>
    <x v="0"/>
    <x v="0"/>
  </r>
  <r>
    <n v="12833"/>
    <x v="1"/>
    <x v="0"/>
    <n v="20000"/>
    <x v="0"/>
    <n v="3"/>
    <s v="High School"/>
    <x v="3"/>
    <s v="Yes"/>
    <n v="1"/>
    <x v="0"/>
    <x v="0"/>
    <n v="42"/>
    <x v="0"/>
    <x v="1"/>
  </r>
  <r>
    <n v="26849"/>
    <x v="0"/>
    <x v="1"/>
    <n v="10000"/>
    <x v="0"/>
    <n v="3"/>
    <s v="Partial High School"/>
    <x v="3"/>
    <s v="Yes"/>
    <n v="2"/>
    <x v="0"/>
    <x v="0"/>
    <n v="43"/>
    <x v="0"/>
    <x v="0"/>
  </r>
  <r>
    <n v="20962"/>
    <x v="0"/>
    <x v="0"/>
    <n v="20000"/>
    <x v="0"/>
    <n v="1"/>
    <s v="Graduate Degree"/>
    <x v="1"/>
    <s v="Yes"/>
    <n v="0"/>
    <x v="0"/>
    <x v="0"/>
    <n v="45"/>
    <x v="0"/>
    <x v="0"/>
  </r>
  <r>
    <n v="28915"/>
    <x v="1"/>
    <x v="1"/>
    <n v="80000"/>
    <x v="1"/>
    <n v="5"/>
    <s v="High School"/>
    <x v="4"/>
    <s v="Yes"/>
    <n v="3"/>
    <x v="4"/>
    <x v="0"/>
    <n v="57"/>
    <x v="1"/>
    <x v="0"/>
  </r>
  <r>
    <n v="22830"/>
    <x v="0"/>
    <x v="1"/>
    <n v="120000"/>
    <x v="2"/>
    <n v="4"/>
    <s v="Partial College"/>
    <x v="4"/>
    <s v="Yes"/>
    <n v="3"/>
    <x v="4"/>
    <x v="0"/>
    <n v="56"/>
    <x v="1"/>
    <x v="0"/>
  </r>
  <r>
    <n v="14777"/>
    <x v="0"/>
    <x v="0"/>
    <n v="40000"/>
    <x v="0"/>
    <n v="0"/>
    <s v="Bachelors"/>
    <x v="1"/>
    <s v="Yes"/>
    <n v="0"/>
    <x v="0"/>
    <x v="0"/>
    <n v="38"/>
    <x v="0"/>
    <x v="1"/>
  </r>
  <r>
    <n v="12591"/>
    <x v="0"/>
    <x v="0"/>
    <n v="30000"/>
    <x v="0"/>
    <n v="4"/>
    <s v="Graduate Degree"/>
    <x v="1"/>
    <s v="Yes"/>
    <n v="0"/>
    <x v="0"/>
    <x v="0"/>
    <n v="45"/>
    <x v="0"/>
    <x v="0"/>
  </r>
  <r>
    <n v="24174"/>
    <x v="0"/>
    <x v="1"/>
    <n v="20000"/>
    <x v="0"/>
    <n v="0"/>
    <s v="Bachelors"/>
    <x v="1"/>
    <s v="Yes"/>
    <n v="0"/>
    <x v="0"/>
    <x v="1"/>
    <n v="27"/>
    <x v="2"/>
    <x v="1"/>
  </r>
  <r>
    <n v="24611"/>
    <x v="1"/>
    <x v="1"/>
    <n v="90000"/>
    <x v="1"/>
    <n v="0"/>
    <s v="Bachelors"/>
    <x v="2"/>
    <s v="No"/>
    <n v="4"/>
    <x v="4"/>
    <x v="1"/>
    <n v="35"/>
    <x v="0"/>
    <x v="1"/>
  </r>
  <r>
    <n v="11340"/>
    <x v="0"/>
    <x v="0"/>
    <n v="10000"/>
    <x v="0"/>
    <n v="1"/>
    <s v="Graduate Degree"/>
    <x v="1"/>
    <s v="Yes"/>
    <n v="0"/>
    <x v="0"/>
    <x v="0"/>
    <n v="70"/>
    <x v="1"/>
    <x v="1"/>
  </r>
  <r>
    <n v="25693"/>
    <x v="1"/>
    <x v="0"/>
    <n v="30000"/>
    <x v="0"/>
    <n v="5"/>
    <s v="Graduate Degree"/>
    <x v="1"/>
    <s v="Yes"/>
    <n v="0"/>
    <x v="0"/>
    <x v="0"/>
    <n v="44"/>
    <x v="0"/>
    <x v="1"/>
  </r>
  <r>
    <n v="25555"/>
    <x v="0"/>
    <x v="0"/>
    <n v="10000"/>
    <x v="0"/>
    <n v="0"/>
    <s v="Partial College"/>
    <x v="3"/>
    <s v="No"/>
    <n v="1"/>
    <x v="0"/>
    <x v="1"/>
    <n v="26"/>
    <x v="2"/>
    <x v="1"/>
  </r>
  <r>
    <n v="22006"/>
    <x v="0"/>
    <x v="1"/>
    <n v="70000"/>
    <x v="1"/>
    <n v="5"/>
    <s v="Partial College"/>
    <x v="0"/>
    <s v="Yes"/>
    <n v="3"/>
    <x v="2"/>
    <x v="1"/>
    <n v="46"/>
    <x v="0"/>
    <x v="0"/>
  </r>
  <r>
    <n v="20060"/>
    <x v="1"/>
    <x v="0"/>
    <n v="30000"/>
    <x v="0"/>
    <n v="0"/>
    <s v="High School"/>
    <x v="3"/>
    <s v="No"/>
    <n v="1"/>
    <x v="1"/>
    <x v="0"/>
    <n v="34"/>
    <x v="2"/>
    <x v="1"/>
  </r>
  <r>
    <n v="17702"/>
    <x v="0"/>
    <x v="1"/>
    <n v="10000"/>
    <x v="0"/>
    <n v="1"/>
    <s v="Graduate Degree"/>
    <x v="3"/>
    <s v="Yes"/>
    <n v="0"/>
    <x v="0"/>
    <x v="0"/>
    <n v="37"/>
    <x v="0"/>
    <x v="0"/>
  </r>
  <r>
    <n v="12503"/>
    <x v="1"/>
    <x v="0"/>
    <n v="30000"/>
    <x v="0"/>
    <n v="3"/>
    <s v="Partial College"/>
    <x v="1"/>
    <s v="Yes"/>
    <n v="2"/>
    <x v="0"/>
    <x v="0"/>
    <n v="27"/>
    <x v="2"/>
    <x v="0"/>
  </r>
  <r>
    <n v="23908"/>
    <x v="1"/>
    <x v="1"/>
    <n v="30000"/>
    <x v="0"/>
    <n v="1"/>
    <s v="Bachelors"/>
    <x v="1"/>
    <s v="No"/>
    <n v="1"/>
    <x v="0"/>
    <x v="0"/>
    <n v="39"/>
    <x v="0"/>
    <x v="1"/>
  </r>
  <r>
    <n v="22527"/>
    <x v="1"/>
    <x v="0"/>
    <n v="20000"/>
    <x v="0"/>
    <n v="0"/>
    <s v="High School"/>
    <x v="3"/>
    <s v="No"/>
    <n v="1"/>
    <x v="1"/>
    <x v="0"/>
    <n v="29"/>
    <x v="2"/>
    <x v="0"/>
  </r>
  <r>
    <n v="19057"/>
    <x v="0"/>
    <x v="0"/>
    <n v="120000"/>
    <x v="2"/>
    <n v="3"/>
    <s v="Bachelors"/>
    <x v="4"/>
    <s v="No"/>
    <n v="2"/>
    <x v="4"/>
    <x v="0"/>
    <n v="52"/>
    <x v="0"/>
    <x v="1"/>
  </r>
  <r>
    <n v="18494"/>
    <x v="0"/>
    <x v="1"/>
    <n v="110000"/>
    <x v="2"/>
    <n v="5"/>
    <s v="Bachelors"/>
    <x v="4"/>
    <s v="Yes"/>
    <n v="4"/>
    <x v="1"/>
    <x v="1"/>
    <n v="48"/>
    <x v="0"/>
    <x v="1"/>
  </r>
  <r>
    <n v="11249"/>
    <x v="0"/>
    <x v="0"/>
    <n v="130000"/>
    <x v="2"/>
    <n v="3"/>
    <s v="Partial College"/>
    <x v="2"/>
    <s v="Yes"/>
    <n v="3"/>
    <x v="0"/>
    <x v="0"/>
    <n v="51"/>
    <x v="0"/>
    <x v="1"/>
  </r>
  <r>
    <n v="21568"/>
    <x v="0"/>
    <x v="0"/>
    <n v="100000"/>
    <x v="2"/>
    <n v="0"/>
    <s v="High School"/>
    <x v="4"/>
    <s v="Yes"/>
    <n v="4"/>
    <x v="4"/>
    <x v="1"/>
    <n v="34"/>
    <x v="2"/>
    <x v="1"/>
  </r>
  <r>
    <n v="13981"/>
    <x v="0"/>
    <x v="0"/>
    <n v="10000"/>
    <x v="0"/>
    <n v="5"/>
    <s v="High School"/>
    <x v="0"/>
    <s v="No"/>
    <n v="3"/>
    <x v="3"/>
    <x v="1"/>
    <n v="62"/>
    <x v="1"/>
    <x v="0"/>
  </r>
  <r>
    <n v="23432"/>
    <x v="1"/>
    <x v="1"/>
    <n v="70000"/>
    <x v="1"/>
    <n v="0"/>
    <s v="Bachelors"/>
    <x v="2"/>
    <s v="Yes"/>
    <n v="1"/>
    <x v="2"/>
    <x v="1"/>
    <n v="37"/>
    <x v="0"/>
    <x v="1"/>
  </r>
  <r>
    <n v="22931"/>
    <x v="0"/>
    <x v="1"/>
    <n v="100000"/>
    <x v="2"/>
    <n v="5"/>
    <s v="Graduate Degree"/>
    <x v="4"/>
    <s v="No"/>
    <n v="1"/>
    <x v="3"/>
    <x v="1"/>
    <n v="78"/>
    <x v="1"/>
    <x v="1"/>
  </r>
  <r>
    <n v="18172"/>
    <x v="0"/>
    <x v="1"/>
    <n v="130000"/>
    <x v="2"/>
    <n v="4"/>
    <s v="High School"/>
    <x v="2"/>
    <s v="Yes"/>
    <n v="3"/>
    <x v="0"/>
    <x v="0"/>
    <n v="55"/>
    <x v="1"/>
    <x v="0"/>
  </r>
  <r>
    <n v="12666"/>
    <x v="1"/>
    <x v="1"/>
    <n v="60000"/>
    <x v="1"/>
    <n v="0"/>
    <s v="Bachelors"/>
    <x v="2"/>
    <s v="No"/>
    <n v="4"/>
    <x v="1"/>
    <x v="1"/>
    <n v="31"/>
    <x v="2"/>
    <x v="0"/>
  </r>
  <r>
    <n v="20598"/>
    <x v="0"/>
    <x v="1"/>
    <n v="100000"/>
    <x v="2"/>
    <n v="3"/>
    <s v="Partial High School"/>
    <x v="2"/>
    <s v="Yes"/>
    <n v="0"/>
    <x v="4"/>
    <x v="0"/>
    <n v="59"/>
    <x v="1"/>
    <x v="1"/>
  </r>
  <r>
    <n v="21375"/>
    <x v="1"/>
    <x v="1"/>
    <n v="20000"/>
    <x v="0"/>
    <n v="2"/>
    <s v="Partial High School"/>
    <x v="1"/>
    <s v="Yes"/>
    <n v="2"/>
    <x v="2"/>
    <x v="1"/>
    <n v="57"/>
    <x v="1"/>
    <x v="0"/>
  </r>
  <r>
    <n v="20839"/>
    <x v="1"/>
    <x v="0"/>
    <n v="30000"/>
    <x v="0"/>
    <n v="3"/>
    <s v="Graduate Degree"/>
    <x v="1"/>
    <s v="Yes"/>
    <n v="0"/>
    <x v="0"/>
    <x v="0"/>
    <n v="47"/>
    <x v="0"/>
    <x v="1"/>
  </r>
  <r>
    <n v="21738"/>
    <x v="0"/>
    <x v="1"/>
    <n v="20000"/>
    <x v="0"/>
    <n v="1"/>
    <s v="Graduate Degree"/>
    <x v="1"/>
    <s v="Yes"/>
    <n v="0"/>
    <x v="0"/>
    <x v="0"/>
    <n v="43"/>
    <x v="0"/>
    <x v="0"/>
  </r>
  <r>
    <n v="14164"/>
    <x v="1"/>
    <x v="0"/>
    <n v="50000"/>
    <x v="0"/>
    <n v="0"/>
    <s v="Graduate Degree"/>
    <x v="0"/>
    <s v="Yes"/>
    <n v="0"/>
    <x v="0"/>
    <x v="0"/>
    <n v="36"/>
    <x v="0"/>
    <x v="1"/>
  </r>
  <r>
    <n v="14193"/>
    <x v="1"/>
    <x v="0"/>
    <n v="100000"/>
    <x v="2"/>
    <n v="3"/>
    <s v="Partial College"/>
    <x v="4"/>
    <s v="Yes"/>
    <n v="4"/>
    <x v="4"/>
    <x v="0"/>
    <n v="56"/>
    <x v="1"/>
    <x v="0"/>
  </r>
  <r>
    <n v="12705"/>
    <x v="0"/>
    <x v="1"/>
    <n v="150000"/>
    <x v="2"/>
    <n v="0"/>
    <s v="Bachelors"/>
    <x v="4"/>
    <s v="Yes"/>
    <n v="4"/>
    <x v="0"/>
    <x v="1"/>
    <n v="37"/>
    <x v="0"/>
    <x v="1"/>
  </r>
  <r>
    <n v="22672"/>
    <x v="1"/>
    <x v="0"/>
    <n v="30000"/>
    <x v="0"/>
    <n v="2"/>
    <s v="Partial College"/>
    <x v="1"/>
    <s v="Yes"/>
    <n v="0"/>
    <x v="0"/>
    <x v="0"/>
    <n v="43"/>
    <x v="0"/>
    <x v="0"/>
  </r>
  <r>
    <n v="26219"/>
    <x v="0"/>
    <x v="0"/>
    <n v="40000"/>
    <x v="0"/>
    <n v="1"/>
    <s v="Bachelors"/>
    <x v="0"/>
    <s v="Yes"/>
    <n v="1"/>
    <x v="3"/>
    <x v="0"/>
    <n v="33"/>
    <x v="2"/>
    <x v="1"/>
  </r>
  <r>
    <n v="28468"/>
    <x v="0"/>
    <x v="0"/>
    <n v="10000"/>
    <x v="0"/>
    <n v="2"/>
    <s v="Partial College"/>
    <x v="3"/>
    <s v="Yes"/>
    <n v="0"/>
    <x v="3"/>
    <x v="0"/>
    <n v="51"/>
    <x v="0"/>
    <x v="0"/>
  </r>
  <r>
    <n v="23419"/>
    <x v="1"/>
    <x v="0"/>
    <n v="70000"/>
    <x v="1"/>
    <n v="5"/>
    <s v="Bachelors"/>
    <x v="2"/>
    <s v="Yes"/>
    <n v="3"/>
    <x v="4"/>
    <x v="1"/>
    <n v="39"/>
    <x v="0"/>
    <x v="0"/>
  </r>
  <r>
    <n v="17964"/>
    <x v="0"/>
    <x v="1"/>
    <n v="40000"/>
    <x v="0"/>
    <n v="0"/>
    <s v="Graduate Degree"/>
    <x v="1"/>
    <s v="Yes"/>
    <n v="0"/>
    <x v="0"/>
    <x v="0"/>
    <n v="37"/>
    <x v="0"/>
    <x v="1"/>
  </r>
  <r>
    <n v="20919"/>
    <x v="1"/>
    <x v="0"/>
    <n v="30000"/>
    <x v="0"/>
    <n v="2"/>
    <s v="Partial College"/>
    <x v="1"/>
    <s v="Yes"/>
    <n v="2"/>
    <x v="0"/>
    <x v="0"/>
    <n v="42"/>
    <x v="0"/>
    <x v="0"/>
  </r>
  <r>
    <n v="20927"/>
    <x v="1"/>
    <x v="0"/>
    <n v="20000"/>
    <x v="0"/>
    <n v="5"/>
    <s v="High School"/>
    <x v="3"/>
    <s v="Yes"/>
    <n v="2"/>
    <x v="0"/>
    <x v="0"/>
    <n v="27"/>
    <x v="2"/>
    <x v="0"/>
  </r>
  <r>
    <n v="13133"/>
    <x v="1"/>
    <x v="1"/>
    <n v="100000"/>
    <x v="2"/>
    <n v="5"/>
    <s v="Bachelors"/>
    <x v="2"/>
    <s v="Yes"/>
    <n v="1"/>
    <x v="2"/>
    <x v="1"/>
    <n v="47"/>
    <x v="0"/>
    <x v="1"/>
  </r>
  <r>
    <n v="19626"/>
    <x v="0"/>
    <x v="1"/>
    <n v="70000"/>
    <x v="1"/>
    <n v="5"/>
    <s v="Partial College"/>
    <x v="0"/>
    <s v="Yes"/>
    <n v="3"/>
    <x v="2"/>
    <x v="1"/>
    <n v="45"/>
    <x v="0"/>
    <x v="0"/>
  </r>
  <r>
    <n v="21039"/>
    <x v="1"/>
    <x v="0"/>
    <n v="50000"/>
    <x v="0"/>
    <n v="0"/>
    <s v="Graduate Degree"/>
    <x v="0"/>
    <s v="No"/>
    <n v="0"/>
    <x v="0"/>
    <x v="0"/>
    <n v="37"/>
    <x v="0"/>
    <x v="1"/>
  </r>
  <r>
    <n v="12231"/>
    <x v="1"/>
    <x v="0"/>
    <n v="10000"/>
    <x v="0"/>
    <n v="2"/>
    <s v="Partial College"/>
    <x v="3"/>
    <s v="Yes"/>
    <n v="0"/>
    <x v="0"/>
    <x v="0"/>
    <n v="51"/>
    <x v="0"/>
    <x v="1"/>
  </r>
  <r>
    <n v="25665"/>
    <x v="1"/>
    <x v="0"/>
    <n v="20000"/>
    <x v="0"/>
    <n v="0"/>
    <s v="High School"/>
    <x v="3"/>
    <s v="No"/>
    <n v="1"/>
    <x v="3"/>
    <x v="0"/>
    <n v="28"/>
    <x v="2"/>
    <x v="0"/>
  </r>
  <r>
    <n v="24061"/>
    <x v="0"/>
    <x v="1"/>
    <n v="10000"/>
    <x v="0"/>
    <n v="4"/>
    <s v="Partial High School"/>
    <x v="3"/>
    <s v="Yes"/>
    <n v="1"/>
    <x v="0"/>
    <x v="0"/>
    <n v="40"/>
    <x v="0"/>
    <x v="1"/>
  </r>
  <r>
    <n v="26879"/>
    <x v="1"/>
    <x v="0"/>
    <n v="20000"/>
    <x v="0"/>
    <n v="0"/>
    <s v="High School"/>
    <x v="3"/>
    <s v="No"/>
    <n v="1"/>
    <x v="1"/>
    <x v="0"/>
    <n v="30"/>
    <x v="2"/>
    <x v="0"/>
  </r>
  <r>
    <n v="12284"/>
    <x v="0"/>
    <x v="0"/>
    <n v="30000"/>
    <x v="0"/>
    <n v="0"/>
    <s v="Bachelors"/>
    <x v="1"/>
    <s v="No"/>
    <n v="0"/>
    <x v="0"/>
    <x v="0"/>
    <n v="36"/>
    <x v="0"/>
    <x v="1"/>
  </r>
  <r>
    <n v="26654"/>
    <x v="0"/>
    <x v="0"/>
    <n v="90000"/>
    <x v="1"/>
    <n v="1"/>
    <s v="Graduate Degree"/>
    <x v="4"/>
    <s v="Yes"/>
    <n v="0"/>
    <x v="0"/>
    <x v="1"/>
    <n v="37"/>
    <x v="0"/>
    <x v="1"/>
  </r>
  <r>
    <n v="14545"/>
    <x v="0"/>
    <x v="0"/>
    <n v="10000"/>
    <x v="0"/>
    <n v="2"/>
    <s v="Partial College"/>
    <x v="3"/>
    <s v="Yes"/>
    <n v="0"/>
    <x v="3"/>
    <x v="0"/>
    <n v="49"/>
    <x v="0"/>
    <x v="0"/>
  </r>
  <r>
    <n v="24201"/>
    <x v="0"/>
    <x v="0"/>
    <n v="10000"/>
    <x v="0"/>
    <n v="2"/>
    <s v="High School"/>
    <x v="3"/>
    <s v="Yes"/>
    <n v="0"/>
    <x v="0"/>
    <x v="0"/>
    <n v="37"/>
    <x v="0"/>
    <x v="1"/>
  </r>
  <r>
    <n v="20625"/>
    <x v="0"/>
    <x v="1"/>
    <n v="100000"/>
    <x v="2"/>
    <n v="0"/>
    <s v="High School"/>
    <x v="4"/>
    <s v="Yes"/>
    <n v="3"/>
    <x v="4"/>
    <x v="1"/>
    <n v="35"/>
    <x v="0"/>
    <x v="1"/>
  </r>
  <r>
    <n v="16390"/>
    <x v="1"/>
    <x v="1"/>
    <n v="30000"/>
    <x v="0"/>
    <n v="1"/>
    <s v="Bachelors"/>
    <x v="1"/>
    <s v="No"/>
    <n v="0"/>
    <x v="0"/>
    <x v="0"/>
    <n v="38"/>
    <x v="0"/>
    <x v="1"/>
  </r>
  <r>
    <n v="14804"/>
    <x v="1"/>
    <x v="0"/>
    <n v="10000"/>
    <x v="0"/>
    <n v="3"/>
    <s v="Partial High School"/>
    <x v="3"/>
    <s v="Yes"/>
    <n v="2"/>
    <x v="0"/>
    <x v="0"/>
    <n v="43"/>
    <x v="0"/>
    <x v="0"/>
  </r>
  <r>
    <n v="12629"/>
    <x v="1"/>
    <x v="1"/>
    <n v="20000"/>
    <x v="0"/>
    <n v="1"/>
    <s v="Partial College"/>
    <x v="3"/>
    <s v="No"/>
    <n v="0"/>
    <x v="0"/>
    <x v="0"/>
    <n v="37"/>
    <x v="0"/>
    <x v="0"/>
  </r>
  <r>
    <n v="14696"/>
    <x v="1"/>
    <x v="1"/>
    <n v="10000"/>
    <x v="0"/>
    <n v="0"/>
    <s v="Partial High School"/>
    <x v="3"/>
    <s v="No"/>
    <n v="2"/>
    <x v="0"/>
    <x v="0"/>
    <n v="34"/>
    <x v="2"/>
    <x v="0"/>
  </r>
  <r>
    <n v="22005"/>
    <x v="0"/>
    <x v="0"/>
    <n v="70000"/>
    <x v="1"/>
    <n v="5"/>
    <s v="Partial College"/>
    <x v="0"/>
    <s v="No"/>
    <n v="3"/>
    <x v="2"/>
    <x v="1"/>
    <n v="46"/>
    <x v="0"/>
    <x v="0"/>
  </r>
  <r>
    <n v="14544"/>
    <x v="1"/>
    <x v="1"/>
    <n v="10000"/>
    <x v="0"/>
    <n v="1"/>
    <s v="Partial College"/>
    <x v="3"/>
    <s v="Yes"/>
    <n v="0"/>
    <x v="0"/>
    <x v="0"/>
    <n v="49"/>
    <x v="0"/>
    <x v="0"/>
  </r>
  <r>
    <n v="14312"/>
    <x v="0"/>
    <x v="0"/>
    <n v="60000"/>
    <x v="1"/>
    <n v="1"/>
    <s v="Partial College"/>
    <x v="0"/>
    <s v="Yes"/>
    <n v="1"/>
    <x v="2"/>
    <x v="1"/>
    <n v="45"/>
    <x v="0"/>
    <x v="0"/>
  </r>
  <r>
    <n v="29120"/>
    <x v="1"/>
    <x v="0"/>
    <n v="100000"/>
    <x v="2"/>
    <n v="1"/>
    <s v="Bachelors"/>
    <x v="4"/>
    <s v="Yes"/>
    <n v="4"/>
    <x v="1"/>
    <x v="1"/>
    <n v="48"/>
    <x v="0"/>
    <x v="0"/>
  </r>
  <r>
    <n v="24187"/>
    <x v="1"/>
    <x v="0"/>
    <n v="30000"/>
    <x v="0"/>
    <n v="3"/>
    <s v="Graduate Degree"/>
    <x v="1"/>
    <s v="No"/>
    <n v="0"/>
    <x v="0"/>
    <x v="0"/>
    <n v="46"/>
    <x v="0"/>
    <x v="1"/>
  </r>
  <r>
    <n v="15758"/>
    <x v="0"/>
    <x v="1"/>
    <n v="130000"/>
    <x v="2"/>
    <n v="0"/>
    <s v="Graduate Degree"/>
    <x v="4"/>
    <s v="Yes"/>
    <n v="0"/>
    <x v="2"/>
    <x v="1"/>
    <n v="48"/>
    <x v="0"/>
    <x v="0"/>
  </r>
  <r>
    <n v="29094"/>
    <x v="0"/>
    <x v="1"/>
    <n v="30000"/>
    <x v="0"/>
    <n v="3"/>
    <s v="High School"/>
    <x v="0"/>
    <s v="Yes"/>
    <n v="2"/>
    <x v="2"/>
    <x v="1"/>
    <n v="54"/>
    <x v="0"/>
    <x v="1"/>
  </r>
  <r>
    <n v="28319"/>
    <x v="1"/>
    <x v="0"/>
    <n v="60000"/>
    <x v="1"/>
    <n v="1"/>
    <s v="Partial College"/>
    <x v="0"/>
    <s v="No"/>
    <n v="1"/>
    <x v="0"/>
    <x v="1"/>
    <n v="46"/>
    <x v="0"/>
    <x v="1"/>
  </r>
  <r>
    <n v="16406"/>
    <x v="0"/>
    <x v="1"/>
    <n v="40000"/>
    <x v="0"/>
    <n v="0"/>
    <s v="Bachelors"/>
    <x v="1"/>
    <s v="No"/>
    <n v="0"/>
    <x v="0"/>
    <x v="0"/>
    <n v="38"/>
    <x v="0"/>
    <x v="1"/>
  </r>
  <r>
    <n v="20923"/>
    <x v="0"/>
    <x v="0"/>
    <n v="40000"/>
    <x v="0"/>
    <n v="1"/>
    <s v="Bachelors"/>
    <x v="0"/>
    <s v="Yes"/>
    <n v="0"/>
    <x v="0"/>
    <x v="0"/>
    <n v="42"/>
    <x v="0"/>
    <x v="1"/>
  </r>
  <r>
    <n v="11378"/>
    <x v="1"/>
    <x v="0"/>
    <n v="10000"/>
    <x v="0"/>
    <n v="1"/>
    <s v="High School"/>
    <x v="3"/>
    <s v="No"/>
    <n v="1"/>
    <x v="1"/>
    <x v="0"/>
    <n v="46"/>
    <x v="0"/>
    <x v="1"/>
  </r>
  <r>
    <n v="20851"/>
    <x v="1"/>
    <x v="1"/>
    <n v="20000"/>
    <x v="0"/>
    <n v="0"/>
    <s v="Partial College"/>
    <x v="3"/>
    <s v="No"/>
    <n v="1"/>
    <x v="1"/>
    <x v="0"/>
    <n v="36"/>
    <x v="0"/>
    <x v="1"/>
  </r>
  <r>
    <n v="21557"/>
    <x v="1"/>
    <x v="0"/>
    <n v="110000"/>
    <x v="2"/>
    <n v="0"/>
    <s v="Partial College"/>
    <x v="4"/>
    <s v="Yes"/>
    <n v="3"/>
    <x v="4"/>
    <x v="1"/>
    <n v="32"/>
    <x v="2"/>
    <x v="1"/>
  </r>
  <r>
    <n v="26663"/>
    <x v="1"/>
    <x v="0"/>
    <n v="60000"/>
    <x v="1"/>
    <n v="2"/>
    <s v="Bachelors"/>
    <x v="2"/>
    <s v="No"/>
    <n v="1"/>
    <x v="0"/>
    <x v="1"/>
    <n v="39"/>
    <x v="0"/>
    <x v="1"/>
  </r>
  <r>
    <n v="11896"/>
    <x v="0"/>
    <x v="1"/>
    <n v="100000"/>
    <x v="2"/>
    <n v="1"/>
    <s v="Graduate Degree"/>
    <x v="4"/>
    <s v="Yes"/>
    <n v="0"/>
    <x v="1"/>
    <x v="1"/>
    <n v="36"/>
    <x v="0"/>
    <x v="1"/>
  </r>
  <r>
    <n v="14189"/>
    <x v="0"/>
    <x v="0"/>
    <n v="90000"/>
    <x v="1"/>
    <n v="4"/>
    <s v="High School"/>
    <x v="2"/>
    <s v="No"/>
    <n v="2"/>
    <x v="1"/>
    <x v="0"/>
    <n v="54"/>
    <x v="0"/>
    <x v="1"/>
  </r>
  <r>
    <n v="13136"/>
    <x v="0"/>
    <x v="0"/>
    <n v="30000"/>
    <x v="0"/>
    <n v="2"/>
    <s v="Partial College"/>
    <x v="1"/>
    <s v="No"/>
    <n v="2"/>
    <x v="2"/>
    <x v="1"/>
    <n v="69"/>
    <x v="1"/>
    <x v="0"/>
  </r>
  <r>
    <n v="25906"/>
    <x v="1"/>
    <x v="0"/>
    <n v="10000"/>
    <x v="0"/>
    <n v="5"/>
    <s v="High School"/>
    <x v="0"/>
    <s v="No"/>
    <n v="2"/>
    <x v="3"/>
    <x v="1"/>
    <n v="62"/>
    <x v="1"/>
    <x v="0"/>
  </r>
  <r>
    <n v="17926"/>
    <x v="1"/>
    <x v="0"/>
    <n v="40000"/>
    <x v="0"/>
    <n v="0"/>
    <s v="Bachelors"/>
    <x v="1"/>
    <s v="No"/>
    <n v="0"/>
    <x v="0"/>
    <x v="1"/>
    <n v="28"/>
    <x v="2"/>
    <x v="1"/>
  </r>
  <r>
    <n v="26928"/>
    <x v="1"/>
    <x v="1"/>
    <n v="30000"/>
    <x v="0"/>
    <n v="1"/>
    <s v="Bachelors"/>
    <x v="1"/>
    <s v="Yes"/>
    <n v="0"/>
    <x v="0"/>
    <x v="0"/>
    <n v="62"/>
    <x v="1"/>
    <x v="1"/>
  </r>
  <r>
    <n v="20897"/>
    <x v="0"/>
    <x v="0"/>
    <n v="30000"/>
    <x v="0"/>
    <n v="1"/>
    <s v="Bachelors"/>
    <x v="0"/>
    <s v="Yes"/>
    <n v="2"/>
    <x v="0"/>
    <x v="0"/>
    <n v="40"/>
    <x v="0"/>
    <x v="0"/>
  </r>
  <r>
    <n v="28207"/>
    <x v="0"/>
    <x v="1"/>
    <n v="80000"/>
    <x v="1"/>
    <n v="4"/>
    <s v="Graduate Degree"/>
    <x v="4"/>
    <s v="Yes"/>
    <n v="1"/>
    <x v="0"/>
    <x v="1"/>
    <n v="36"/>
    <x v="0"/>
    <x v="1"/>
  </r>
  <r>
    <n v="25923"/>
    <x v="1"/>
    <x v="1"/>
    <n v="10000"/>
    <x v="0"/>
    <n v="2"/>
    <s v="Partial High School"/>
    <x v="1"/>
    <s v="Yes"/>
    <n v="2"/>
    <x v="2"/>
    <x v="1"/>
    <n v="58"/>
    <x v="1"/>
    <x v="0"/>
  </r>
  <r>
    <n v="11000"/>
    <x v="0"/>
    <x v="1"/>
    <n v="90000"/>
    <x v="1"/>
    <n v="2"/>
    <s v="Bachelors"/>
    <x v="2"/>
    <s v="Yes"/>
    <n v="0"/>
    <x v="3"/>
    <x v="1"/>
    <n v="40"/>
    <x v="0"/>
    <x v="1"/>
  </r>
  <r>
    <n v="20974"/>
    <x v="0"/>
    <x v="1"/>
    <n v="10000"/>
    <x v="0"/>
    <n v="2"/>
    <s v="Bachelors"/>
    <x v="1"/>
    <s v="Yes"/>
    <n v="1"/>
    <x v="0"/>
    <x v="0"/>
    <n v="66"/>
    <x v="1"/>
    <x v="0"/>
  </r>
  <r>
    <n v="28758"/>
    <x v="0"/>
    <x v="1"/>
    <n v="40000"/>
    <x v="0"/>
    <n v="2"/>
    <s v="Partial College"/>
    <x v="1"/>
    <s v="Yes"/>
    <n v="1"/>
    <x v="3"/>
    <x v="0"/>
    <n v="35"/>
    <x v="0"/>
    <x v="1"/>
  </r>
  <r>
    <n v="11381"/>
    <x v="0"/>
    <x v="0"/>
    <n v="20000"/>
    <x v="0"/>
    <n v="2"/>
    <s v="Partial College"/>
    <x v="3"/>
    <s v="Yes"/>
    <n v="1"/>
    <x v="1"/>
    <x v="0"/>
    <n v="47"/>
    <x v="0"/>
    <x v="1"/>
  </r>
  <r>
    <n v="17522"/>
    <x v="0"/>
    <x v="1"/>
    <n v="120000"/>
    <x v="2"/>
    <n v="4"/>
    <s v="Bachelors"/>
    <x v="4"/>
    <s v="Yes"/>
    <n v="1"/>
    <x v="1"/>
    <x v="1"/>
    <n v="47"/>
    <x v="0"/>
    <x v="0"/>
  </r>
  <r>
    <n v="21207"/>
    <x v="0"/>
    <x v="1"/>
    <n v="60000"/>
    <x v="1"/>
    <n v="1"/>
    <s v="Partial College"/>
    <x v="0"/>
    <s v="Yes"/>
    <n v="1"/>
    <x v="2"/>
    <x v="1"/>
    <n v="46"/>
    <x v="0"/>
    <x v="0"/>
  </r>
  <r>
    <n v="28102"/>
    <x v="0"/>
    <x v="1"/>
    <n v="20000"/>
    <x v="0"/>
    <n v="4"/>
    <s v="High School"/>
    <x v="0"/>
    <s v="Yes"/>
    <n v="2"/>
    <x v="2"/>
    <x v="1"/>
    <n v="58"/>
    <x v="1"/>
    <x v="1"/>
  </r>
  <r>
    <n v="23105"/>
    <x v="1"/>
    <x v="1"/>
    <n v="40000"/>
    <x v="0"/>
    <n v="3"/>
    <s v="Partial High School"/>
    <x v="1"/>
    <s v="No"/>
    <n v="2"/>
    <x v="2"/>
    <x v="1"/>
    <n v="52"/>
    <x v="0"/>
    <x v="1"/>
  </r>
  <r>
    <n v="18740"/>
    <x v="0"/>
    <x v="1"/>
    <n v="80000"/>
    <x v="1"/>
    <n v="5"/>
    <s v="Bachelors"/>
    <x v="2"/>
    <s v="No"/>
    <n v="1"/>
    <x v="0"/>
    <x v="1"/>
    <n v="47"/>
    <x v="0"/>
    <x v="1"/>
  </r>
  <r>
    <n v="21213"/>
    <x v="1"/>
    <x v="1"/>
    <n v="70000"/>
    <x v="1"/>
    <n v="0"/>
    <s v="Bachelors"/>
    <x v="2"/>
    <s v="No"/>
    <n v="1"/>
    <x v="2"/>
    <x v="1"/>
    <n v="41"/>
    <x v="0"/>
    <x v="0"/>
  </r>
  <r>
    <n v="17352"/>
    <x v="0"/>
    <x v="1"/>
    <n v="50000"/>
    <x v="0"/>
    <n v="2"/>
    <s v="Graduate Degree"/>
    <x v="4"/>
    <s v="Yes"/>
    <n v="1"/>
    <x v="2"/>
    <x v="1"/>
    <n v="64"/>
    <x v="1"/>
    <x v="1"/>
  </r>
  <r>
    <n v="14154"/>
    <x v="0"/>
    <x v="1"/>
    <n v="30000"/>
    <x v="0"/>
    <n v="0"/>
    <s v="Bachelors"/>
    <x v="1"/>
    <s v="Yes"/>
    <n v="0"/>
    <x v="0"/>
    <x v="0"/>
    <n v="35"/>
    <x v="0"/>
    <x v="1"/>
  </r>
  <r>
    <n v="19066"/>
    <x v="0"/>
    <x v="1"/>
    <n v="130000"/>
    <x v="2"/>
    <n v="4"/>
    <s v="Partial College"/>
    <x v="2"/>
    <s v="No"/>
    <n v="3"/>
    <x v="4"/>
    <x v="0"/>
    <n v="54"/>
    <x v="0"/>
    <x v="0"/>
  </r>
  <r>
    <n v="11386"/>
    <x v="0"/>
    <x v="0"/>
    <n v="30000"/>
    <x v="0"/>
    <n v="3"/>
    <s v="Bachelors"/>
    <x v="1"/>
    <s v="Yes"/>
    <n v="0"/>
    <x v="0"/>
    <x v="0"/>
    <n v="45"/>
    <x v="0"/>
    <x v="0"/>
  </r>
  <r>
    <n v="20228"/>
    <x v="0"/>
    <x v="1"/>
    <n v="100000"/>
    <x v="2"/>
    <n v="0"/>
    <s v="Graduate Degree"/>
    <x v="4"/>
    <s v="Yes"/>
    <n v="0"/>
    <x v="1"/>
    <x v="1"/>
    <n v="40"/>
    <x v="0"/>
    <x v="1"/>
  </r>
  <r>
    <n v="16675"/>
    <x v="1"/>
    <x v="0"/>
    <n v="160000"/>
    <x v="2"/>
    <n v="0"/>
    <s v="Graduate Degree"/>
    <x v="4"/>
    <s v="No"/>
    <n v="3"/>
    <x v="0"/>
    <x v="1"/>
    <n v="47"/>
    <x v="0"/>
    <x v="1"/>
  </r>
  <r>
    <n v="16410"/>
    <x v="1"/>
    <x v="0"/>
    <n v="10000"/>
    <x v="0"/>
    <n v="4"/>
    <s v="Partial High School"/>
    <x v="3"/>
    <s v="Yes"/>
    <n v="2"/>
    <x v="0"/>
    <x v="0"/>
    <n v="41"/>
    <x v="0"/>
    <x v="1"/>
  </r>
  <r>
    <n v="27760"/>
    <x v="1"/>
    <x v="0"/>
    <n v="40000"/>
    <x v="0"/>
    <n v="0"/>
    <s v="Graduate Degree"/>
    <x v="1"/>
    <s v="No"/>
    <n v="0"/>
    <x v="0"/>
    <x v="0"/>
    <n v="37"/>
    <x v="0"/>
    <x v="1"/>
  </r>
  <r>
    <n v="22930"/>
    <x v="0"/>
    <x v="1"/>
    <n v="90000"/>
    <x v="1"/>
    <n v="4"/>
    <s v="Bachelors"/>
    <x v="2"/>
    <s v="Yes"/>
    <n v="0"/>
    <x v="3"/>
    <x v="1"/>
    <n v="38"/>
    <x v="0"/>
    <x v="1"/>
  </r>
  <r>
    <n v="23780"/>
    <x v="1"/>
    <x v="1"/>
    <n v="40000"/>
    <x v="0"/>
    <n v="2"/>
    <s v="Partial College"/>
    <x v="1"/>
    <s v="No"/>
    <n v="2"/>
    <x v="0"/>
    <x v="0"/>
    <n v="36"/>
    <x v="0"/>
    <x v="1"/>
  </r>
  <r>
    <n v="20994"/>
    <x v="0"/>
    <x v="0"/>
    <n v="20000"/>
    <x v="0"/>
    <n v="0"/>
    <s v="Bachelors"/>
    <x v="1"/>
    <s v="No"/>
    <n v="0"/>
    <x v="0"/>
    <x v="1"/>
    <n v="26"/>
    <x v="2"/>
    <x v="1"/>
  </r>
  <r>
    <n v="28379"/>
    <x v="0"/>
    <x v="1"/>
    <n v="30000"/>
    <x v="0"/>
    <n v="1"/>
    <s v="Bachelors"/>
    <x v="0"/>
    <s v="Yes"/>
    <n v="2"/>
    <x v="0"/>
    <x v="0"/>
    <n v="40"/>
    <x v="0"/>
    <x v="0"/>
  </r>
  <r>
    <n v="14865"/>
    <x v="1"/>
    <x v="1"/>
    <n v="40000"/>
    <x v="0"/>
    <n v="2"/>
    <s v="Partial College"/>
    <x v="1"/>
    <s v="Yes"/>
    <n v="2"/>
    <x v="3"/>
    <x v="0"/>
    <n v="36"/>
    <x v="0"/>
    <x v="0"/>
  </r>
  <r>
    <n v="12663"/>
    <x v="0"/>
    <x v="0"/>
    <n v="90000"/>
    <x v="1"/>
    <n v="5"/>
    <s v="Partial High School"/>
    <x v="0"/>
    <s v="Yes"/>
    <n v="2"/>
    <x v="4"/>
    <x v="0"/>
    <n v="59"/>
    <x v="1"/>
    <x v="0"/>
  </r>
  <r>
    <n v="24898"/>
    <x v="1"/>
    <x v="0"/>
    <n v="80000"/>
    <x v="1"/>
    <n v="0"/>
    <s v="Bachelors"/>
    <x v="2"/>
    <s v="Yes"/>
    <n v="3"/>
    <x v="4"/>
    <x v="1"/>
    <n v="32"/>
    <x v="2"/>
    <x v="0"/>
  </r>
  <r>
    <n v="19508"/>
    <x v="0"/>
    <x v="1"/>
    <n v="10000"/>
    <x v="0"/>
    <n v="0"/>
    <s v="Partial High School"/>
    <x v="3"/>
    <s v="No"/>
    <n v="2"/>
    <x v="0"/>
    <x v="0"/>
    <n v="30"/>
    <x v="2"/>
    <x v="0"/>
  </r>
  <r>
    <n v="11489"/>
    <x v="1"/>
    <x v="0"/>
    <n v="20000"/>
    <x v="0"/>
    <n v="0"/>
    <s v="Partial High School"/>
    <x v="3"/>
    <s v="No"/>
    <n v="2"/>
    <x v="3"/>
    <x v="0"/>
    <n v="35"/>
    <x v="0"/>
    <x v="1"/>
  </r>
  <r>
    <n v="18160"/>
    <x v="0"/>
    <x v="1"/>
    <n v="130000"/>
    <x v="2"/>
    <n v="3"/>
    <s v="High School"/>
    <x v="2"/>
    <s v="Yes"/>
    <n v="4"/>
    <x v="2"/>
    <x v="0"/>
    <n v="51"/>
    <x v="0"/>
    <x v="1"/>
  </r>
  <r>
    <n v="25241"/>
    <x v="0"/>
    <x v="1"/>
    <n v="90000"/>
    <x v="1"/>
    <n v="2"/>
    <s v="Bachelors"/>
    <x v="2"/>
    <s v="Yes"/>
    <n v="1"/>
    <x v="2"/>
    <x v="1"/>
    <n v="47"/>
    <x v="0"/>
    <x v="0"/>
  </r>
  <r>
    <n v="24369"/>
    <x v="0"/>
    <x v="1"/>
    <n v="80000"/>
    <x v="1"/>
    <n v="5"/>
    <s v="Graduate Degree"/>
    <x v="4"/>
    <s v="No"/>
    <n v="2"/>
    <x v="0"/>
    <x v="1"/>
    <n v="39"/>
    <x v="0"/>
    <x v="0"/>
  </r>
  <r>
    <n v="27165"/>
    <x v="1"/>
    <x v="1"/>
    <n v="20000"/>
    <x v="0"/>
    <n v="0"/>
    <s v="Partial High School"/>
    <x v="3"/>
    <s v="No"/>
    <n v="2"/>
    <x v="0"/>
    <x v="0"/>
    <n v="34"/>
    <x v="2"/>
    <x v="0"/>
  </r>
  <r>
    <n v="29424"/>
    <x v="0"/>
    <x v="1"/>
    <n v="10000"/>
    <x v="0"/>
    <n v="0"/>
    <s v="Partial High School"/>
    <x v="3"/>
    <s v="Yes"/>
    <n v="2"/>
    <x v="0"/>
    <x v="0"/>
    <n v="32"/>
    <x v="2"/>
    <x v="0"/>
  </r>
  <r>
    <n v="15926"/>
    <x v="1"/>
    <x v="0"/>
    <n v="120000"/>
    <x v="2"/>
    <n v="3"/>
    <s v="High School"/>
    <x v="2"/>
    <s v="Yes"/>
    <n v="4"/>
    <x v="2"/>
    <x v="0"/>
    <n v="50"/>
    <x v="0"/>
    <x v="1"/>
  </r>
  <r>
    <n v="14554"/>
    <x v="0"/>
    <x v="1"/>
    <n v="20000"/>
    <x v="0"/>
    <n v="1"/>
    <s v="Bachelors"/>
    <x v="1"/>
    <s v="Yes"/>
    <n v="0"/>
    <x v="0"/>
    <x v="0"/>
    <n v="66"/>
    <x v="1"/>
    <x v="0"/>
  </r>
  <r>
    <n v="16468"/>
    <x v="1"/>
    <x v="1"/>
    <n v="30000"/>
    <x v="0"/>
    <n v="0"/>
    <s v="Partial College"/>
    <x v="1"/>
    <s v="Yes"/>
    <n v="1"/>
    <x v="1"/>
    <x v="0"/>
    <n v="30"/>
    <x v="2"/>
    <x v="0"/>
  </r>
  <r>
    <n v="19174"/>
    <x v="1"/>
    <x v="0"/>
    <n v="30000"/>
    <x v="0"/>
    <n v="0"/>
    <s v="High School"/>
    <x v="3"/>
    <s v="No"/>
    <n v="1"/>
    <x v="1"/>
    <x v="0"/>
    <n v="32"/>
    <x v="2"/>
    <x v="1"/>
  </r>
  <r>
    <n v="19183"/>
    <x v="1"/>
    <x v="1"/>
    <n v="10000"/>
    <x v="0"/>
    <n v="0"/>
    <s v="Partial High School"/>
    <x v="3"/>
    <s v="Yes"/>
    <n v="2"/>
    <x v="3"/>
    <x v="0"/>
    <n v="35"/>
    <x v="0"/>
    <x v="0"/>
  </r>
  <r>
    <n v="13683"/>
    <x v="1"/>
    <x v="0"/>
    <n v="30000"/>
    <x v="0"/>
    <n v="0"/>
    <s v="High School"/>
    <x v="3"/>
    <s v="No"/>
    <n v="1"/>
    <x v="1"/>
    <x v="0"/>
    <n v="32"/>
    <x v="2"/>
    <x v="0"/>
  </r>
  <r>
    <n v="17848"/>
    <x v="1"/>
    <x v="1"/>
    <n v="30000"/>
    <x v="0"/>
    <n v="0"/>
    <s v="Partial College"/>
    <x v="1"/>
    <s v="No"/>
    <n v="1"/>
    <x v="1"/>
    <x v="0"/>
    <n v="31"/>
    <x v="2"/>
    <x v="1"/>
  </r>
  <r>
    <n v="17894"/>
    <x v="0"/>
    <x v="0"/>
    <n v="20000"/>
    <x v="0"/>
    <n v="1"/>
    <s v="Bachelors"/>
    <x v="1"/>
    <s v="Yes"/>
    <n v="0"/>
    <x v="0"/>
    <x v="0"/>
    <n v="50"/>
    <x v="0"/>
    <x v="1"/>
  </r>
  <r>
    <n v="25651"/>
    <x v="0"/>
    <x v="1"/>
    <n v="40000"/>
    <x v="0"/>
    <n v="1"/>
    <s v="Bachelors"/>
    <x v="0"/>
    <s v="No"/>
    <n v="0"/>
    <x v="0"/>
    <x v="0"/>
    <n v="43"/>
    <x v="0"/>
    <x v="1"/>
  </r>
  <r>
    <n v="22936"/>
    <x v="1"/>
    <x v="0"/>
    <n v="60000"/>
    <x v="1"/>
    <n v="1"/>
    <s v="Partial College"/>
    <x v="0"/>
    <s v="No"/>
    <n v="1"/>
    <x v="0"/>
    <x v="1"/>
    <n v="45"/>
    <x v="0"/>
    <x v="1"/>
  </r>
  <r>
    <n v="23915"/>
    <x v="0"/>
    <x v="1"/>
    <n v="20000"/>
    <x v="0"/>
    <n v="2"/>
    <s v="High School"/>
    <x v="3"/>
    <s v="Yes"/>
    <n v="2"/>
    <x v="0"/>
    <x v="0"/>
    <n v="42"/>
    <x v="0"/>
    <x v="0"/>
  </r>
  <r>
    <n v="24121"/>
    <x v="1"/>
    <x v="0"/>
    <n v="30000"/>
    <x v="0"/>
    <n v="0"/>
    <s v="Partial College"/>
    <x v="1"/>
    <s v="No"/>
    <n v="1"/>
    <x v="0"/>
    <x v="0"/>
    <n v="29"/>
    <x v="2"/>
    <x v="1"/>
  </r>
  <r>
    <n v="27878"/>
    <x v="1"/>
    <x v="1"/>
    <n v="20000"/>
    <x v="0"/>
    <n v="0"/>
    <s v="Partial College"/>
    <x v="3"/>
    <s v="No"/>
    <n v="0"/>
    <x v="0"/>
    <x v="1"/>
    <n v="28"/>
    <x v="2"/>
    <x v="1"/>
  </r>
  <r>
    <n v="13572"/>
    <x v="1"/>
    <x v="1"/>
    <n v="10000"/>
    <x v="0"/>
    <n v="3"/>
    <s v="High School"/>
    <x v="3"/>
    <s v="Yes"/>
    <n v="0"/>
    <x v="0"/>
    <x v="0"/>
    <n v="37"/>
    <x v="0"/>
    <x v="1"/>
  </r>
  <r>
    <n v="27941"/>
    <x v="0"/>
    <x v="0"/>
    <n v="80000"/>
    <x v="1"/>
    <n v="4"/>
    <s v="Partial College"/>
    <x v="2"/>
    <s v="Yes"/>
    <n v="2"/>
    <x v="1"/>
    <x v="0"/>
    <n v="53"/>
    <x v="0"/>
    <x v="0"/>
  </r>
  <r>
    <n v="26354"/>
    <x v="1"/>
    <x v="1"/>
    <n v="40000"/>
    <x v="0"/>
    <n v="0"/>
    <s v="Graduate Degree"/>
    <x v="1"/>
    <s v="No"/>
    <n v="0"/>
    <x v="0"/>
    <x v="0"/>
    <n v="38"/>
    <x v="0"/>
    <x v="1"/>
  </r>
  <r>
    <n v="14785"/>
    <x v="1"/>
    <x v="1"/>
    <n v="30000"/>
    <x v="0"/>
    <n v="1"/>
    <s v="Bachelors"/>
    <x v="1"/>
    <s v="No"/>
    <n v="1"/>
    <x v="3"/>
    <x v="0"/>
    <n v="39"/>
    <x v="0"/>
    <x v="0"/>
  </r>
  <r>
    <n v="17238"/>
    <x v="1"/>
    <x v="1"/>
    <n v="80000"/>
    <x v="1"/>
    <n v="0"/>
    <s v="Bachelors"/>
    <x v="2"/>
    <s v="Yes"/>
    <n v="3"/>
    <x v="4"/>
    <x v="1"/>
    <n v="32"/>
    <x v="2"/>
    <x v="0"/>
  </r>
  <r>
    <n v="23608"/>
    <x v="0"/>
    <x v="0"/>
    <n v="150000"/>
    <x v="2"/>
    <n v="3"/>
    <s v="High School"/>
    <x v="2"/>
    <s v="Yes"/>
    <n v="3"/>
    <x v="0"/>
    <x v="0"/>
    <n v="51"/>
    <x v="0"/>
    <x v="1"/>
  </r>
  <r>
    <n v="22538"/>
    <x v="1"/>
    <x v="0"/>
    <n v="10000"/>
    <x v="0"/>
    <n v="0"/>
    <s v="Partial High School"/>
    <x v="3"/>
    <s v="Yes"/>
    <n v="2"/>
    <x v="3"/>
    <x v="0"/>
    <n v="33"/>
    <x v="2"/>
    <x v="0"/>
  </r>
  <r>
    <n v="12332"/>
    <x v="0"/>
    <x v="1"/>
    <n v="90000"/>
    <x v="1"/>
    <n v="4"/>
    <s v="High School"/>
    <x v="4"/>
    <s v="Yes"/>
    <n v="3"/>
    <x v="2"/>
    <x v="0"/>
    <n v="58"/>
    <x v="1"/>
    <x v="1"/>
  </r>
  <r>
    <n v="17230"/>
    <x v="0"/>
    <x v="1"/>
    <n v="80000"/>
    <x v="1"/>
    <n v="0"/>
    <s v="Bachelors"/>
    <x v="2"/>
    <s v="Yes"/>
    <n v="3"/>
    <x v="4"/>
    <x v="1"/>
    <n v="30"/>
    <x v="2"/>
    <x v="0"/>
  </r>
  <r>
    <n v="13082"/>
    <x v="1"/>
    <x v="1"/>
    <n v="130000"/>
    <x v="2"/>
    <n v="0"/>
    <s v="Graduate Degree"/>
    <x v="4"/>
    <s v="Yes"/>
    <n v="0"/>
    <x v="1"/>
    <x v="1"/>
    <n v="48"/>
    <x v="0"/>
    <x v="1"/>
  </r>
  <r>
    <n v="22518"/>
    <x v="1"/>
    <x v="0"/>
    <n v="30000"/>
    <x v="0"/>
    <n v="3"/>
    <s v="Partial College"/>
    <x v="1"/>
    <s v="No"/>
    <n v="2"/>
    <x v="0"/>
    <x v="0"/>
    <n v="27"/>
    <x v="2"/>
    <x v="1"/>
  </r>
  <r>
    <n v="13687"/>
    <x v="0"/>
    <x v="1"/>
    <n v="40000"/>
    <x v="0"/>
    <n v="1"/>
    <s v="Bachelors"/>
    <x v="0"/>
    <s v="Yes"/>
    <n v="1"/>
    <x v="0"/>
    <x v="0"/>
    <n v="33"/>
    <x v="2"/>
    <x v="1"/>
  </r>
  <r>
    <n v="23571"/>
    <x v="0"/>
    <x v="0"/>
    <n v="40000"/>
    <x v="0"/>
    <n v="2"/>
    <s v="Bachelors"/>
    <x v="4"/>
    <s v="Yes"/>
    <n v="2"/>
    <x v="0"/>
    <x v="1"/>
    <n v="66"/>
    <x v="1"/>
    <x v="1"/>
  </r>
  <r>
    <n v="19305"/>
    <x v="1"/>
    <x v="0"/>
    <n v="10000"/>
    <x v="0"/>
    <n v="2"/>
    <s v="High School"/>
    <x v="3"/>
    <s v="Yes"/>
    <n v="1"/>
    <x v="0"/>
    <x v="0"/>
    <n v="38"/>
    <x v="0"/>
    <x v="1"/>
  </r>
  <r>
    <n v="22636"/>
    <x v="1"/>
    <x v="0"/>
    <n v="40000"/>
    <x v="0"/>
    <n v="0"/>
    <s v="Bachelors"/>
    <x v="1"/>
    <s v="No"/>
    <n v="0"/>
    <x v="0"/>
    <x v="0"/>
    <n v="38"/>
    <x v="0"/>
    <x v="1"/>
  </r>
  <r>
    <n v="17310"/>
    <x v="0"/>
    <x v="1"/>
    <n v="60000"/>
    <x v="1"/>
    <n v="1"/>
    <s v="Partial College"/>
    <x v="0"/>
    <s v="Yes"/>
    <n v="1"/>
    <x v="0"/>
    <x v="1"/>
    <n v="45"/>
    <x v="0"/>
    <x v="1"/>
  </r>
  <r>
    <n v="12133"/>
    <x v="0"/>
    <x v="0"/>
    <n v="130000"/>
    <x v="2"/>
    <n v="3"/>
    <s v="Partial College"/>
    <x v="2"/>
    <s v="Yes"/>
    <n v="3"/>
    <x v="2"/>
    <x v="0"/>
    <n v="50"/>
    <x v="0"/>
    <x v="1"/>
  </r>
  <r>
    <n v="25918"/>
    <x v="1"/>
    <x v="0"/>
    <n v="30000"/>
    <x v="0"/>
    <n v="2"/>
    <s v="Partial College"/>
    <x v="1"/>
    <s v="No"/>
    <n v="2"/>
    <x v="2"/>
    <x v="1"/>
    <n v="60"/>
    <x v="1"/>
    <x v="1"/>
  </r>
  <r>
    <n v="25752"/>
    <x v="1"/>
    <x v="0"/>
    <n v="20000"/>
    <x v="0"/>
    <n v="2"/>
    <s v="Partial College"/>
    <x v="3"/>
    <s v="No"/>
    <n v="1"/>
    <x v="0"/>
    <x v="0"/>
    <n v="53"/>
    <x v="0"/>
    <x v="1"/>
  </r>
  <r>
    <n v="17324"/>
    <x v="0"/>
    <x v="0"/>
    <n v="100000"/>
    <x v="2"/>
    <n v="4"/>
    <s v="Bachelors"/>
    <x v="2"/>
    <s v="Yes"/>
    <n v="1"/>
    <x v="4"/>
    <x v="1"/>
    <n v="46"/>
    <x v="0"/>
    <x v="0"/>
  </r>
  <r>
    <n v="22918"/>
    <x v="1"/>
    <x v="1"/>
    <n v="80000"/>
    <x v="1"/>
    <n v="5"/>
    <s v="Graduate Degree"/>
    <x v="4"/>
    <s v="Yes"/>
    <n v="3"/>
    <x v="0"/>
    <x v="1"/>
    <n v="50"/>
    <x v="0"/>
    <x v="0"/>
  </r>
  <r>
    <n v="12510"/>
    <x v="0"/>
    <x v="1"/>
    <n v="40000"/>
    <x v="0"/>
    <n v="1"/>
    <s v="Bachelors"/>
    <x v="0"/>
    <s v="Yes"/>
    <n v="1"/>
    <x v="0"/>
    <x v="0"/>
    <n v="43"/>
    <x v="0"/>
    <x v="1"/>
  </r>
  <r>
    <n v="25512"/>
    <x v="1"/>
    <x v="1"/>
    <n v="20000"/>
    <x v="0"/>
    <n v="0"/>
    <s v="High School"/>
    <x v="3"/>
    <s v="No"/>
    <n v="1"/>
    <x v="1"/>
    <x v="0"/>
    <n v="30"/>
    <x v="2"/>
    <x v="0"/>
  </r>
  <r>
    <n v="16179"/>
    <x v="1"/>
    <x v="0"/>
    <n v="80000"/>
    <x v="1"/>
    <n v="5"/>
    <s v="Bachelors"/>
    <x v="2"/>
    <s v="Yes"/>
    <n v="4"/>
    <x v="3"/>
    <x v="1"/>
    <n v="38"/>
    <x v="0"/>
    <x v="0"/>
  </r>
  <r>
    <n v="15628"/>
    <x v="0"/>
    <x v="0"/>
    <n v="40000"/>
    <x v="0"/>
    <n v="1"/>
    <s v="Bachelors"/>
    <x v="0"/>
    <s v="Yes"/>
    <n v="1"/>
    <x v="0"/>
    <x v="0"/>
    <n v="89"/>
    <x v="1"/>
    <x v="0"/>
  </r>
  <r>
    <n v="20977"/>
    <x v="0"/>
    <x v="1"/>
    <n v="20000"/>
    <x v="0"/>
    <n v="1"/>
    <s v="Bachelors"/>
    <x v="1"/>
    <s v="Yes"/>
    <n v="0"/>
    <x v="0"/>
    <x v="0"/>
    <n v="64"/>
    <x v="1"/>
    <x v="1"/>
  </r>
  <r>
    <n v="18140"/>
    <x v="0"/>
    <x v="1"/>
    <n v="130000"/>
    <x v="2"/>
    <n v="3"/>
    <s v="Partial College"/>
    <x v="2"/>
    <s v="No"/>
    <n v="3"/>
    <x v="2"/>
    <x v="0"/>
    <n v="51"/>
    <x v="0"/>
    <x v="1"/>
  </r>
  <r>
    <n v="20417"/>
    <x v="0"/>
    <x v="1"/>
    <n v="30000"/>
    <x v="0"/>
    <n v="3"/>
    <s v="Partial College"/>
    <x v="1"/>
    <s v="No"/>
    <n v="2"/>
    <x v="2"/>
    <x v="1"/>
    <n v="56"/>
    <x v="1"/>
    <x v="0"/>
  </r>
  <r>
    <n v="18267"/>
    <x v="0"/>
    <x v="1"/>
    <n v="60000"/>
    <x v="1"/>
    <n v="3"/>
    <s v="Bachelors"/>
    <x v="2"/>
    <s v="Yes"/>
    <n v="2"/>
    <x v="2"/>
    <x v="1"/>
    <n v="43"/>
    <x v="0"/>
    <x v="0"/>
  </r>
  <r>
    <n v="13620"/>
    <x v="1"/>
    <x v="1"/>
    <n v="70000"/>
    <x v="1"/>
    <n v="0"/>
    <s v="Bachelors"/>
    <x v="2"/>
    <s v="No"/>
    <n v="3"/>
    <x v="4"/>
    <x v="1"/>
    <n v="30"/>
    <x v="2"/>
    <x v="1"/>
  </r>
  <r>
    <n v="22974"/>
    <x v="0"/>
    <x v="0"/>
    <n v="30000"/>
    <x v="0"/>
    <n v="2"/>
    <s v="Partial College"/>
    <x v="1"/>
    <s v="Yes"/>
    <n v="2"/>
    <x v="2"/>
    <x v="1"/>
    <n v="69"/>
    <x v="1"/>
    <x v="0"/>
  </r>
  <r>
    <n v="13586"/>
    <x v="0"/>
    <x v="1"/>
    <n v="80000"/>
    <x v="1"/>
    <n v="4"/>
    <s v="Partial College"/>
    <x v="2"/>
    <s v="Yes"/>
    <n v="2"/>
    <x v="4"/>
    <x v="0"/>
    <n v="53"/>
    <x v="0"/>
    <x v="0"/>
  </r>
  <r>
    <n v="17978"/>
    <x v="0"/>
    <x v="1"/>
    <n v="40000"/>
    <x v="0"/>
    <n v="0"/>
    <s v="Graduate Degree"/>
    <x v="1"/>
    <s v="Yes"/>
    <n v="0"/>
    <x v="0"/>
    <x v="0"/>
    <n v="37"/>
    <x v="0"/>
    <x v="1"/>
  </r>
  <r>
    <n v="12581"/>
    <x v="1"/>
    <x v="0"/>
    <n v="10000"/>
    <x v="0"/>
    <n v="0"/>
    <s v="Partial College"/>
    <x v="3"/>
    <s v="No"/>
    <n v="1"/>
    <x v="0"/>
    <x v="1"/>
    <n v="28"/>
    <x v="2"/>
    <x v="1"/>
  </r>
  <r>
    <n v="18018"/>
    <x v="1"/>
    <x v="1"/>
    <n v="30000"/>
    <x v="0"/>
    <n v="3"/>
    <s v="Partial College"/>
    <x v="1"/>
    <s v="Yes"/>
    <n v="0"/>
    <x v="0"/>
    <x v="0"/>
    <n v="43"/>
    <x v="0"/>
    <x v="0"/>
  </r>
  <r>
    <n v="28957"/>
    <x v="1"/>
    <x v="0"/>
    <n v="120000"/>
    <x v="2"/>
    <n v="0"/>
    <s v="Partial High School"/>
    <x v="2"/>
    <s v="Yes"/>
    <n v="4"/>
    <x v="4"/>
    <x v="1"/>
    <n v="34"/>
    <x v="2"/>
    <x v="1"/>
  </r>
  <r>
    <n v="13690"/>
    <x v="1"/>
    <x v="0"/>
    <n v="20000"/>
    <x v="0"/>
    <n v="0"/>
    <s v="Partial High School"/>
    <x v="3"/>
    <s v="No"/>
    <n v="2"/>
    <x v="3"/>
    <x v="0"/>
    <n v="34"/>
    <x v="2"/>
    <x v="1"/>
  </r>
  <r>
    <n v="12568"/>
    <x v="0"/>
    <x v="0"/>
    <n v="30000"/>
    <x v="0"/>
    <n v="1"/>
    <s v="Bachelors"/>
    <x v="1"/>
    <s v="Yes"/>
    <n v="0"/>
    <x v="0"/>
    <x v="0"/>
    <n v="64"/>
    <x v="1"/>
    <x v="0"/>
  </r>
  <r>
    <n v="13122"/>
    <x v="0"/>
    <x v="0"/>
    <n v="80000"/>
    <x v="1"/>
    <n v="0"/>
    <s v="Bachelors"/>
    <x v="2"/>
    <s v="Yes"/>
    <n v="1"/>
    <x v="3"/>
    <x v="1"/>
    <n v="41"/>
    <x v="0"/>
    <x v="1"/>
  </r>
  <r>
    <n v="21184"/>
    <x v="1"/>
    <x v="1"/>
    <n v="70000"/>
    <x v="1"/>
    <n v="0"/>
    <s v="Bachelors"/>
    <x v="2"/>
    <s v="No"/>
    <n v="1"/>
    <x v="2"/>
    <x v="1"/>
    <n v="38"/>
    <x v="0"/>
    <x v="0"/>
  </r>
  <r>
    <n v="26150"/>
    <x v="1"/>
    <x v="0"/>
    <n v="70000"/>
    <x v="1"/>
    <n v="0"/>
    <s v="Bachelors"/>
    <x v="2"/>
    <s v="No"/>
    <n v="1"/>
    <x v="0"/>
    <x v="1"/>
    <n v="41"/>
    <x v="0"/>
    <x v="1"/>
  </r>
  <r>
    <n v="24151"/>
    <x v="1"/>
    <x v="1"/>
    <n v="20000"/>
    <x v="0"/>
    <n v="1"/>
    <s v="Bachelors"/>
    <x v="1"/>
    <s v="No"/>
    <n v="0"/>
    <x v="0"/>
    <x v="0"/>
    <n v="51"/>
    <x v="0"/>
    <x v="0"/>
  </r>
  <r>
    <n v="23962"/>
    <x v="0"/>
    <x v="0"/>
    <n v="10000"/>
    <x v="0"/>
    <n v="0"/>
    <s v="Partial High School"/>
    <x v="3"/>
    <s v="Yes"/>
    <n v="2"/>
    <x v="3"/>
    <x v="0"/>
    <n v="32"/>
    <x v="2"/>
    <x v="0"/>
  </r>
  <r>
    <n v="17793"/>
    <x v="0"/>
    <x v="0"/>
    <n v="40000"/>
    <x v="0"/>
    <n v="0"/>
    <s v="Bachelors"/>
    <x v="1"/>
    <s v="Yes"/>
    <n v="0"/>
    <x v="0"/>
    <x v="0"/>
    <n v="38"/>
    <x v="0"/>
    <x v="1"/>
  </r>
  <r>
    <n v="14926"/>
    <x v="0"/>
    <x v="1"/>
    <n v="30000"/>
    <x v="0"/>
    <n v="1"/>
    <s v="Bachelors"/>
    <x v="1"/>
    <s v="Yes"/>
    <n v="0"/>
    <x v="0"/>
    <x v="0"/>
    <n v="38"/>
    <x v="0"/>
    <x v="1"/>
  </r>
  <r>
    <n v="16163"/>
    <x v="1"/>
    <x v="1"/>
    <n v="60000"/>
    <x v="1"/>
    <n v="2"/>
    <s v="Bachelors"/>
    <x v="2"/>
    <s v="Yes"/>
    <n v="1"/>
    <x v="1"/>
    <x v="1"/>
    <n v="38"/>
    <x v="0"/>
    <x v="1"/>
  </r>
  <r>
    <n v="21365"/>
    <x v="0"/>
    <x v="0"/>
    <n v="10000"/>
    <x v="0"/>
    <n v="2"/>
    <s v="Partial High School"/>
    <x v="1"/>
    <s v="Yes"/>
    <n v="2"/>
    <x v="2"/>
    <x v="1"/>
    <n v="58"/>
    <x v="1"/>
    <x v="0"/>
  </r>
  <r>
    <n v="27771"/>
    <x v="1"/>
    <x v="1"/>
    <n v="30000"/>
    <x v="0"/>
    <n v="1"/>
    <s v="Bachelors"/>
    <x v="1"/>
    <s v="Yes"/>
    <n v="1"/>
    <x v="3"/>
    <x v="0"/>
    <n v="39"/>
    <x v="0"/>
    <x v="1"/>
  </r>
  <r>
    <n v="26167"/>
    <x v="1"/>
    <x v="0"/>
    <n v="40000"/>
    <x v="0"/>
    <n v="2"/>
    <s v="Bachelors"/>
    <x v="4"/>
    <s v="No"/>
    <n v="1"/>
    <x v="2"/>
    <x v="1"/>
    <n v="53"/>
    <x v="0"/>
    <x v="1"/>
  </r>
  <r>
    <n v="25792"/>
    <x v="1"/>
    <x v="0"/>
    <n v="110000"/>
    <x v="2"/>
    <n v="3"/>
    <s v="Bachelors"/>
    <x v="4"/>
    <s v="Yes"/>
    <n v="4"/>
    <x v="4"/>
    <x v="0"/>
    <n v="53"/>
    <x v="0"/>
    <x v="0"/>
  </r>
  <r>
    <n v="11555"/>
    <x v="0"/>
    <x v="0"/>
    <n v="40000"/>
    <x v="0"/>
    <n v="1"/>
    <s v="Bachelors"/>
    <x v="1"/>
    <s v="Yes"/>
    <n v="0"/>
    <x v="0"/>
    <x v="0"/>
    <n v="80"/>
    <x v="1"/>
    <x v="0"/>
  </r>
  <r>
    <n v="22381"/>
    <x v="0"/>
    <x v="1"/>
    <n v="10000"/>
    <x v="0"/>
    <n v="1"/>
    <s v="Graduate Degree"/>
    <x v="3"/>
    <s v="Yes"/>
    <n v="0"/>
    <x v="0"/>
    <x v="0"/>
    <n v="44"/>
    <x v="0"/>
    <x v="0"/>
  </r>
  <r>
    <n v="17882"/>
    <x v="0"/>
    <x v="1"/>
    <n v="20000"/>
    <x v="0"/>
    <n v="1"/>
    <s v="Graduate Degree"/>
    <x v="1"/>
    <s v="Yes"/>
    <n v="0"/>
    <x v="0"/>
    <x v="0"/>
    <n v="44"/>
    <x v="0"/>
    <x v="0"/>
  </r>
  <r>
    <n v="22174"/>
    <x v="0"/>
    <x v="1"/>
    <n v="30000"/>
    <x v="0"/>
    <n v="3"/>
    <s v="High School"/>
    <x v="0"/>
    <s v="Yes"/>
    <n v="2"/>
    <x v="2"/>
    <x v="1"/>
    <n v="54"/>
    <x v="0"/>
    <x v="1"/>
  </r>
  <r>
    <n v="22439"/>
    <x v="0"/>
    <x v="0"/>
    <n v="30000"/>
    <x v="0"/>
    <n v="0"/>
    <s v="Bachelors"/>
    <x v="1"/>
    <s v="Yes"/>
    <n v="0"/>
    <x v="0"/>
    <x v="0"/>
    <n v="37"/>
    <x v="0"/>
    <x v="1"/>
  </r>
  <r>
    <n v="18012"/>
    <x v="0"/>
    <x v="0"/>
    <n v="40000"/>
    <x v="0"/>
    <n v="1"/>
    <s v="Bachelors"/>
    <x v="0"/>
    <s v="Yes"/>
    <n v="0"/>
    <x v="0"/>
    <x v="0"/>
    <n v="41"/>
    <x v="0"/>
    <x v="0"/>
  </r>
  <r>
    <n v="27582"/>
    <x v="1"/>
    <x v="0"/>
    <n v="90000"/>
    <x v="1"/>
    <n v="2"/>
    <s v="Bachelors"/>
    <x v="2"/>
    <s v="No"/>
    <n v="0"/>
    <x v="0"/>
    <x v="1"/>
    <n v="36"/>
    <x v="0"/>
    <x v="1"/>
  </r>
  <r>
    <n v="12744"/>
    <x v="1"/>
    <x v="0"/>
    <n v="40000"/>
    <x v="0"/>
    <n v="2"/>
    <s v="Partial College"/>
    <x v="1"/>
    <s v="Yes"/>
    <n v="0"/>
    <x v="0"/>
    <x v="0"/>
    <n v="33"/>
    <x v="2"/>
    <x v="0"/>
  </r>
  <r>
    <n v="22821"/>
    <x v="0"/>
    <x v="0"/>
    <n v="130000"/>
    <x v="2"/>
    <n v="3"/>
    <s v="Partial College"/>
    <x v="2"/>
    <s v="Yes"/>
    <n v="4"/>
    <x v="0"/>
    <x v="0"/>
    <n v="52"/>
    <x v="0"/>
    <x v="0"/>
  </r>
  <r>
    <n v="20171"/>
    <x v="0"/>
    <x v="0"/>
    <n v="20000"/>
    <x v="0"/>
    <n v="2"/>
    <s v="Partial College"/>
    <x v="3"/>
    <s v="Yes"/>
    <n v="1"/>
    <x v="0"/>
    <x v="0"/>
    <n v="46"/>
    <x v="0"/>
    <x v="1"/>
  </r>
  <r>
    <n v="11116"/>
    <x v="0"/>
    <x v="1"/>
    <n v="70000"/>
    <x v="1"/>
    <n v="5"/>
    <s v="Partial College"/>
    <x v="0"/>
    <s v="Yes"/>
    <n v="2"/>
    <x v="2"/>
    <x v="1"/>
    <n v="43"/>
    <x v="0"/>
    <x v="0"/>
  </r>
  <r>
    <n v="20053"/>
    <x v="1"/>
    <x v="1"/>
    <n v="40000"/>
    <x v="0"/>
    <n v="2"/>
    <s v="Partial College"/>
    <x v="1"/>
    <s v="Yes"/>
    <n v="0"/>
    <x v="0"/>
    <x v="0"/>
    <n v="34"/>
    <x v="2"/>
    <x v="0"/>
  </r>
  <r>
    <n v="25266"/>
    <x v="1"/>
    <x v="0"/>
    <n v="30000"/>
    <x v="0"/>
    <n v="2"/>
    <s v="Partial College"/>
    <x v="1"/>
    <s v="No"/>
    <n v="2"/>
    <x v="2"/>
    <x v="1"/>
    <n v="67"/>
    <x v="1"/>
    <x v="0"/>
  </r>
  <r>
    <n v="17960"/>
    <x v="0"/>
    <x v="0"/>
    <n v="40000"/>
    <x v="0"/>
    <n v="0"/>
    <s v="Graduate Degree"/>
    <x v="1"/>
    <s v="Yes"/>
    <n v="0"/>
    <x v="0"/>
    <x v="0"/>
    <n v="35"/>
    <x v="0"/>
    <x v="1"/>
  </r>
  <r>
    <n v="13961"/>
    <x v="0"/>
    <x v="0"/>
    <n v="80000"/>
    <x v="1"/>
    <n v="5"/>
    <s v="Graduate Degree"/>
    <x v="4"/>
    <s v="Yes"/>
    <n v="3"/>
    <x v="0"/>
    <x v="1"/>
    <n v="40"/>
    <x v="0"/>
    <x v="0"/>
  </r>
  <r>
    <n v="11897"/>
    <x v="1"/>
    <x v="1"/>
    <n v="60000"/>
    <x v="1"/>
    <n v="2"/>
    <s v="Bachelors"/>
    <x v="2"/>
    <s v="No"/>
    <n v="1"/>
    <x v="0"/>
    <x v="1"/>
    <n v="37"/>
    <x v="0"/>
    <x v="1"/>
  </r>
  <r>
    <n v="11139"/>
    <x v="1"/>
    <x v="0"/>
    <n v="30000"/>
    <x v="0"/>
    <n v="2"/>
    <s v="Partial College"/>
    <x v="1"/>
    <s v="No"/>
    <n v="2"/>
    <x v="2"/>
    <x v="1"/>
    <n v="67"/>
    <x v="1"/>
    <x v="0"/>
  </r>
  <r>
    <n v="11576"/>
    <x v="0"/>
    <x v="1"/>
    <n v="30000"/>
    <x v="0"/>
    <n v="1"/>
    <s v="Bachelors"/>
    <x v="0"/>
    <s v="Yes"/>
    <n v="2"/>
    <x v="0"/>
    <x v="0"/>
    <n v="41"/>
    <x v="0"/>
    <x v="1"/>
  </r>
  <r>
    <n v="19255"/>
    <x v="1"/>
    <x v="1"/>
    <n v="10000"/>
    <x v="0"/>
    <n v="2"/>
    <s v="Partial College"/>
    <x v="3"/>
    <s v="Yes"/>
    <n v="1"/>
    <x v="0"/>
    <x v="0"/>
    <n v="51"/>
    <x v="0"/>
    <x v="1"/>
  </r>
  <r>
    <n v="18153"/>
    <x v="0"/>
    <x v="0"/>
    <n v="100000"/>
    <x v="2"/>
    <n v="2"/>
    <s v="Bachelors"/>
    <x v="4"/>
    <s v="Yes"/>
    <n v="4"/>
    <x v="4"/>
    <x v="0"/>
    <n v="59"/>
    <x v="1"/>
    <x v="0"/>
  </r>
  <r>
    <n v="14547"/>
    <x v="0"/>
    <x v="1"/>
    <n v="10000"/>
    <x v="0"/>
    <n v="2"/>
    <s v="Partial College"/>
    <x v="3"/>
    <s v="Yes"/>
    <n v="0"/>
    <x v="3"/>
    <x v="0"/>
    <n v="51"/>
    <x v="0"/>
    <x v="0"/>
  </r>
  <r>
    <n v="24901"/>
    <x v="1"/>
    <x v="1"/>
    <n v="110000"/>
    <x v="2"/>
    <n v="0"/>
    <s v="Partial College"/>
    <x v="4"/>
    <s v="No"/>
    <n v="3"/>
    <x v="4"/>
    <x v="1"/>
    <n v="32"/>
    <x v="2"/>
    <x v="1"/>
  </r>
  <r>
    <n v="27169"/>
    <x v="1"/>
    <x v="1"/>
    <n v="30000"/>
    <x v="0"/>
    <n v="0"/>
    <s v="High School"/>
    <x v="3"/>
    <s v="Yes"/>
    <n v="1"/>
    <x v="1"/>
    <x v="0"/>
    <n v="34"/>
    <x v="2"/>
    <x v="1"/>
  </r>
  <r>
    <n v="14805"/>
    <x v="1"/>
    <x v="0"/>
    <n v="10000"/>
    <x v="0"/>
    <n v="3"/>
    <s v="Partial High School"/>
    <x v="3"/>
    <s v="Yes"/>
    <n v="2"/>
    <x v="0"/>
    <x v="0"/>
    <n v="43"/>
    <x v="0"/>
    <x v="0"/>
  </r>
  <r>
    <n v="15822"/>
    <x v="0"/>
    <x v="1"/>
    <n v="40000"/>
    <x v="0"/>
    <n v="2"/>
    <s v="Bachelors"/>
    <x v="4"/>
    <s v="Yes"/>
    <n v="2"/>
    <x v="0"/>
    <x v="1"/>
    <n v="67"/>
    <x v="1"/>
    <x v="0"/>
  </r>
  <r>
    <n v="19389"/>
    <x v="1"/>
    <x v="1"/>
    <n v="30000"/>
    <x v="0"/>
    <n v="0"/>
    <s v="Partial College"/>
    <x v="1"/>
    <s v="No"/>
    <n v="1"/>
    <x v="1"/>
    <x v="0"/>
    <n v="28"/>
    <x v="2"/>
    <x v="0"/>
  </r>
  <r>
    <n v="17048"/>
    <x v="1"/>
    <x v="0"/>
    <n v="90000"/>
    <x v="1"/>
    <n v="1"/>
    <s v="Graduate Degree"/>
    <x v="4"/>
    <s v="Yes"/>
    <n v="0"/>
    <x v="0"/>
    <x v="1"/>
    <n v="36"/>
    <x v="0"/>
    <x v="1"/>
  </r>
  <r>
    <n v="22204"/>
    <x v="0"/>
    <x v="1"/>
    <n v="110000"/>
    <x v="2"/>
    <n v="4"/>
    <s v="Bachelors"/>
    <x v="4"/>
    <s v="Yes"/>
    <n v="3"/>
    <x v="1"/>
    <x v="1"/>
    <n v="48"/>
    <x v="0"/>
    <x v="0"/>
  </r>
  <r>
    <n v="12718"/>
    <x v="1"/>
    <x v="0"/>
    <n v="30000"/>
    <x v="0"/>
    <n v="0"/>
    <s v="Partial College"/>
    <x v="1"/>
    <s v="Yes"/>
    <n v="1"/>
    <x v="1"/>
    <x v="0"/>
    <n v="31"/>
    <x v="2"/>
    <x v="0"/>
  </r>
  <r>
    <n v="15019"/>
    <x v="1"/>
    <x v="0"/>
    <n v="30000"/>
    <x v="0"/>
    <n v="3"/>
    <s v="High School"/>
    <x v="0"/>
    <s v="Yes"/>
    <n v="2"/>
    <x v="2"/>
    <x v="1"/>
    <n v="55"/>
    <x v="1"/>
    <x v="0"/>
  </r>
  <r>
    <n v="28488"/>
    <x v="1"/>
    <x v="1"/>
    <n v="20000"/>
    <x v="0"/>
    <n v="0"/>
    <s v="Partial College"/>
    <x v="3"/>
    <s v="Yes"/>
    <n v="0"/>
    <x v="0"/>
    <x v="1"/>
    <n v="28"/>
    <x v="2"/>
    <x v="1"/>
  </r>
  <r>
    <n v="21891"/>
    <x v="0"/>
    <x v="0"/>
    <n v="110000"/>
    <x v="2"/>
    <n v="0"/>
    <s v="High School"/>
    <x v="4"/>
    <s v="Yes"/>
    <n v="3"/>
    <x v="4"/>
    <x v="1"/>
    <n v="34"/>
    <x v="2"/>
    <x v="1"/>
  </r>
  <r>
    <n v="27814"/>
    <x v="1"/>
    <x v="0"/>
    <n v="30000"/>
    <x v="0"/>
    <n v="3"/>
    <s v="Partial College"/>
    <x v="1"/>
    <s v="No"/>
    <n v="1"/>
    <x v="0"/>
    <x v="0"/>
    <n v="26"/>
    <x v="2"/>
    <x v="0"/>
  </r>
  <r>
    <n v="22175"/>
    <x v="0"/>
    <x v="0"/>
    <n v="30000"/>
    <x v="0"/>
    <n v="3"/>
    <s v="High School"/>
    <x v="0"/>
    <s v="Yes"/>
    <n v="2"/>
    <x v="2"/>
    <x v="1"/>
    <n v="53"/>
    <x v="0"/>
    <x v="1"/>
  </r>
  <r>
    <n v="29447"/>
    <x v="1"/>
    <x v="0"/>
    <n v="10000"/>
    <x v="0"/>
    <n v="2"/>
    <s v="Bachelors"/>
    <x v="1"/>
    <s v="No"/>
    <n v="1"/>
    <x v="1"/>
    <x v="0"/>
    <n v="68"/>
    <x v="1"/>
    <x v="0"/>
  </r>
  <r>
    <n v="19784"/>
    <x v="0"/>
    <x v="0"/>
    <n v="80000"/>
    <x v="1"/>
    <n v="2"/>
    <s v="High School"/>
    <x v="0"/>
    <s v="Yes"/>
    <n v="2"/>
    <x v="2"/>
    <x v="1"/>
    <n v="50"/>
    <x v="0"/>
    <x v="1"/>
  </r>
  <r>
    <n v="27824"/>
    <x v="1"/>
    <x v="0"/>
    <n v="30000"/>
    <x v="0"/>
    <n v="3"/>
    <s v="Partial College"/>
    <x v="1"/>
    <s v="Yes"/>
    <n v="2"/>
    <x v="0"/>
    <x v="0"/>
    <n v="28"/>
    <x v="2"/>
    <x v="1"/>
  </r>
  <r>
    <n v="24093"/>
    <x v="1"/>
    <x v="0"/>
    <n v="80000"/>
    <x v="1"/>
    <n v="0"/>
    <s v="Graduate Degree"/>
    <x v="0"/>
    <s v="No"/>
    <n v="0"/>
    <x v="0"/>
    <x v="0"/>
    <n v="40"/>
    <x v="0"/>
    <x v="1"/>
  </r>
  <r>
    <n v="19618"/>
    <x v="0"/>
    <x v="1"/>
    <n v="70000"/>
    <x v="1"/>
    <n v="5"/>
    <s v="Partial College"/>
    <x v="0"/>
    <s v="Yes"/>
    <n v="2"/>
    <x v="0"/>
    <x v="1"/>
    <n v="44"/>
    <x v="0"/>
    <x v="0"/>
  </r>
  <r>
    <n v="21561"/>
    <x v="1"/>
    <x v="1"/>
    <n v="90000"/>
    <x v="1"/>
    <n v="0"/>
    <s v="Bachelors"/>
    <x v="2"/>
    <s v="No"/>
    <n v="3"/>
    <x v="4"/>
    <x v="1"/>
    <n v="34"/>
    <x v="2"/>
    <x v="1"/>
  </r>
  <r>
    <n v="11061"/>
    <x v="0"/>
    <x v="1"/>
    <n v="70000"/>
    <x v="1"/>
    <n v="2"/>
    <s v="Partial College"/>
    <x v="0"/>
    <s v="Yes"/>
    <n v="2"/>
    <x v="2"/>
    <x v="1"/>
    <n v="52"/>
    <x v="0"/>
    <x v="1"/>
  </r>
  <r>
    <n v="26651"/>
    <x v="1"/>
    <x v="1"/>
    <n v="80000"/>
    <x v="1"/>
    <n v="4"/>
    <s v="Graduate Degree"/>
    <x v="4"/>
    <s v="Yes"/>
    <n v="0"/>
    <x v="0"/>
    <x v="1"/>
    <n v="36"/>
    <x v="0"/>
    <x v="1"/>
  </r>
  <r>
    <n v="21108"/>
    <x v="0"/>
    <x v="0"/>
    <n v="40000"/>
    <x v="0"/>
    <n v="1"/>
    <s v="Bachelors"/>
    <x v="0"/>
    <s v="Yes"/>
    <n v="1"/>
    <x v="0"/>
    <x v="0"/>
    <n v="43"/>
    <x v="0"/>
    <x v="1"/>
  </r>
  <r>
    <n v="12731"/>
    <x v="1"/>
    <x v="1"/>
    <n v="30000"/>
    <x v="0"/>
    <n v="0"/>
    <s v="High School"/>
    <x v="3"/>
    <s v="No"/>
    <n v="1"/>
    <x v="3"/>
    <x v="0"/>
    <n v="32"/>
    <x v="2"/>
    <x v="0"/>
  </r>
  <r>
    <n v="25307"/>
    <x v="0"/>
    <x v="0"/>
    <n v="40000"/>
    <x v="0"/>
    <n v="1"/>
    <s v="Bachelors"/>
    <x v="0"/>
    <s v="Yes"/>
    <n v="1"/>
    <x v="3"/>
    <x v="0"/>
    <n v="32"/>
    <x v="2"/>
    <x v="1"/>
  </r>
  <r>
    <n v="14278"/>
    <x v="0"/>
    <x v="0"/>
    <n v="130000"/>
    <x v="2"/>
    <n v="0"/>
    <s v="Graduate Degree"/>
    <x v="4"/>
    <s v="Yes"/>
    <n v="1"/>
    <x v="4"/>
    <x v="1"/>
    <n v="48"/>
    <x v="0"/>
    <x v="0"/>
  </r>
  <r>
    <n v="20711"/>
    <x v="0"/>
    <x v="0"/>
    <n v="40000"/>
    <x v="0"/>
    <n v="1"/>
    <s v="Bachelors"/>
    <x v="0"/>
    <s v="Yes"/>
    <n v="0"/>
    <x v="3"/>
    <x v="0"/>
    <n v="32"/>
    <x v="2"/>
    <x v="1"/>
  </r>
  <r>
    <n v="11383"/>
    <x v="0"/>
    <x v="0"/>
    <n v="30000"/>
    <x v="0"/>
    <n v="3"/>
    <s v="Graduate Degree"/>
    <x v="1"/>
    <s v="Yes"/>
    <n v="0"/>
    <x v="0"/>
    <x v="0"/>
    <n v="46"/>
    <x v="0"/>
    <x v="0"/>
  </r>
  <r>
    <n v="12497"/>
    <x v="0"/>
    <x v="0"/>
    <n v="40000"/>
    <x v="0"/>
    <n v="1"/>
    <s v="Bachelors"/>
    <x v="0"/>
    <s v="Yes"/>
    <n v="0"/>
    <x v="0"/>
    <x v="0"/>
    <n v="42"/>
    <x v="0"/>
    <x v="0"/>
  </r>
  <r>
    <n v="16559"/>
    <x v="1"/>
    <x v="0"/>
    <n v="10000"/>
    <x v="0"/>
    <n v="2"/>
    <s v="High School"/>
    <x v="3"/>
    <s v="Yes"/>
    <n v="0"/>
    <x v="0"/>
    <x v="0"/>
    <n v="36"/>
    <x v="0"/>
    <x v="1"/>
  </r>
  <r>
    <n v="11585"/>
    <x v="0"/>
    <x v="0"/>
    <n v="40000"/>
    <x v="0"/>
    <n v="1"/>
    <s v="Bachelors"/>
    <x v="0"/>
    <s v="Yes"/>
    <n v="0"/>
    <x v="0"/>
    <x v="0"/>
    <n v="41"/>
    <x v="0"/>
    <x v="0"/>
  </r>
  <r>
    <n v="20277"/>
    <x v="0"/>
    <x v="0"/>
    <n v="30000"/>
    <x v="0"/>
    <n v="2"/>
    <s v="Partial College"/>
    <x v="1"/>
    <s v="No"/>
    <n v="2"/>
    <x v="0"/>
    <x v="1"/>
    <n v="69"/>
    <x v="1"/>
    <x v="0"/>
  </r>
  <r>
    <n v="26765"/>
    <x v="1"/>
    <x v="0"/>
    <n v="70000"/>
    <x v="1"/>
    <n v="5"/>
    <s v="Partial College"/>
    <x v="0"/>
    <s v="Yes"/>
    <n v="2"/>
    <x v="2"/>
    <x v="1"/>
    <n v="45"/>
    <x v="0"/>
    <x v="0"/>
  </r>
  <r>
    <n v="12389"/>
    <x v="1"/>
    <x v="1"/>
    <n v="30000"/>
    <x v="0"/>
    <n v="0"/>
    <s v="High School"/>
    <x v="3"/>
    <s v="No"/>
    <n v="1"/>
    <x v="1"/>
    <x v="0"/>
    <n v="34"/>
    <x v="2"/>
    <x v="0"/>
  </r>
  <r>
    <n v="13585"/>
    <x v="0"/>
    <x v="0"/>
    <n v="80000"/>
    <x v="1"/>
    <n v="4"/>
    <s v="Partial College"/>
    <x v="2"/>
    <s v="No"/>
    <n v="1"/>
    <x v="1"/>
    <x v="0"/>
    <n v="53"/>
    <x v="0"/>
    <x v="1"/>
  </r>
  <r>
    <n v="26385"/>
    <x v="1"/>
    <x v="1"/>
    <n v="120000"/>
    <x v="2"/>
    <n v="3"/>
    <s v="High School"/>
    <x v="2"/>
    <s v="No"/>
    <n v="4"/>
    <x v="2"/>
    <x v="0"/>
    <n v="50"/>
    <x v="0"/>
    <x v="0"/>
  </r>
  <r>
    <n v="12236"/>
    <x v="0"/>
    <x v="0"/>
    <n v="20000"/>
    <x v="0"/>
    <n v="1"/>
    <s v="Partial College"/>
    <x v="3"/>
    <s v="Yes"/>
    <n v="0"/>
    <x v="0"/>
    <x v="0"/>
    <n v="65"/>
    <x v="1"/>
    <x v="0"/>
  </r>
  <r>
    <n v="21560"/>
    <x v="0"/>
    <x v="1"/>
    <n v="120000"/>
    <x v="2"/>
    <n v="0"/>
    <s v="Partial High School"/>
    <x v="2"/>
    <s v="Yes"/>
    <n v="4"/>
    <x v="4"/>
    <x v="1"/>
    <n v="32"/>
    <x v="2"/>
    <x v="1"/>
  </r>
  <r>
    <n v="21554"/>
    <x v="1"/>
    <x v="0"/>
    <n v="80000"/>
    <x v="1"/>
    <n v="0"/>
    <s v="Bachelors"/>
    <x v="2"/>
    <s v="No"/>
    <n v="3"/>
    <x v="4"/>
    <x v="1"/>
    <n v="33"/>
    <x v="2"/>
    <x v="0"/>
  </r>
  <r>
    <n v="13662"/>
    <x v="1"/>
    <x v="1"/>
    <n v="20000"/>
    <x v="0"/>
    <n v="0"/>
    <s v="Partial High School"/>
    <x v="3"/>
    <s v="Yes"/>
    <n v="2"/>
    <x v="3"/>
    <x v="0"/>
    <n v="31"/>
    <x v="2"/>
    <x v="1"/>
  </r>
  <r>
    <n v="13089"/>
    <x v="0"/>
    <x v="0"/>
    <n v="120000"/>
    <x v="2"/>
    <n v="1"/>
    <s v="Bachelors"/>
    <x v="4"/>
    <s v="Yes"/>
    <n v="2"/>
    <x v="0"/>
    <x v="1"/>
    <n v="46"/>
    <x v="0"/>
    <x v="1"/>
  </r>
  <r>
    <n v="14791"/>
    <x v="0"/>
    <x v="0"/>
    <n v="40000"/>
    <x v="0"/>
    <n v="0"/>
    <s v="Bachelors"/>
    <x v="1"/>
    <s v="Yes"/>
    <n v="0"/>
    <x v="0"/>
    <x v="0"/>
    <n v="39"/>
    <x v="0"/>
    <x v="1"/>
  </r>
  <r>
    <n v="19331"/>
    <x v="1"/>
    <x v="1"/>
    <n v="20000"/>
    <x v="0"/>
    <n v="2"/>
    <s v="High School"/>
    <x v="3"/>
    <s v="Yes"/>
    <n v="1"/>
    <x v="0"/>
    <x v="0"/>
    <n v="40"/>
    <x v="0"/>
    <x v="0"/>
  </r>
  <r>
    <n v="17754"/>
    <x v="1"/>
    <x v="0"/>
    <n v="30000"/>
    <x v="0"/>
    <n v="3"/>
    <s v="Bachelors"/>
    <x v="1"/>
    <s v="Yes"/>
    <n v="0"/>
    <x v="0"/>
    <x v="0"/>
    <n v="46"/>
    <x v="0"/>
    <x v="1"/>
  </r>
  <r>
    <n v="11149"/>
    <x v="0"/>
    <x v="1"/>
    <n v="40000"/>
    <x v="0"/>
    <n v="2"/>
    <s v="Bachelors"/>
    <x v="4"/>
    <s v="Yes"/>
    <n v="2"/>
    <x v="0"/>
    <x v="1"/>
    <n v="65"/>
    <x v="1"/>
    <x v="0"/>
  </r>
  <r>
    <n v="16549"/>
    <x v="1"/>
    <x v="0"/>
    <n v="30000"/>
    <x v="0"/>
    <n v="3"/>
    <s v="Bachelors"/>
    <x v="1"/>
    <s v="Yes"/>
    <n v="0"/>
    <x v="0"/>
    <x v="0"/>
    <n v="47"/>
    <x v="0"/>
    <x v="1"/>
  </r>
  <r>
    <n v="24305"/>
    <x v="1"/>
    <x v="1"/>
    <n v="100000"/>
    <x v="2"/>
    <n v="1"/>
    <s v="Bachelors"/>
    <x v="4"/>
    <s v="No"/>
    <n v="3"/>
    <x v="0"/>
    <x v="1"/>
    <n v="46"/>
    <x v="0"/>
    <x v="1"/>
  </r>
  <r>
    <n v="18253"/>
    <x v="0"/>
    <x v="0"/>
    <n v="80000"/>
    <x v="1"/>
    <n v="5"/>
    <s v="Graduate Degree"/>
    <x v="4"/>
    <s v="Yes"/>
    <n v="3"/>
    <x v="0"/>
    <x v="1"/>
    <n v="40"/>
    <x v="0"/>
    <x v="0"/>
  </r>
  <r>
    <n v="20147"/>
    <x v="0"/>
    <x v="0"/>
    <n v="30000"/>
    <x v="0"/>
    <n v="1"/>
    <s v="Bachelors"/>
    <x v="1"/>
    <s v="Yes"/>
    <n v="0"/>
    <x v="0"/>
    <x v="0"/>
    <n v="65"/>
    <x v="1"/>
    <x v="0"/>
  </r>
  <r>
    <n v="15612"/>
    <x v="1"/>
    <x v="1"/>
    <n v="30000"/>
    <x v="0"/>
    <n v="0"/>
    <s v="High School"/>
    <x v="3"/>
    <s v="No"/>
    <n v="1"/>
    <x v="3"/>
    <x v="0"/>
    <n v="28"/>
    <x v="2"/>
    <x v="0"/>
  </r>
  <r>
    <n v="28323"/>
    <x v="1"/>
    <x v="1"/>
    <n v="70000"/>
    <x v="1"/>
    <n v="0"/>
    <s v="Bachelors"/>
    <x v="2"/>
    <s v="No"/>
    <n v="2"/>
    <x v="2"/>
    <x v="1"/>
    <n v="43"/>
    <x v="0"/>
    <x v="1"/>
  </r>
  <r>
    <n v="22634"/>
    <x v="1"/>
    <x v="0"/>
    <n v="40000"/>
    <x v="0"/>
    <n v="0"/>
    <s v="Graduate Degree"/>
    <x v="1"/>
    <s v="Yes"/>
    <n v="0"/>
    <x v="0"/>
    <x v="0"/>
    <n v="38"/>
    <x v="0"/>
    <x v="1"/>
  </r>
  <r>
    <n v="15665"/>
    <x v="0"/>
    <x v="0"/>
    <n v="30000"/>
    <x v="0"/>
    <n v="0"/>
    <s v="Bachelors"/>
    <x v="1"/>
    <s v="Yes"/>
    <n v="0"/>
    <x v="0"/>
    <x v="0"/>
    <n v="47"/>
    <x v="0"/>
    <x v="1"/>
  </r>
  <r>
    <n v="27585"/>
    <x v="0"/>
    <x v="0"/>
    <n v="90000"/>
    <x v="1"/>
    <n v="2"/>
    <s v="Bachelors"/>
    <x v="2"/>
    <s v="No"/>
    <n v="0"/>
    <x v="0"/>
    <x v="1"/>
    <n v="36"/>
    <x v="0"/>
    <x v="1"/>
  </r>
  <r>
    <n v="19748"/>
    <x v="0"/>
    <x v="1"/>
    <n v="20000"/>
    <x v="0"/>
    <n v="4"/>
    <s v="High School"/>
    <x v="0"/>
    <s v="No"/>
    <n v="2"/>
    <x v="3"/>
    <x v="1"/>
    <n v="60"/>
    <x v="1"/>
    <x v="0"/>
  </r>
  <r>
    <n v="21974"/>
    <x v="1"/>
    <x v="0"/>
    <n v="70000"/>
    <x v="1"/>
    <n v="0"/>
    <s v="Bachelors"/>
    <x v="2"/>
    <s v="Yes"/>
    <n v="1"/>
    <x v="2"/>
    <x v="1"/>
    <n v="42"/>
    <x v="0"/>
    <x v="1"/>
  </r>
  <r>
    <n v="14032"/>
    <x v="0"/>
    <x v="1"/>
    <n v="70000"/>
    <x v="1"/>
    <n v="2"/>
    <s v="High School"/>
    <x v="0"/>
    <s v="No"/>
    <n v="2"/>
    <x v="3"/>
    <x v="1"/>
    <n v="50"/>
    <x v="0"/>
    <x v="1"/>
  </r>
  <r>
    <n v="22610"/>
    <x v="0"/>
    <x v="1"/>
    <n v="30000"/>
    <x v="0"/>
    <n v="0"/>
    <s v="Bachelors"/>
    <x v="1"/>
    <s v="Yes"/>
    <n v="0"/>
    <x v="0"/>
    <x v="0"/>
    <n v="35"/>
    <x v="0"/>
    <x v="1"/>
  </r>
  <r>
    <n v="26984"/>
    <x v="0"/>
    <x v="1"/>
    <n v="40000"/>
    <x v="0"/>
    <n v="1"/>
    <s v="Bachelors"/>
    <x v="0"/>
    <s v="Yes"/>
    <n v="1"/>
    <x v="0"/>
    <x v="0"/>
    <n v="32"/>
    <x v="2"/>
    <x v="1"/>
  </r>
  <r>
    <n v="18294"/>
    <x v="0"/>
    <x v="0"/>
    <n v="90000"/>
    <x v="1"/>
    <n v="1"/>
    <s v="Bachelors"/>
    <x v="2"/>
    <s v="Yes"/>
    <n v="1"/>
    <x v="2"/>
    <x v="1"/>
    <n v="46"/>
    <x v="0"/>
    <x v="0"/>
  </r>
  <r>
    <n v="28564"/>
    <x v="1"/>
    <x v="0"/>
    <n v="40000"/>
    <x v="0"/>
    <n v="2"/>
    <s v="Partial College"/>
    <x v="1"/>
    <s v="Yes"/>
    <n v="0"/>
    <x v="3"/>
    <x v="0"/>
    <n v="33"/>
    <x v="2"/>
    <x v="1"/>
  </r>
  <r>
    <n v="28521"/>
    <x v="1"/>
    <x v="1"/>
    <n v="40000"/>
    <x v="0"/>
    <n v="0"/>
    <s v="Graduate Degree"/>
    <x v="1"/>
    <s v="No"/>
    <n v="0"/>
    <x v="0"/>
    <x v="0"/>
    <n v="36"/>
    <x v="0"/>
    <x v="1"/>
  </r>
  <r>
    <n v="15450"/>
    <x v="0"/>
    <x v="1"/>
    <n v="10000"/>
    <x v="0"/>
    <n v="1"/>
    <s v="Graduate Degree"/>
    <x v="1"/>
    <s v="Yes"/>
    <n v="0"/>
    <x v="0"/>
    <x v="0"/>
    <n v="70"/>
    <x v="1"/>
    <x v="0"/>
  </r>
  <r>
    <n v="25681"/>
    <x v="1"/>
    <x v="0"/>
    <n v="30000"/>
    <x v="0"/>
    <n v="0"/>
    <s v="Partial College"/>
    <x v="1"/>
    <s v="No"/>
    <n v="1"/>
    <x v="1"/>
    <x v="0"/>
    <n v="31"/>
    <x v="2"/>
    <x v="1"/>
  </r>
  <r>
    <n v="19491"/>
    <x v="1"/>
    <x v="1"/>
    <n v="30000"/>
    <x v="0"/>
    <n v="2"/>
    <s v="Partial College"/>
    <x v="1"/>
    <s v="Yes"/>
    <n v="2"/>
    <x v="0"/>
    <x v="0"/>
    <n v="42"/>
    <x v="0"/>
    <x v="0"/>
  </r>
  <r>
    <n v="26415"/>
    <x v="0"/>
    <x v="0"/>
    <n v="90000"/>
    <x v="1"/>
    <n v="4"/>
    <s v="Partial High School"/>
    <x v="0"/>
    <s v="Yes"/>
    <n v="4"/>
    <x v="4"/>
    <x v="0"/>
    <n v="58"/>
    <x v="1"/>
    <x v="0"/>
  </r>
  <r>
    <n v="12821"/>
    <x v="0"/>
    <x v="1"/>
    <n v="40000"/>
    <x v="0"/>
    <n v="0"/>
    <s v="Bachelors"/>
    <x v="1"/>
    <s v="Yes"/>
    <n v="0"/>
    <x v="0"/>
    <x v="0"/>
    <n v="39"/>
    <x v="0"/>
    <x v="0"/>
  </r>
  <r>
    <n v="15629"/>
    <x v="1"/>
    <x v="0"/>
    <n v="10000"/>
    <x v="0"/>
    <n v="0"/>
    <s v="Partial High School"/>
    <x v="3"/>
    <s v="Yes"/>
    <n v="2"/>
    <x v="3"/>
    <x v="0"/>
    <n v="34"/>
    <x v="2"/>
    <x v="0"/>
  </r>
  <r>
    <n v="27835"/>
    <x v="0"/>
    <x v="1"/>
    <n v="20000"/>
    <x v="0"/>
    <n v="0"/>
    <s v="Partial High School"/>
    <x v="3"/>
    <s v="Yes"/>
    <n v="2"/>
    <x v="0"/>
    <x v="0"/>
    <n v="32"/>
    <x v="2"/>
    <x v="0"/>
  </r>
  <r>
    <n v="11738"/>
    <x v="0"/>
    <x v="1"/>
    <n v="60000"/>
    <x v="1"/>
    <n v="4"/>
    <s v="Bachelors"/>
    <x v="2"/>
    <s v="Yes"/>
    <n v="0"/>
    <x v="1"/>
    <x v="2"/>
    <n v="46"/>
    <x v="0"/>
    <x v="0"/>
  </r>
  <r>
    <n v="25065"/>
    <x v="0"/>
    <x v="1"/>
    <n v="70000"/>
    <x v="1"/>
    <n v="2"/>
    <s v="Partial High School"/>
    <x v="0"/>
    <s v="Yes"/>
    <n v="2"/>
    <x v="2"/>
    <x v="2"/>
    <n v="48"/>
    <x v="0"/>
    <x v="0"/>
  </r>
  <r>
    <n v="26238"/>
    <x v="1"/>
    <x v="0"/>
    <n v="40000"/>
    <x v="0"/>
    <n v="3"/>
    <s v="Partial College"/>
    <x v="1"/>
    <s v="Yes"/>
    <n v="1"/>
    <x v="3"/>
    <x v="2"/>
    <n v="31"/>
    <x v="2"/>
    <x v="1"/>
  </r>
  <r>
    <n v="23707"/>
    <x v="1"/>
    <x v="1"/>
    <n v="70000"/>
    <x v="1"/>
    <n v="5"/>
    <s v="Bachelors"/>
    <x v="4"/>
    <s v="Yes"/>
    <n v="3"/>
    <x v="4"/>
    <x v="2"/>
    <n v="60"/>
    <x v="1"/>
    <x v="1"/>
  </r>
  <r>
    <n v="27650"/>
    <x v="0"/>
    <x v="1"/>
    <n v="70000"/>
    <x v="1"/>
    <n v="4"/>
    <s v="High School"/>
    <x v="2"/>
    <s v="Yes"/>
    <n v="0"/>
    <x v="2"/>
    <x v="2"/>
    <n v="51"/>
    <x v="0"/>
    <x v="0"/>
  </r>
  <r>
    <n v="24981"/>
    <x v="0"/>
    <x v="1"/>
    <n v="60000"/>
    <x v="1"/>
    <n v="2"/>
    <s v="Partial College"/>
    <x v="2"/>
    <s v="Yes"/>
    <n v="2"/>
    <x v="4"/>
    <x v="2"/>
    <n v="56"/>
    <x v="1"/>
    <x v="0"/>
  </r>
  <r>
    <n v="20678"/>
    <x v="1"/>
    <x v="0"/>
    <n v="60000"/>
    <x v="1"/>
    <n v="3"/>
    <s v="Bachelors"/>
    <x v="0"/>
    <s v="Yes"/>
    <n v="1"/>
    <x v="1"/>
    <x v="2"/>
    <n v="40"/>
    <x v="0"/>
    <x v="1"/>
  </r>
  <r>
    <n v="15302"/>
    <x v="1"/>
    <x v="0"/>
    <n v="70000"/>
    <x v="1"/>
    <n v="1"/>
    <s v="Graduate Degree"/>
    <x v="2"/>
    <s v="Yes"/>
    <n v="0"/>
    <x v="1"/>
    <x v="2"/>
    <n v="34"/>
    <x v="2"/>
    <x v="1"/>
  </r>
  <r>
    <n v="26012"/>
    <x v="0"/>
    <x v="1"/>
    <n v="80000"/>
    <x v="1"/>
    <n v="1"/>
    <s v="Partial College"/>
    <x v="0"/>
    <s v="Yes"/>
    <n v="1"/>
    <x v="1"/>
    <x v="2"/>
    <n v="48"/>
    <x v="0"/>
    <x v="1"/>
  </r>
  <r>
    <n v="26575"/>
    <x v="1"/>
    <x v="0"/>
    <n v="40000"/>
    <x v="0"/>
    <n v="0"/>
    <s v="High School"/>
    <x v="0"/>
    <s v="No"/>
    <n v="2"/>
    <x v="3"/>
    <x v="2"/>
    <n v="31"/>
    <x v="2"/>
    <x v="1"/>
  </r>
  <r>
    <n v="15559"/>
    <x v="0"/>
    <x v="1"/>
    <n v="60000"/>
    <x v="1"/>
    <n v="5"/>
    <s v="Bachelors"/>
    <x v="2"/>
    <s v="Yes"/>
    <n v="1"/>
    <x v="1"/>
    <x v="2"/>
    <n v="47"/>
    <x v="0"/>
    <x v="0"/>
  </r>
  <r>
    <n v="19235"/>
    <x v="0"/>
    <x v="0"/>
    <n v="50000"/>
    <x v="0"/>
    <n v="0"/>
    <s v="Graduate Degree"/>
    <x v="0"/>
    <s v="Yes"/>
    <n v="0"/>
    <x v="0"/>
    <x v="2"/>
    <n v="34"/>
    <x v="2"/>
    <x v="0"/>
  </r>
  <r>
    <n v="15275"/>
    <x v="0"/>
    <x v="1"/>
    <n v="40000"/>
    <x v="0"/>
    <n v="0"/>
    <s v="Partial College"/>
    <x v="0"/>
    <s v="Yes"/>
    <n v="1"/>
    <x v="2"/>
    <x v="2"/>
    <n v="29"/>
    <x v="2"/>
    <x v="0"/>
  </r>
  <r>
    <n v="20339"/>
    <x v="0"/>
    <x v="0"/>
    <n v="130000"/>
    <x v="2"/>
    <n v="1"/>
    <s v="Bachelors"/>
    <x v="4"/>
    <s v="Yes"/>
    <n v="4"/>
    <x v="1"/>
    <x v="2"/>
    <n v="44"/>
    <x v="0"/>
    <x v="1"/>
  </r>
  <r>
    <n v="25405"/>
    <x v="0"/>
    <x v="1"/>
    <n v="70000"/>
    <x v="1"/>
    <n v="2"/>
    <s v="Bachelors"/>
    <x v="0"/>
    <s v="Yes"/>
    <n v="1"/>
    <x v="1"/>
    <x v="2"/>
    <n v="38"/>
    <x v="0"/>
    <x v="1"/>
  </r>
  <r>
    <n v="15940"/>
    <x v="0"/>
    <x v="1"/>
    <n v="100000"/>
    <x v="2"/>
    <n v="4"/>
    <s v="Partial College"/>
    <x v="2"/>
    <s v="Yes"/>
    <n v="4"/>
    <x v="0"/>
    <x v="2"/>
    <n v="40"/>
    <x v="0"/>
    <x v="0"/>
  </r>
  <r>
    <n v="25074"/>
    <x v="0"/>
    <x v="0"/>
    <n v="70000"/>
    <x v="1"/>
    <n v="4"/>
    <s v="Bachelors"/>
    <x v="2"/>
    <s v="Yes"/>
    <n v="2"/>
    <x v="1"/>
    <x v="2"/>
    <n v="42"/>
    <x v="0"/>
    <x v="1"/>
  </r>
  <r>
    <n v="24738"/>
    <x v="0"/>
    <x v="0"/>
    <n v="40000"/>
    <x v="0"/>
    <n v="1"/>
    <s v="Partial College"/>
    <x v="1"/>
    <s v="Yes"/>
    <n v="1"/>
    <x v="3"/>
    <x v="2"/>
    <n v="51"/>
    <x v="0"/>
    <x v="1"/>
  </r>
  <r>
    <n v="16337"/>
    <x v="0"/>
    <x v="1"/>
    <n v="60000"/>
    <x v="1"/>
    <n v="0"/>
    <s v="Partial College"/>
    <x v="0"/>
    <s v="No"/>
    <n v="2"/>
    <x v="3"/>
    <x v="2"/>
    <n v="29"/>
    <x v="2"/>
    <x v="0"/>
  </r>
  <r>
    <n v="24357"/>
    <x v="0"/>
    <x v="1"/>
    <n v="80000"/>
    <x v="1"/>
    <n v="3"/>
    <s v="Bachelors"/>
    <x v="2"/>
    <s v="Yes"/>
    <n v="1"/>
    <x v="1"/>
    <x v="2"/>
    <n v="48"/>
    <x v="0"/>
    <x v="1"/>
  </r>
  <r>
    <n v="18613"/>
    <x v="1"/>
    <x v="1"/>
    <n v="70000"/>
    <x v="1"/>
    <n v="0"/>
    <s v="Bachelors"/>
    <x v="2"/>
    <s v="No"/>
    <n v="1"/>
    <x v="1"/>
    <x v="2"/>
    <n v="37"/>
    <x v="0"/>
    <x v="1"/>
  </r>
  <r>
    <n v="12207"/>
    <x v="1"/>
    <x v="1"/>
    <n v="80000"/>
    <x v="1"/>
    <n v="4"/>
    <s v="Bachelors"/>
    <x v="4"/>
    <s v="Yes"/>
    <n v="0"/>
    <x v="2"/>
    <x v="2"/>
    <n v="66"/>
    <x v="1"/>
    <x v="1"/>
  </r>
  <r>
    <n v="18052"/>
    <x v="0"/>
    <x v="0"/>
    <n v="60000"/>
    <x v="1"/>
    <n v="1"/>
    <s v="Partial College"/>
    <x v="0"/>
    <s v="Yes"/>
    <n v="1"/>
    <x v="0"/>
    <x v="2"/>
    <n v="45"/>
    <x v="0"/>
    <x v="1"/>
  </r>
  <r>
    <n v="13353"/>
    <x v="1"/>
    <x v="0"/>
    <n v="60000"/>
    <x v="1"/>
    <n v="4"/>
    <s v="Graduate Degree"/>
    <x v="4"/>
    <s v="Yes"/>
    <n v="2"/>
    <x v="4"/>
    <x v="2"/>
    <n v="61"/>
    <x v="1"/>
    <x v="1"/>
  </r>
  <r>
    <n v="19399"/>
    <x v="1"/>
    <x v="1"/>
    <n v="40000"/>
    <x v="0"/>
    <n v="0"/>
    <s v="Bachelors"/>
    <x v="2"/>
    <s v="No"/>
    <n v="1"/>
    <x v="1"/>
    <x v="2"/>
    <n v="45"/>
    <x v="0"/>
    <x v="0"/>
  </r>
  <r>
    <n v="16154"/>
    <x v="0"/>
    <x v="0"/>
    <n v="70000"/>
    <x v="1"/>
    <n v="5"/>
    <s v="Bachelors"/>
    <x v="2"/>
    <s v="Yes"/>
    <n v="2"/>
    <x v="1"/>
    <x v="2"/>
    <n v="47"/>
    <x v="0"/>
    <x v="0"/>
  </r>
  <r>
    <n v="22219"/>
    <x v="0"/>
    <x v="0"/>
    <n v="60000"/>
    <x v="1"/>
    <n v="2"/>
    <s v="High School"/>
    <x v="2"/>
    <s v="Yes"/>
    <n v="2"/>
    <x v="2"/>
    <x v="2"/>
    <n v="49"/>
    <x v="0"/>
    <x v="0"/>
  </r>
  <r>
    <n v="17269"/>
    <x v="1"/>
    <x v="1"/>
    <n v="60000"/>
    <x v="1"/>
    <n v="3"/>
    <s v="Bachelors"/>
    <x v="2"/>
    <s v="No"/>
    <n v="0"/>
    <x v="0"/>
    <x v="2"/>
    <n v="47"/>
    <x v="0"/>
    <x v="1"/>
  </r>
  <r>
    <n v="23586"/>
    <x v="0"/>
    <x v="0"/>
    <n v="80000"/>
    <x v="1"/>
    <n v="0"/>
    <s v="Bachelors"/>
    <x v="4"/>
    <s v="Yes"/>
    <n v="1"/>
    <x v="3"/>
    <x v="2"/>
    <n v="34"/>
    <x v="2"/>
    <x v="1"/>
  </r>
  <r>
    <n v="15740"/>
    <x v="0"/>
    <x v="1"/>
    <n v="80000"/>
    <x v="1"/>
    <n v="5"/>
    <s v="Bachelors"/>
    <x v="4"/>
    <s v="Yes"/>
    <n v="2"/>
    <x v="3"/>
    <x v="2"/>
    <n v="64"/>
    <x v="1"/>
    <x v="0"/>
  </r>
  <r>
    <n v="27638"/>
    <x v="1"/>
    <x v="1"/>
    <n v="100000"/>
    <x v="2"/>
    <n v="1"/>
    <s v="Partial College"/>
    <x v="2"/>
    <s v="No"/>
    <n v="3"/>
    <x v="3"/>
    <x v="2"/>
    <n v="44"/>
    <x v="0"/>
    <x v="0"/>
  </r>
  <r>
    <n v="18976"/>
    <x v="1"/>
    <x v="1"/>
    <n v="40000"/>
    <x v="0"/>
    <n v="4"/>
    <s v="High School"/>
    <x v="2"/>
    <s v="Yes"/>
    <n v="2"/>
    <x v="4"/>
    <x v="2"/>
    <n v="62"/>
    <x v="1"/>
    <x v="1"/>
  </r>
  <r>
    <n v="19413"/>
    <x v="1"/>
    <x v="1"/>
    <n v="60000"/>
    <x v="1"/>
    <n v="3"/>
    <s v="Bachelors"/>
    <x v="2"/>
    <s v="No"/>
    <n v="1"/>
    <x v="0"/>
    <x v="2"/>
    <n v="47"/>
    <x v="0"/>
    <x v="1"/>
  </r>
  <r>
    <n v="13283"/>
    <x v="0"/>
    <x v="1"/>
    <n v="80000"/>
    <x v="1"/>
    <n v="3"/>
    <s v="Partial College"/>
    <x v="2"/>
    <s v="No"/>
    <n v="2"/>
    <x v="0"/>
    <x v="2"/>
    <n v="49"/>
    <x v="0"/>
    <x v="1"/>
  </r>
  <r>
    <n v="17471"/>
    <x v="1"/>
    <x v="0"/>
    <n v="80000"/>
    <x v="1"/>
    <n v="4"/>
    <s v="Graduate Degree"/>
    <x v="4"/>
    <s v="Yes"/>
    <n v="2"/>
    <x v="2"/>
    <x v="2"/>
    <n v="67"/>
    <x v="1"/>
    <x v="0"/>
  </r>
  <r>
    <n v="16791"/>
    <x v="1"/>
    <x v="1"/>
    <n v="60000"/>
    <x v="1"/>
    <n v="5"/>
    <s v="Bachelors"/>
    <x v="4"/>
    <s v="Yes"/>
    <n v="3"/>
    <x v="4"/>
    <x v="2"/>
    <n v="59"/>
    <x v="1"/>
    <x v="1"/>
  </r>
  <r>
    <n v="15382"/>
    <x v="0"/>
    <x v="0"/>
    <n v="110000"/>
    <x v="2"/>
    <n v="1"/>
    <s v="Bachelors"/>
    <x v="4"/>
    <s v="Yes"/>
    <n v="2"/>
    <x v="3"/>
    <x v="2"/>
    <n v="44"/>
    <x v="0"/>
    <x v="0"/>
  </r>
  <r>
    <n v="11641"/>
    <x v="0"/>
    <x v="1"/>
    <n v="50000"/>
    <x v="0"/>
    <n v="1"/>
    <s v="Bachelors"/>
    <x v="0"/>
    <s v="Yes"/>
    <n v="0"/>
    <x v="0"/>
    <x v="2"/>
    <n v="36"/>
    <x v="0"/>
    <x v="0"/>
  </r>
  <r>
    <n v="11935"/>
    <x v="1"/>
    <x v="0"/>
    <n v="30000"/>
    <x v="0"/>
    <n v="0"/>
    <s v="Partial College"/>
    <x v="0"/>
    <s v="Yes"/>
    <n v="1"/>
    <x v="2"/>
    <x v="2"/>
    <n v="28"/>
    <x v="2"/>
    <x v="0"/>
  </r>
  <r>
    <n v="13233"/>
    <x v="0"/>
    <x v="1"/>
    <n v="60000"/>
    <x v="1"/>
    <n v="2"/>
    <s v="Partial College"/>
    <x v="2"/>
    <s v="Yes"/>
    <n v="1"/>
    <x v="4"/>
    <x v="2"/>
    <n v="57"/>
    <x v="1"/>
    <x v="1"/>
  </r>
  <r>
    <n v="25909"/>
    <x v="0"/>
    <x v="1"/>
    <n v="60000"/>
    <x v="1"/>
    <n v="0"/>
    <s v="Partial College"/>
    <x v="0"/>
    <s v="Yes"/>
    <n v="1"/>
    <x v="2"/>
    <x v="2"/>
    <n v="27"/>
    <x v="2"/>
    <x v="1"/>
  </r>
  <r>
    <n v="14092"/>
    <x v="1"/>
    <x v="1"/>
    <n v="30000"/>
    <x v="0"/>
    <n v="0"/>
    <s v="Partial High School"/>
    <x v="1"/>
    <s v="Yes"/>
    <n v="2"/>
    <x v="2"/>
    <x v="2"/>
    <n v="28"/>
    <x v="2"/>
    <x v="0"/>
  </r>
  <r>
    <n v="29143"/>
    <x v="1"/>
    <x v="0"/>
    <n v="60000"/>
    <x v="1"/>
    <n v="1"/>
    <s v="Bachelors"/>
    <x v="2"/>
    <s v="No"/>
    <n v="1"/>
    <x v="0"/>
    <x v="2"/>
    <n v="44"/>
    <x v="0"/>
    <x v="1"/>
  </r>
  <r>
    <n v="24941"/>
    <x v="0"/>
    <x v="1"/>
    <n v="60000"/>
    <x v="1"/>
    <n v="3"/>
    <s v="Bachelors"/>
    <x v="4"/>
    <s v="Yes"/>
    <n v="2"/>
    <x v="4"/>
    <x v="2"/>
    <n v="66"/>
    <x v="1"/>
    <x v="0"/>
  </r>
  <r>
    <n v="24637"/>
    <x v="0"/>
    <x v="1"/>
    <n v="40000"/>
    <x v="0"/>
    <n v="4"/>
    <s v="High School"/>
    <x v="2"/>
    <s v="Yes"/>
    <n v="2"/>
    <x v="4"/>
    <x v="2"/>
    <n v="64"/>
    <x v="1"/>
    <x v="0"/>
  </r>
  <r>
    <n v="23893"/>
    <x v="0"/>
    <x v="1"/>
    <n v="50000"/>
    <x v="0"/>
    <n v="3"/>
    <s v="Bachelors"/>
    <x v="0"/>
    <s v="Yes"/>
    <n v="3"/>
    <x v="4"/>
    <x v="2"/>
    <n v="41"/>
    <x v="0"/>
    <x v="0"/>
  </r>
  <r>
    <n v="13907"/>
    <x v="1"/>
    <x v="0"/>
    <n v="80000"/>
    <x v="1"/>
    <n v="3"/>
    <s v="Bachelors"/>
    <x v="0"/>
    <s v="Yes"/>
    <n v="1"/>
    <x v="0"/>
    <x v="2"/>
    <n v="41"/>
    <x v="0"/>
    <x v="1"/>
  </r>
  <r>
    <n v="14900"/>
    <x v="0"/>
    <x v="0"/>
    <n v="40000"/>
    <x v="0"/>
    <n v="1"/>
    <s v="Partial College"/>
    <x v="1"/>
    <s v="Yes"/>
    <n v="1"/>
    <x v="3"/>
    <x v="2"/>
    <n v="49"/>
    <x v="0"/>
    <x v="1"/>
  </r>
  <r>
    <n v="11262"/>
    <x v="0"/>
    <x v="0"/>
    <n v="80000"/>
    <x v="1"/>
    <n v="4"/>
    <s v="Bachelors"/>
    <x v="4"/>
    <s v="Yes"/>
    <n v="0"/>
    <x v="0"/>
    <x v="2"/>
    <n v="42"/>
    <x v="0"/>
    <x v="0"/>
  </r>
  <r>
    <n v="22294"/>
    <x v="1"/>
    <x v="0"/>
    <n v="70000"/>
    <x v="1"/>
    <n v="0"/>
    <s v="Bachelors"/>
    <x v="2"/>
    <s v="No"/>
    <n v="1"/>
    <x v="1"/>
    <x v="2"/>
    <n v="37"/>
    <x v="0"/>
    <x v="1"/>
  </r>
  <r>
    <n v="12195"/>
    <x v="1"/>
    <x v="0"/>
    <n v="70000"/>
    <x v="1"/>
    <n v="3"/>
    <s v="Graduate Degree"/>
    <x v="4"/>
    <s v="Yes"/>
    <n v="2"/>
    <x v="3"/>
    <x v="2"/>
    <n v="52"/>
    <x v="0"/>
    <x v="0"/>
  </r>
  <r>
    <n v="25375"/>
    <x v="0"/>
    <x v="1"/>
    <n v="50000"/>
    <x v="0"/>
    <n v="1"/>
    <s v="Graduate Degree"/>
    <x v="0"/>
    <s v="Yes"/>
    <n v="0"/>
    <x v="3"/>
    <x v="2"/>
    <n v="34"/>
    <x v="2"/>
    <x v="0"/>
  </r>
  <r>
    <n v="11143"/>
    <x v="0"/>
    <x v="1"/>
    <n v="40000"/>
    <x v="0"/>
    <n v="0"/>
    <s v="High School"/>
    <x v="0"/>
    <s v="Yes"/>
    <n v="2"/>
    <x v="2"/>
    <x v="2"/>
    <n v="29"/>
    <x v="2"/>
    <x v="0"/>
  </r>
  <r>
    <n v="25898"/>
    <x v="0"/>
    <x v="0"/>
    <n v="70000"/>
    <x v="1"/>
    <n v="2"/>
    <s v="High School"/>
    <x v="2"/>
    <s v="Yes"/>
    <n v="2"/>
    <x v="1"/>
    <x v="2"/>
    <n v="53"/>
    <x v="0"/>
    <x v="0"/>
  </r>
  <r>
    <n v="24397"/>
    <x v="1"/>
    <x v="1"/>
    <n v="120000"/>
    <x v="2"/>
    <n v="2"/>
    <s v="Bachelors"/>
    <x v="4"/>
    <s v="No"/>
    <n v="4"/>
    <x v="3"/>
    <x v="2"/>
    <n v="40"/>
    <x v="0"/>
    <x v="0"/>
  </r>
  <r>
    <n v="19758"/>
    <x v="1"/>
    <x v="1"/>
    <n v="60000"/>
    <x v="1"/>
    <n v="0"/>
    <s v="Partial College"/>
    <x v="0"/>
    <s v="No"/>
    <n v="2"/>
    <x v="3"/>
    <x v="2"/>
    <n v="29"/>
    <x v="2"/>
    <x v="0"/>
  </r>
  <r>
    <n v="15529"/>
    <x v="0"/>
    <x v="1"/>
    <n v="60000"/>
    <x v="1"/>
    <n v="4"/>
    <s v="Bachelors"/>
    <x v="2"/>
    <s v="Yes"/>
    <n v="2"/>
    <x v="1"/>
    <x v="2"/>
    <n v="43"/>
    <x v="0"/>
    <x v="1"/>
  </r>
  <r>
    <n v="19884"/>
    <x v="0"/>
    <x v="1"/>
    <n v="60000"/>
    <x v="1"/>
    <n v="2"/>
    <s v="High School"/>
    <x v="2"/>
    <s v="Yes"/>
    <n v="2"/>
    <x v="1"/>
    <x v="2"/>
    <n v="55"/>
    <x v="1"/>
    <x v="1"/>
  </r>
  <r>
    <n v="18674"/>
    <x v="1"/>
    <x v="0"/>
    <n v="80000"/>
    <x v="1"/>
    <n v="4"/>
    <s v="Graduate Degree"/>
    <x v="0"/>
    <s v="No"/>
    <n v="0"/>
    <x v="0"/>
    <x v="2"/>
    <n v="48"/>
    <x v="0"/>
    <x v="0"/>
  </r>
  <r>
    <n v="13453"/>
    <x v="0"/>
    <x v="0"/>
    <n v="130000"/>
    <x v="2"/>
    <n v="3"/>
    <s v="Bachelors"/>
    <x v="4"/>
    <s v="Yes"/>
    <n v="3"/>
    <x v="0"/>
    <x v="2"/>
    <n v="45"/>
    <x v="0"/>
    <x v="1"/>
  </r>
  <r>
    <n v="14063"/>
    <x v="1"/>
    <x v="0"/>
    <n v="70000"/>
    <x v="1"/>
    <n v="0"/>
    <s v="Bachelors"/>
    <x v="2"/>
    <s v="No"/>
    <n v="1"/>
    <x v="0"/>
    <x v="1"/>
    <n v="42"/>
    <x v="0"/>
    <x v="1"/>
  </r>
  <r>
    <n v="27393"/>
    <x v="0"/>
    <x v="0"/>
    <n v="50000"/>
    <x v="0"/>
    <n v="4"/>
    <s v="Bachelors"/>
    <x v="4"/>
    <s v="Yes"/>
    <n v="2"/>
    <x v="4"/>
    <x v="2"/>
    <n v="63"/>
    <x v="1"/>
    <x v="0"/>
  </r>
  <r>
    <n v="14417"/>
    <x v="1"/>
    <x v="1"/>
    <n v="60000"/>
    <x v="1"/>
    <n v="3"/>
    <s v="High School"/>
    <x v="2"/>
    <s v="Yes"/>
    <n v="2"/>
    <x v="4"/>
    <x v="2"/>
    <n v="54"/>
    <x v="0"/>
    <x v="1"/>
  </r>
  <r>
    <n v="17533"/>
    <x v="0"/>
    <x v="1"/>
    <n v="40000"/>
    <x v="0"/>
    <n v="3"/>
    <s v="Partial College"/>
    <x v="2"/>
    <s v="No"/>
    <n v="2"/>
    <x v="2"/>
    <x v="2"/>
    <n v="73"/>
    <x v="1"/>
    <x v="1"/>
  </r>
  <r>
    <n v="18580"/>
    <x v="0"/>
    <x v="0"/>
    <n v="60000"/>
    <x v="1"/>
    <n v="2"/>
    <s v="Graduate Degree"/>
    <x v="2"/>
    <s v="Yes"/>
    <n v="0"/>
    <x v="1"/>
    <x v="2"/>
    <n v="40"/>
    <x v="0"/>
    <x v="1"/>
  </r>
  <r>
    <n v="17025"/>
    <x v="1"/>
    <x v="1"/>
    <n v="50000"/>
    <x v="0"/>
    <n v="0"/>
    <s v="Partial College"/>
    <x v="0"/>
    <s v="No"/>
    <n v="1"/>
    <x v="1"/>
    <x v="2"/>
    <n v="39"/>
    <x v="0"/>
    <x v="1"/>
  </r>
  <r>
    <n v="25293"/>
    <x v="0"/>
    <x v="1"/>
    <n v="80000"/>
    <x v="1"/>
    <n v="4"/>
    <s v="Bachelors"/>
    <x v="4"/>
    <s v="Yes"/>
    <n v="0"/>
    <x v="3"/>
    <x v="2"/>
    <n v="42"/>
    <x v="0"/>
    <x v="0"/>
  </r>
  <r>
    <n v="24725"/>
    <x v="0"/>
    <x v="0"/>
    <n v="40000"/>
    <x v="0"/>
    <n v="3"/>
    <s v="Partial College"/>
    <x v="1"/>
    <s v="Yes"/>
    <n v="0"/>
    <x v="3"/>
    <x v="2"/>
    <n v="31"/>
    <x v="2"/>
    <x v="0"/>
  </r>
  <r>
    <n v="23200"/>
    <x v="0"/>
    <x v="0"/>
    <n v="50000"/>
    <x v="0"/>
    <n v="3"/>
    <s v="Bachelors"/>
    <x v="0"/>
    <s v="Yes"/>
    <n v="2"/>
    <x v="0"/>
    <x v="2"/>
    <n v="41"/>
    <x v="0"/>
    <x v="0"/>
  </r>
  <r>
    <n v="15895"/>
    <x v="1"/>
    <x v="0"/>
    <n v="60000"/>
    <x v="1"/>
    <n v="2"/>
    <s v="Bachelors"/>
    <x v="4"/>
    <s v="Yes"/>
    <n v="0"/>
    <x v="4"/>
    <x v="2"/>
    <n v="58"/>
    <x v="1"/>
    <x v="0"/>
  </r>
  <r>
    <n v="18577"/>
    <x v="0"/>
    <x v="0"/>
    <n v="60000"/>
    <x v="1"/>
    <n v="0"/>
    <s v="Graduate Degree"/>
    <x v="2"/>
    <s v="Yes"/>
    <n v="0"/>
    <x v="0"/>
    <x v="2"/>
    <n v="40"/>
    <x v="0"/>
    <x v="0"/>
  </r>
  <r>
    <n v="27218"/>
    <x v="0"/>
    <x v="0"/>
    <n v="20000"/>
    <x v="0"/>
    <n v="2"/>
    <s v="Partial High School"/>
    <x v="1"/>
    <s v="No"/>
    <n v="0"/>
    <x v="0"/>
    <x v="2"/>
    <n v="48"/>
    <x v="0"/>
    <x v="0"/>
  </r>
  <r>
    <n v="18560"/>
    <x v="0"/>
    <x v="0"/>
    <n v="70000"/>
    <x v="1"/>
    <n v="2"/>
    <s v="Graduate Degree"/>
    <x v="2"/>
    <s v="Yes"/>
    <n v="0"/>
    <x v="1"/>
    <x v="2"/>
    <n v="34"/>
    <x v="2"/>
    <x v="1"/>
  </r>
  <r>
    <n v="25006"/>
    <x v="1"/>
    <x v="0"/>
    <n v="30000"/>
    <x v="0"/>
    <n v="0"/>
    <s v="Partial College"/>
    <x v="0"/>
    <s v="Yes"/>
    <n v="1"/>
    <x v="2"/>
    <x v="2"/>
    <n v="28"/>
    <x v="2"/>
    <x v="0"/>
  </r>
  <r>
    <n v="17369"/>
    <x v="1"/>
    <x v="1"/>
    <n v="30000"/>
    <x v="0"/>
    <n v="0"/>
    <s v="Partial College"/>
    <x v="0"/>
    <s v="Yes"/>
    <n v="1"/>
    <x v="2"/>
    <x v="2"/>
    <n v="27"/>
    <x v="2"/>
    <x v="0"/>
  </r>
  <r>
    <n v="14495"/>
    <x v="0"/>
    <x v="1"/>
    <n v="40000"/>
    <x v="0"/>
    <n v="3"/>
    <s v="Partial College"/>
    <x v="2"/>
    <s v="No"/>
    <n v="2"/>
    <x v="2"/>
    <x v="2"/>
    <n v="54"/>
    <x v="0"/>
    <x v="1"/>
  </r>
  <r>
    <n v="18847"/>
    <x v="0"/>
    <x v="0"/>
    <n v="60000"/>
    <x v="1"/>
    <n v="2"/>
    <s v="Graduate Degree"/>
    <x v="4"/>
    <s v="Yes"/>
    <n v="2"/>
    <x v="2"/>
    <x v="2"/>
    <n v="70"/>
    <x v="1"/>
    <x v="0"/>
  </r>
  <r>
    <n v="14754"/>
    <x v="0"/>
    <x v="1"/>
    <n v="40000"/>
    <x v="0"/>
    <n v="1"/>
    <s v="Partial College"/>
    <x v="1"/>
    <s v="Yes"/>
    <n v="1"/>
    <x v="3"/>
    <x v="2"/>
    <n v="48"/>
    <x v="0"/>
    <x v="1"/>
  </r>
  <r>
    <n v="23378"/>
    <x v="0"/>
    <x v="1"/>
    <n v="70000"/>
    <x v="1"/>
    <n v="1"/>
    <s v="Partial College"/>
    <x v="0"/>
    <s v="Yes"/>
    <n v="1"/>
    <x v="1"/>
    <x v="2"/>
    <n v="44"/>
    <x v="0"/>
    <x v="1"/>
  </r>
  <r>
    <n v="26452"/>
    <x v="1"/>
    <x v="1"/>
    <n v="50000"/>
    <x v="0"/>
    <n v="3"/>
    <s v="Graduate Degree"/>
    <x v="4"/>
    <s v="Yes"/>
    <n v="2"/>
    <x v="4"/>
    <x v="2"/>
    <n v="69"/>
    <x v="1"/>
    <x v="0"/>
  </r>
  <r>
    <n v="20370"/>
    <x v="0"/>
    <x v="1"/>
    <n v="70000"/>
    <x v="1"/>
    <n v="3"/>
    <s v="Partial High School"/>
    <x v="0"/>
    <s v="Yes"/>
    <n v="2"/>
    <x v="2"/>
    <x v="2"/>
    <n v="52"/>
    <x v="0"/>
    <x v="0"/>
  </r>
  <r>
    <n v="20528"/>
    <x v="0"/>
    <x v="1"/>
    <n v="40000"/>
    <x v="0"/>
    <n v="2"/>
    <s v="Partial High School"/>
    <x v="0"/>
    <s v="Yes"/>
    <n v="2"/>
    <x v="1"/>
    <x v="2"/>
    <n v="55"/>
    <x v="1"/>
    <x v="0"/>
  </r>
  <r>
    <n v="23549"/>
    <x v="1"/>
    <x v="1"/>
    <n v="30000"/>
    <x v="0"/>
    <n v="0"/>
    <s v="High School"/>
    <x v="0"/>
    <s v="Yes"/>
    <n v="2"/>
    <x v="2"/>
    <x v="2"/>
    <n v="30"/>
    <x v="2"/>
    <x v="0"/>
  </r>
  <r>
    <n v="21751"/>
    <x v="0"/>
    <x v="1"/>
    <n v="60000"/>
    <x v="1"/>
    <n v="3"/>
    <s v="Graduate Degree"/>
    <x v="4"/>
    <s v="Yes"/>
    <n v="2"/>
    <x v="3"/>
    <x v="2"/>
    <n v="63"/>
    <x v="1"/>
    <x v="0"/>
  </r>
  <r>
    <n v="21266"/>
    <x v="1"/>
    <x v="0"/>
    <n v="80000"/>
    <x v="1"/>
    <n v="0"/>
    <s v="Bachelors"/>
    <x v="4"/>
    <s v="Yes"/>
    <n v="1"/>
    <x v="3"/>
    <x v="2"/>
    <n v="34"/>
    <x v="2"/>
    <x v="1"/>
  </r>
  <r>
    <n v="13388"/>
    <x v="1"/>
    <x v="1"/>
    <n v="60000"/>
    <x v="1"/>
    <n v="2"/>
    <s v="Partial College"/>
    <x v="2"/>
    <s v="Yes"/>
    <n v="1"/>
    <x v="4"/>
    <x v="2"/>
    <n v="56"/>
    <x v="1"/>
    <x v="0"/>
  </r>
  <r>
    <n v="18752"/>
    <x v="1"/>
    <x v="0"/>
    <n v="40000"/>
    <x v="0"/>
    <n v="0"/>
    <s v="High School"/>
    <x v="0"/>
    <s v="Yes"/>
    <n v="1"/>
    <x v="2"/>
    <x v="2"/>
    <n v="31"/>
    <x v="2"/>
    <x v="0"/>
  </r>
  <r>
    <n v="16917"/>
    <x v="0"/>
    <x v="1"/>
    <n v="120000"/>
    <x v="2"/>
    <n v="1"/>
    <s v="Bachelors"/>
    <x v="4"/>
    <s v="Yes"/>
    <n v="4"/>
    <x v="0"/>
    <x v="2"/>
    <n v="38"/>
    <x v="0"/>
    <x v="0"/>
  </r>
  <r>
    <n v="15313"/>
    <x v="0"/>
    <x v="1"/>
    <n v="60000"/>
    <x v="1"/>
    <n v="4"/>
    <s v="Bachelors"/>
    <x v="4"/>
    <s v="Yes"/>
    <n v="2"/>
    <x v="1"/>
    <x v="2"/>
    <n v="59"/>
    <x v="1"/>
    <x v="0"/>
  </r>
  <r>
    <n v="25329"/>
    <x v="1"/>
    <x v="0"/>
    <n v="40000"/>
    <x v="0"/>
    <n v="3"/>
    <s v="Partial College"/>
    <x v="1"/>
    <s v="No"/>
    <n v="2"/>
    <x v="0"/>
    <x v="2"/>
    <n v="32"/>
    <x v="2"/>
    <x v="0"/>
  </r>
  <r>
    <n v="20380"/>
    <x v="0"/>
    <x v="0"/>
    <n v="60000"/>
    <x v="1"/>
    <n v="3"/>
    <s v="Graduate Degree"/>
    <x v="4"/>
    <s v="Yes"/>
    <n v="2"/>
    <x v="4"/>
    <x v="2"/>
    <n v="69"/>
    <x v="1"/>
    <x v="0"/>
  </r>
  <r>
    <n v="23089"/>
    <x v="0"/>
    <x v="1"/>
    <n v="40000"/>
    <x v="0"/>
    <n v="0"/>
    <s v="Partial College"/>
    <x v="0"/>
    <s v="Yes"/>
    <n v="1"/>
    <x v="2"/>
    <x v="2"/>
    <n v="28"/>
    <x v="2"/>
    <x v="0"/>
  </r>
  <r>
    <n v="13749"/>
    <x v="0"/>
    <x v="1"/>
    <n v="80000"/>
    <x v="1"/>
    <n v="4"/>
    <s v="Graduate Degree"/>
    <x v="0"/>
    <s v="Yes"/>
    <n v="0"/>
    <x v="3"/>
    <x v="2"/>
    <n v="47"/>
    <x v="0"/>
    <x v="0"/>
  </r>
  <r>
    <n v="24943"/>
    <x v="0"/>
    <x v="1"/>
    <n v="60000"/>
    <x v="1"/>
    <n v="3"/>
    <s v="Bachelors"/>
    <x v="4"/>
    <s v="Yes"/>
    <n v="2"/>
    <x v="4"/>
    <x v="2"/>
    <n v="66"/>
    <x v="1"/>
    <x v="0"/>
  </r>
  <r>
    <n v="28667"/>
    <x v="1"/>
    <x v="1"/>
    <n v="70000"/>
    <x v="1"/>
    <n v="2"/>
    <s v="Bachelors"/>
    <x v="0"/>
    <s v="No"/>
    <n v="1"/>
    <x v="0"/>
    <x v="2"/>
    <n v="37"/>
    <x v="0"/>
    <x v="1"/>
  </r>
  <r>
    <n v="15194"/>
    <x v="1"/>
    <x v="1"/>
    <n v="120000"/>
    <x v="2"/>
    <n v="2"/>
    <s v="Bachelors"/>
    <x v="4"/>
    <s v="No"/>
    <n v="3"/>
    <x v="0"/>
    <x v="2"/>
    <n v="39"/>
    <x v="0"/>
    <x v="1"/>
  </r>
  <r>
    <n v="17436"/>
    <x v="0"/>
    <x v="1"/>
    <n v="60000"/>
    <x v="1"/>
    <n v="2"/>
    <s v="High School"/>
    <x v="2"/>
    <s v="No"/>
    <n v="2"/>
    <x v="3"/>
    <x v="2"/>
    <n v="51"/>
    <x v="0"/>
    <x v="0"/>
  </r>
  <r>
    <n v="18935"/>
    <x v="0"/>
    <x v="0"/>
    <n v="130000"/>
    <x v="2"/>
    <n v="0"/>
    <s v="Graduate Degree"/>
    <x v="4"/>
    <s v="Yes"/>
    <n v="3"/>
    <x v="3"/>
    <x v="2"/>
    <n v="40"/>
    <x v="0"/>
    <x v="0"/>
  </r>
  <r>
    <n v="16871"/>
    <x v="0"/>
    <x v="0"/>
    <n v="90000"/>
    <x v="1"/>
    <n v="2"/>
    <s v="High School"/>
    <x v="2"/>
    <s v="Yes"/>
    <n v="1"/>
    <x v="4"/>
    <x v="2"/>
    <n v="51"/>
    <x v="0"/>
    <x v="1"/>
  </r>
  <r>
    <n v="12100"/>
    <x v="1"/>
    <x v="1"/>
    <n v="60000"/>
    <x v="1"/>
    <n v="2"/>
    <s v="Bachelors"/>
    <x v="4"/>
    <s v="Yes"/>
    <n v="0"/>
    <x v="4"/>
    <x v="2"/>
    <n v="57"/>
    <x v="1"/>
    <x v="0"/>
  </r>
  <r>
    <n v="23158"/>
    <x v="0"/>
    <x v="0"/>
    <n v="60000"/>
    <x v="1"/>
    <n v="1"/>
    <s v="Graduate Degree"/>
    <x v="2"/>
    <s v="No"/>
    <n v="0"/>
    <x v="0"/>
    <x v="2"/>
    <n v="35"/>
    <x v="0"/>
    <x v="1"/>
  </r>
  <r>
    <n v="18545"/>
    <x v="0"/>
    <x v="1"/>
    <n v="40000"/>
    <x v="0"/>
    <n v="4"/>
    <s v="High School"/>
    <x v="2"/>
    <s v="No"/>
    <n v="2"/>
    <x v="4"/>
    <x v="2"/>
    <n v="61"/>
    <x v="1"/>
    <x v="1"/>
  </r>
  <r>
    <n v="18391"/>
    <x v="1"/>
    <x v="0"/>
    <n v="80000"/>
    <x v="1"/>
    <n v="5"/>
    <s v="Partial College"/>
    <x v="2"/>
    <s v="Yes"/>
    <n v="2"/>
    <x v="2"/>
    <x v="2"/>
    <n v="44"/>
    <x v="0"/>
    <x v="0"/>
  </r>
  <r>
    <n v="19812"/>
    <x v="1"/>
    <x v="0"/>
    <n v="70000"/>
    <x v="1"/>
    <n v="2"/>
    <s v="Partial College"/>
    <x v="2"/>
    <s v="Yes"/>
    <n v="0"/>
    <x v="2"/>
    <x v="2"/>
    <n v="49"/>
    <x v="0"/>
    <x v="1"/>
  </r>
  <r>
    <n v="27660"/>
    <x v="0"/>
    <x v="1"/>
    <n v="80000"/>
    <x v="1"/>
    <n v="4"/>
    <s v="Graduate Degree"/>
    <x v="4"/>
    <s v="Yes"/>
    <n v="2"/>
    <x v="2"/>
    <x v="2"/>
    <n v="70"/>
    <x v="1"/>
    <x v="0"/>
  </r>
  <r>
    <n v="18058"/>
    <x v="1"/>
    <x v="0"/>
    <n v="20000"/>
    <x v="0"/>
    <n v="3"/>
    <s v="High School"/>
    <x v="0"/>
    <s v="Yes"/>
    <n v="2"/>
    <x v="1"/>
    <x v="2"/>
    <n v="78"/>
    <x v="1"/>
    <x v="0"/>
  </r>
  <r>
    <n v="20343"/>
    <x v="0"/>
    <x v="0"/>
    <n v="90000"/>
    <x v="1"/>
    <n v="4"/>
    <s v="Partial College"/>
    <x v="2"/>
    <s v="Yes"/>
    <n v="1"/>
    <x v="3"/>
    <x v="2"/>
    <n v="45"/>
    <x v="0"/>
    <x v="0"/>
  </r>
  <r>
    <n v="28997"/>
    <x v="1"/>
    <x v="1"/>
    <n v="40000"/>
    <x v="0"/>
    <n v="2"/>
    <s v="High School"/>
    <x v="2"/>
    <s v="No"/>
    <n v="1"/>
    <x v="1"/>
    <x v="2"/>
    <n v="58"/>
    <x v="1"/>
    <x v="1"/>
  </r>
  <r>
    <n v="24398"/>
    <x v="0"/>
    <x v="1"/>
    <n v="130000"/>
    <x v="2"/>
    <n v="1"/>
    <s v="Graduate Degree"/>
    <x v="4"/>
    <s v="Yes"/>
    <n v="4"/>
    <x v="0"/>
    <x v="2"/>
    <n v="41"/>
    <x v="0"/>
    <x v="0"/>
  </r>
  <r>
    <n v="19002"/>
    <x v="0"/>
    <x v="0"/>
    <n v="60000"/>
    <x v="1"/>
    <n v="2"/>
    <s v="Partial College"/>
    <x v="2"/>
    <s v="Yes"/>
    <n v="1"/>
    <x v="1"/>
    <x v="2"/>
    <n v="57"/>
    <x v="1"/>
    <x v="1"/>
  </r>
  <r>
    <n v="28609"/>
    <x v="0"/>
    <x v="1"/>
    <n v="30000"/>
    <x v="0"/>
    <n v="2"/>
    <s v="High School"/>
    <x v="0"/>
    <s v="No"/>
    <n v="2"/>
    <x v="0"/>
    <x v="2"/>
    <n v="49"/>
    <x v="0"/>
    <x v="0"/>
  </r>
  <r>
    <n v="29231"/>
    <x v="1"/>
    <x v="1"/>
    <n v="80000"/>
    <x v="1"/>
    <n v="4"/>
    <s v="Partial College"/>
    <x v="2"/>
    <s v="No"/>
    <n v="2"/>
    <x v="0"/>
    <x v="2"/>
    <n v="43"/>
    <x v="0"/>
    <x v="0"/>
  </r>
  <r>
    <n v="18858"/>
    <x v="1"/>
    <x v="1"/>
    <n v="60000"/>
    <x v="1"/>
    <n v="2"/>
    <s v="Partial High School"/>
    <x v="0"/>
    <s v="Yes"/>
    <n v="2"/>
    <x v="2"/>
    <x v="2"/>
    <n v="52"/>
    <x v="0"/>
    <x v="1"/>
  </r>
  <r>
    <n v="20000"/>
    <x v="0"/>
    <x v="1"/>
    <n v="60000"/>
    <x v="1"/>
    <n v="1"/>
    <s v="Graduate Degree"/>
    <x v="2"/>
    <s v="Yes"/>
    <n v="0"/>
    <x v="0"/>
    <x v="2"/>
    <n v="35"/>
    <x v="0"/>
    <x v="1"/>
  </r>
  <r>
    <n v="25261"/>
    <x v="0"/>
    <x v="1"/>
    <n v="40000"/>
    <x v="0"/>
    <n v="0"/>
    <s v="High School"/>
    <x v="0"/>
    <s v="Yes"/>
    <n v="2"/>
    <x v="2"/>
    <x v="2"/>
    <n v="27"/>
    <x v="2"/>
    <x v="0"/>
  </r>
  <r>
    <n v="17458"/>
    <x v="1"/>
    <x v="1"/>
    <n v="70000"/>
    <x v="1"/>
    <n v="3"/>
    <s v="High School"/>
    <x v="2"/>
    <s v="Yes"/>
    <n v="0"/>
    <x v="2"/>
    <x v="2"/>
    <n v="52"/>
    <x v="0"/>
    <x v="1"/>
  </r>
  <r>
    <n v="11644"/>
    <x v="1"/>
    <x v="1"/>
    <n v="40000"/>
    <x v="0"/>
    <n v="2"/>
    <s v="Bachelors"/>
    <x v="0"/>
    <s v="Yes"/>
    <n v="0"/>
    <x v="1"/>
    <x v="2"/>
    <n v="36"/>
    <x v="0"/>
    <x v="0"/>
  </r>
  <r>
    <n v="16145"/>
    <x v="1"/>
    <x v="0"/>
    <n v="70000"/>
    <x v="1"/>
    <n v="5"/>
    <s v="Graduate Degree"/>
    <x v="2"/>
    <s v="Yes"/>
    <n v="3"/>
    <x v="4"/>
    <x v="2"/>
    <n v="46"/>
    <x v="0"/>
    <x v="1"/>
  </r>
  <r>
    <n v="16890"/>
    <x v="0"/>
    <x v="1"/>
    <n v="60000"/>
    <x v="1"/>
    <n v="3"/>
    <s v="Partial High School"/>
    <x v="0"/>
    <s v="Yes"/>
    <n v="2"/>
    <x v="2"/>
    <x v="2"/>
    <n v="52"/>
    <x v="0"/>
    <x v="1"/>
  </r>
  <r>
    <n v="25983"/>
    <x v="0"/>
    <x v="1"/>
    <n v="70000"/>
    <x v="1"/>
    <n v="0"/>
    <s v="Bachelors"/>
    <x v="2"/>
    <s v="No"/>
    <n v="1"/>
    <x v="0"/>
    <x v="2"/>
    <n v="43"/>
    <x v="0"/>
    <x v="0"/>
  </r>
  <r>
    <n v="14633"/>
    <x v="0"/>
    <x v="1"/>
    <n v="60000"/>
    <x v="1"/>
    <n v="1"/>
    <s v="Partial College"/>
    <x v="0"/>
    <s v="Yes"/>
    <n v="1"/>
    <x v="1"/>
    <x v="2"/>
    <n v="44"/>
    <x v="0"/>
    <x v="0"/>
  </r>
  <r>
    <n v="22994"/>
    <x v="0"/>
    <x v="0"/>
    <n v="80000"/>
    <x v="1"/>
    <n v="0"/>
    <s v="Bachelors"/>
    <x v="4"/>
    <s v="Yes"/>
    <n v="1"/>
    <x v="3"/>
    <x v="2"/>
    <n v="34"/>
    <x v="2"/>
    <x v="1"/>
  </r>
  <r>
    <n v="22983"/>
    <x v="1"/>
    <x v="0"/>
    <n v="30000"/>
    <x v="0"/>
    <n v="0"/>
    <s v="Partial High School"/>
    <x v="1"/>
    <s v="Yes"/>
    <n v="2"/>
    <x v="2"/>
    <x v="2"/>
    <n v="27"/>
    <x v="2"/>
    <x v="0"/>
  </r>
  <r>
    <n v="25184"/>
    <x v="1"/>
    <x v="1"/>
    <n v="110000"/>
    <x v="2"/>
    <n v="1"/>
    <s v="Partial College"/>
    <x v="2"/>
    <s v="Yes"/>
    <n v="4"/>
    <x v="2"/>
    <x v="2"/>
    <n v="45"/>
    <x v="0"/>
    <x v="1"/>
  </r>
  <r>
    <n v="14469"/>
    <x v="0"/>
    <x v="0"/>
    <n v="100000"/>
    <x v="2"/>
    <n v="3"/>
    <s v="Partial College"/>
    <x v="2"/>
    <s v="Yes"/>
    <n v="4"/>
    <x v="3"/>
    <x v="2"/>
    <n v="45"/>
    <x v="0"/>
    <x v="0"/>
  </r>
  <r>
    <n v="11538"/>
    <x v="1"/>
    <x v="0"/>
    <n v="60000"/>
    <x v="1"/>
    <n v="4"/>
    <s v="Graduate Degree"/>
    <x v="0"/>
    <s v="No"/>
    <n v="0"/>
    <x v="0"/>
    <x v="2"/>
    <n v="47"/>
    <x v="0"/>
    <x v="1"/>
  </r>
  <r>
    <n v="16245"/>
    <x v="1"/>
    <x v="0"/>
    <n v="80000"/>
    <x v="1"/>
    <n v="4"/>
    <s v="Graduate Degree"/>
    <x v="0"/>
    <s v="Yes"/>
    <n v="0"/>
    <x v="3"/>
    <x v="2"/>
    <n v="47"/>
    <x v="0"/>
    <x v="0"/>
  </r>
  <r>
    <n v="17858"/>
    <x v="0"/>
    <x v="1"/>
    <n v="40000"/>
    <x v="0"/>
    <n v="4"/>
    <s v="High School"/>
    <x v="0"/>
    <s v="Yes"/>
    <n v="2"/>
    <x v="1"/>
    <x v="2"/>
    <n v="44"/>
    <x v="0"/>
    <x v="1"/>
  </r>
  <r>
    <n v="25347"/>
    <x v="1"/>
    <x v="0"/>
    <n v="20000"/>
    <x v="0"/>
    <n v="3"/>
    <s v="Partial High School"/>
    <x v="1"/>
    <s v="No"/>
    <n v="2"/>
    <x v="0"/>
    <x v="2"/>
    <n v="49"/>
    <x v="0"/>
    <x v="0"/>
  </r>
  <r>
    <n v="15814"/>
    <x v="1"/>
    <x v="0"/>
    <n v="40000"/>
    <x v="0"/>
    <n v="0"/>
    <s v="High School"/>
    <x v="0"/>
    <s v="Yes"/>
    <n v="1"/>
    <x v="2"/>
    <x v="2"/>
    <n v="30"/>
    <x v="2"/>
    <x v="0"/>
  </r>
  <r>
    <n v="11259"/>
    <x v="0"/>
    <x v="0"/>
    <n v="100000"/>
    <x v="2"/>
    <n v="4"/>
    <s v="Partial College"/>
    <x v="2"/>
    <s v="Yes"/>
    <n v="4"/>
    <x v="1"/>
    <x v="2"/>
    <n v="41"/>
    <x v="0"/>
    <x v="1"/>
  </r>
  <r>
    <n v="11200"/>
    <x v="0"/>
    <x v="1"/>
    <n v="70000"/>
    <x v="1"/>
    <n v="4"/>
    <s v="Bachelors"/>
    <x v="4"/>
    <s v="Yes"/>
    <n v="1"/>
    <x v="3"/>
    <x v="2"/>
    <n v="58"/>
    <x v="1"/>
    <x v="0"/>
  </r>
  <r>
    <n v="25101"/>
    <x v="0"/>
    <x v="1"/>
    <n v="60000"/>
    <x v="1"/>
    <n v="5"/>
    <s v="Bachelors"/>
    <x v="2"/>
    <s v="Yes"/>
    <n v="1"/>
    <x v="1"/>
    <x v="2"/>
    <n v="47"/>
    <x v="0"/>
    <x v="0"/>
  </r>
  <r>
    <n v="21801"/>
    <x v="0"/>
    <x v="0"/>
    <n v="70000"/>
    <x v="1"/>
    <n v="4"/>
    <s v="Partial College"/>
    <x v="2"/>
    <s v="Yes"/>
    <n v="1"/>
    <x v="3"/>
    <x v="2"/>
    <n v="55"/>
    <x v="1"/>
    <x v="0"/>
  </r>
  <r>
    <n v="25943"/>
    <x v="1"/>
    <x v="0"/>
    <n v="70000"/>
    <x v="1"/>
    <n v="0"/>
    <s v="Partial College"/>
    <x v="0"/>
    <s v="No"/>
    <n v="2"/>
    <x v="0"/>
    <x v="2"/>
    <n v="27"/>
    <x v="2"/>
    <x v="1"/>
  </r>
  <r>
    <n v="22127"/>
    <x v="0"/>
    <x v="1"/>
    <n v="60000"/>
    <x v="1"/>
    <n v="3"/>
    <s v="Graduate Degree"/>
    <x v="4"/>
    <s v="Yes"/>
    <n v="2"/>
    <x v="3"/>
    <x v="2"/>
    <n v="67"/>
    <x v="1"/>
    <x v="0"/>
  </r>
  <r>
    <n v="20414"/>
    <x v="0"/>
    <x v="0"/>
    <n v="60000"/>
    <x v="1"/>
    <n v="0"/>
    <s v="Partial College"/>
    <x v="0"/>
    <s v="Yes"/>
    <n v="2"/>
    <x v="2"/>
    <x v="2"/>
    <n v="29"/>
    <x v="2"/>
    <x v="0"/>
  </r>
  <r>
    <n v="23672"/>
    <x v="0"/>
    <x v="0"/>
    <n v="60000"/>
    <x v="1"/>
    <n v="3"/>
    <s v="Graduate Degree"/>
    <x v="4"/>
    <s v="Yes"/>
    <n v="2"/>
    <x v="3"/>
    <x v="2"/>
    <n v="67"/>
    <x v="1"/>
    <x v="0"/>
  </r>
  <r>
    <n v="29255"/>
    <x v="1"/>
    <x v="1"/>
    <n v="80000"/>
    <x v="1"/>
    <n v="3"/>
    <s v="Partial College"/>
    <x v="2"/>
    <s v="No"/>
    <n v="1"/>
    <x v="3"/>
    <x v="2"/>
    <n v="51"/>
    <x v="0"/>
    <x v="1"/>
  </r>
  <r>
    <n v="28815"/>
    <x v="0"/>
    <x v="0"/>
    <n v="50000"/>
    <x v="0"/>
    <n v="1"/>
    <s v="Graduate Degree"/>
    <x v="0"/>
    <s v="Yes"/>
    <n v="0"/>
    <x v="0"/>
    <x v="2"/>
    <n v="35"/>
    <x v="0"/>
    <x v="0"/>
  </r>
  <r>
    <n v="27753"/>
    <x v="0"/>
    <x v="1"/>
    <n v="40000"/>
    <x v="0"/>
    <n v="0"/>
    <s v="High School"/>
    <x v="0"/>
    <s v="No"/>
    <n v="2"/>
    <x v="3"/>
    <x v="2"/>
    <n v="30"/>
    <x v="2"/>
    <x v="0"/>
  </r>
  <r>
    <n v="27643"/>
    <x v="1"/>
    <x v="1"/>
    <n v="70000"/>
    <x v="1"/>
    <n v="5"/>
    <s v="Partial College"/>
    <x v="2"/>
    <s v="Yes"/>
    <n v="3"/>
    <x v="1"/>
    <x v="2"/>
    <n v="44"/>
    <x v="0"/>
    <x v="0"/>
  </r>
  <r>
    <n v="13754"/>
    <x v="1"/>
    <x v="0"/>
    <n v="80000"/>
    <x v="1"/>
    <n v="4"/>
    <s v="Graduate Degree"/>
    <x v="0"/>
    <s v="Yes"/>
    <n v="0"/>
    <x v="3"/>
    <x v="2"/>
    <n v="48"/>
    <x v="0"/>
    <x v="0"/>
  </r>
  <r>
    <n v="22088"/>
    <x v="0"/>
    <x v="0"/>
    <n v="130000"/>
    <x v="2"/>
    <n v="1"/>
    <s v="Bachelors"/>
    <x v="4"/>
    <s v="Yes"/>
    <n v="2"/>
    <x v="0"/>
    <x v="2"/>
    <n v="45"/>
    <x v="0"/>
    <x v="1"/>
  </r>
  <r>
    <n v="27388"/>
    <x v="0"/>
    <x v="1"/>
    <n v="60000"/>
    <x v="1"/>
    <n v="3"/>
    <s v="Bachelors"/>
    <x v="4"/>
    <s v="No"/>
    <n v="2"/>
    <x v="3"/>
    <x v="2"/>
    <n v="66"/>
    <x v="1"/>
    <x v="0"/>
  </r>
  <r>
    <n v="24745"/>
    <x v="1"/>
    <x v="0"/>
    <n v="30000"/>
    <x v="0"/>
    <n v="2"/>
    <s v="High School"/>
    <x v="0"/>
    <s v="No"/>
    <n v="2"/>
    <x v="0"/>
    <x v="2"/>
    <n v="49"/>
    <x v="0"/>
    <x v="0"/>
  </r>
  <r>
    <n v="29237"/>
    <x v="1"/>
    <x v="0"/>
    <n v="120000"/>
    <x v="2"/>
    <n v="4"/>
    <s v="Partial College"/>
    <x v="2"/>
    <s v="Yes"/>
    <n v="3"/>
    <x v="2"/>
    <x v="2"/>
    <n v="43"/>
    <x v="0"/>
    <x v="1"/>
  </r>
  <r>
    <n v="15272"/>
    <x v="1"/>
    <x v="1"/>
    <n v="40000"/>
    <x v="0"/>
    <n v="0"/>
    <s v="High School"/>
    <x v="0"/>
    <s v="No"/>
    <n v="2"/>
    <x v="3"/>
    <x v="2"/>
    <n v="30"/>
    <x v="2"/>
    <x v="0"/>
  </r>
  <r>
    <n v="18949"/>
    <x v="1"/>
    <x v="1"/>
    <n v="70000"/>
    <x v="1"/>
    <n v="0"/>
    <s v="Graduate Degree"/>
    <x v="4"/>
    <s v="Yes"/>
    <n v="2"/>
    <x v="2"/>
    <x v="2"/>
    <n v="74"/>
    <x v="1"/>
    <x v="1"/>
  </r>
  <r>
    <n v="14507"/>
    <x v="0"/>
    <x v="1"/>
    <n v="100000"/>
    <x v="2"/>
    <n v="2"/>
    <s v="Graduate Degree"/>
    <x v="4"/>
    <s v="Yes"/>
    <n v="3"/>
    <x v="3"/>
    <x v="2"/>
    <n v="65"/>
    <x v="1"/>
    <x v="0"/>
  </r>
  <r>
    <n v="25886"/>
    <x v="0"/>
    <x v="0"/>
    <n v="60000"/>
    <x v="1"/>
    <n v="2"/>
    <s v="Partial College"/>
    <x v="2"/>
    <s v="Yes"/>
    <n v="2"/>
    <x v="1"/>
    <x v="2"/>
    <n v="56"/>
    <x v="1"/>
    <x v="1"/>
  </r>
  <r>
    <n v="21441"/>
    <x v="0"/>
    <x v="1"/>
    <n v="50000"/>
    <x v="0"/>
    <n v="4"/>
    <s v="Bachelors"/>
    <x v="4"/>
    <s v="Yes"/>
    <n v="2"/>
    <x v="4"/>
    <x v="2"/>
    <n v="64"/>
    <x v="1"/>
    <x v="0"/>
  </r>
  <r>
    <n v="21741"/>
    <x v="0"/>
    <x v="0"/>
    <n v="70000"/>
    <x v="1"/>
    <n v="3"/>
    <s v="Partial College"/>
    <x v="2"/>
    <s v="Yes"/>
    <n v="2"/>
    <x v="2"/>
    <x v="2"/>
    <n v="50"/>
    <x v="0"/>
    <x v="1"/>
  </r>
  <r>
    <n v="14572"/>
    <x v="0"/>
    <x v="0"/>
    <n v="70000"/>
    <x v="1"/>
    <n v="3"/>
    <s v="Graduate Degree"/>
    <x v="2"/>
    <s v="Yes"/>
    <n v="0"/>
    <x v="1"/>
    <x v="2"/>
    <n v="35"/>
    <x v="0"/>
    <x v="1"/>
  </r>
  <r>
    <n v="23368"/>
    <x v="0"/>
    <x v="0"/>
    <n v="60000"/>
    <x v="1"/>
    <n v="5"/>
    <s v="Bachelors"/>
    <x v="0"/>
    <s v="Yes"/>
    <n v="3"/>
    <x v="4"/>
    <x v="2"/>
    <n v="41"/>
    <x v="0"/>
    <x v="0"/>
  </r>
  <r>
    <n v="16217"/>
    <x v="1"/>
    <x v="0"/>
    <n v="60000"/>
    <x v="1"/>
    <n v="0"/>
    <s v="Graduate Degree"/>
    <x v="0"/>
    <s v="Yes"/>
    <n v="0"/>
    <x v="0"/>
    <x v="2"/>
    <n v="39"/>
    <x v="0"/>
    <x v="0"/>
  </r>
  <r>
    <n v="16247"/>
    <x v="1"/>
    <x v="0"/>
    <n v="60000"/>
    <x v="1"/>
    <n v="4"/>
    <s v="Graduate Degree"/>
    <x v="0"/>
    <s v="No"/>
    <n v="0"/>
    <x v="3"/>
    <x v="2"/>
    <n v="47"/>
    <x v="0"/>
    <x v="0"/>
  </r>
  <r>
    <n v="22010"/>
    <x v="1"/>
    <x v="1"/>
    <n v="40000"/>
    <x v="0"/>
    <n v="0"/>
    <s v="High School"/>
    <x v="0"/>
    <s v="Yes"/>
    <n v="2"/>
    <x v="2"/>
    <x v="2"/>
    <n v="31"/>
    <x v="2"/>
    <x v="0"/>
  </r>
  <r>
    <n v="25872"/>
    <x v="1"/>
    <x v="0"/>
    <n v="70000"/>
    <x v="1"/>
    <n v="2"/>
    <s v="Bachelors"/>
    <x v="4"/>
    <s v="No"/>
    <n v="1"/>
    <x v="1"/>
    <x v="2"/>
    <n v="58"/>
    <x v="1"/>
    <x v="1"/>
  </r>
  <r>
    <n v="19164"/>
    <x v="1"/>
    <x v="0"/>
    <n v="70000"/>
    <x v="1"/>
    <n v="0"/>
    <s v="Bachelors"/>
    <x v="2"/>
    <s v="No"/>
    <n v="1"/>
    <x v="1"/>
    <x v="2"/>
    <n v="38"/>
    <x v="0"/>
    <x v="1"/>
  </r>
  <r>
    <n v="18435"/>
    <x v="1"/>
    <x v="0"/>
    <n v="70000"/>
    <x v="1"/>
    <n v="5"/>
    <s v="Graduate Degree"/>
    <x v="4"/>
    <s v="Yes"/>
    <n v="2"/>
    <x v="4"/>
    <x v="2"/>
    <n v="67"/>
    <x v="1"/>
    <x v="1"/>
  </r>
  <r>
    <n v="14284"/>
    <x v="1"/>
    <x v="1"/>
    <n v="60000"/>
    <x v="1"/>
    <n v="0"/>
    <s v="Partial College"/>
    <x v="2"/>
    <s v="No"/>
    <n v="2"/>
    <x v="3"/>
    <x v="2"/>
    <n v="32"/>
    <x v="2"/>
    <x v="1"/>
  </r>
  <r>
    <n v="11287"/>
    <x v="0"/>
    <x v="1"/>
    <n v="70000"/>
    <x v="1"/>
    <n v="5"/>
    <s v="Partial College"/>
    <x v="2"/>
    <s v="No"/>
    <n v="3"/>
    <x v="2"/>
    <x v="2"/>
    <n v="45"/>
    <x v="0"/>
    <x v="0"/>
  </r>
  <r>
    <n v="13066"/>
    <x v="1"/>
    <x v="1"/>
    <n v="30000"/>
    <x v="0"/>
    <n v="0"/>
    <s v="High School"/>
    <x v="0"/>
    <s v="No"/>
    <n v="2"/>
    <x v="3"/>
    <x v="2"/>
    <n v="31"/>
    <x v="2"/>
    <x v="1"/>
  </r>
  <r>
    <n v="29106"/>
    <x v="1"/>
    <x v="1"/>
    <n v="40000"/>
    <x v="0"/>
    <n v="0"/>
    <s v="High School"/>
    <x v="0"/>
    <s v="No"/>
    <n v="2"/>
    <x v="3"/>
    <x v="2"/>
    <n v="31"/>
    <x v="2"/>
    <x v="1"/>
  </r>
  <r>
    <n v="26236"/>
    <x v="0"/>
    <x v="0"/>
    <n v="40000"/>
    <x v="0"/>
    <n v="3"/>
    <s v="Partial College"/>
    <x v="1"/>
    <s v="Yes"/>
    <n v="1"/>
    <x v="0"/>
    <x v="2"/>
    <n v="31"/>
    <x v="2"/>
    <x v="0"/>
  </r>
  <r>
    <n v="17531"/>
    <x v="0"/>
    <x v="1"/>
    <n v="60000"/>
    <x v="1"/>
    <n v="2"/>
    <s v="High School"/>
    <x v="2"/>
    <s v="No"/>
    <n v="2"/>
    <x v="2"/>
    <x v="2"/>
    <n v="50"/>
    <x v="0"/>
    <x v="0"/>
  </r>
  <r>
    <n v="12964"/>
    <x v="0"/>
    <x v="1"/>
    <n v="70000"/>
    <x v="1"/>
    <n v="1"/>
    <s v="Partial College"/>
    <x v="0"/>
    <s v="Yes"/>
    <n v="1"/>
    <x v="0"/>
    <x v="2"/>
    <n v="44"/>
    <x v="0"/>
    <x v="0"/>
  </r>
  <r>
    <n v="19133"/>
    <x v="1"/>
    <x v="1"/>
    <n v="50000"/>
    <x v="0"/>
    <n v="2"/>
    <s v="Bachelors"/>
    <x v="0"/>
    <s v="Yes"/>
    <n v="1"/>
    <x v="1"/>
    <x v="2"/>
    <n v="38"/>
    <x v="0"/>
    <x v="1"/>
  </r>
  <r>
    <n v="24643"/>
    <x v="1"/>
    <x v="0"/>
    <n v="60000"/>
    <x v="1"/>
    <n v="4"/>
    <s v="Bachelors"/>
    <x v="4"/>
    <s v="Yes"/>
    <n v="2"/>
    <x v="4"/>
    <x v="2"/>
    <n v="63"/>
    <x v="1"/>
    <x v="0"/>
  </r>
  <r>
    <n v="21599"/>
    <x v="0"/>
    <x v="0"/>
    <n v="60000"/>
    <x v="1"/>
    <n v="1"/>
    <s v="Graduate Degree"/>
    <x v="2"/>
    <s v="Yes"/>
    <n v="0"/>
    <x v="1"/>
    <x v="2"/>
    <n v="36"/>
    <x v="0"/>
    <x v="1"/>
  </r>
  <r>
    <n v="22976"/>
    <x v="1"/>
    <x v="1"/>
    <n v="40000"/>
    <x v="0"/>
    <n v="0"/>
    <s v="High School"/>
    <x v="0"/>
    <s v="No"/>
    <n v="2"/>
    <x v="0"/>
    <x v="2"/>
    <n v="28"/>
    <x v="2"/>
    <x v="1"/>
  </r>
  <r>
    <n v="27637"/>
    <x v="1"/>
    <x v="0"/>
    <n v="100000"/>
    <x v="2"/>
    <n v="1"/>
    <s v="Partial College"/>
    <x v="2"/>
    <s v="No"/>
    <n v="3"/>
    <x v="3"/>
    <x v="2"/>
    <n v="44"/>
    <x v="0"/>
    <x v="0"/>
  </r>
  <r>
    <n v="11890"/>
    <x v="0"/>
    <x v="0"/>
    <n v="70000"/>
    <x v="1"/>
    <n v="5"/>
    <s v="Graduate Degree"/>
    <x v="2"/>
    <s v="Yes"/>
    <n v="1"/>
    <x v="0"/>
    <x v="2"/>
    <n v="47"/>
    <x v="0"/>
    <x v="0"/>
  </r>
  <r>
    <n v="28580"/>
    <x v="0"/>
    <x v="0"/>
    <n v="80000"/>
    <x v="1"/>
    <n v="0"/>
    <s v="Graduate Degree"/>
    <x v="0"/>
    <s v="Yes"/>
    <n v="0"/>
    <x v="3"/>
    <x v="2"/>
    <n v="40"/>
    <x v="0"/>
    <x v="1"/>
  </r>
  <r>
    <n v="14443"/>
    <x v="0"/>
    <x v="1"/>
    <n v="130000"/>
    <x v="2"/>
    <n v="1"/>
    <s v="Graduate Degree"/>
    <x v="4"/>
    <s v="Yes"/>
    <n v="4"/>
    <x v="0"/>
    <x v="2"/>
    <n v="40"/>
    <x v="0"/>
    <x v="0"/>
  </r>
  <r>
    <n v="17864"/>
    <x v="0"/>
    <x v="0"/>
    <n v="60000"/>
    <x v="1"/>
    <n v="1"/>
    <s v="Partial College"/>
    <x v="0"/>
    <s v="Yes"/>
    <n v="1"/>
    <x v="1"/>
    <x v="2"/>
    <n v="46"/>
    <x v="0"/>
    <x v="1"/>
  </r>
  <r>
    <n v="20505"/>
    <x v="0"/>
    <x v="0"/>
    <n v="40000"/>
    <x v="0"/>
    <n v="5"/>
    <s v="High School"/>
    <x v="2"/>
    <s v="No"/>
    <n v="2"/>
    <x v="4"/>
    <x v="2"/>
    <n v="61"/>
    <x v="1"/>
    <x v="0"/>
  </r>
  <r>
    <n v="14592"/>
    <x v="0"/>
    <x v="0"/>
    <n v="60000"/>
    <x v="1"/>
    <n v="0"/>
    <s v="Graduate Degree"/>
    <x v="2"/>
    <s v="Yes"/>
    <n v="0"/>
    <x v="0"/>
    <x v="2"/>
    <n v="40"/>
    <x v="0"/>
    <x v="0"/>
  </r>
  <r>
    <n v="22227"/>
    <x v="0"/>
    <x v="0"/>
    <n v="60000"/>
    <x v="1"/>
    <n v="2"/>
    <s v="High School"/>
    <x v="2"/>
    <s v="Yes"/>
    <n v="2"/>
    <x v="2"/>
    <x v="2"/>
    <n v="50"/>
    <x v="0"/>
    <x v="0"/>
  </r>
  <r>
    <n v="21471"/>
    <x v="0"/>
    <x v="1"/>
    <n v="70000"/>
    <x v="1"/>
    <n v="2"/>
    <s v="Partial College"/>
    <x v="2"/>
    <s v="Yes"/>
    <n v="1"/>
    <x v="4"/>
    <x v="2"/>
    <n v="59"/>
    <x v="1"/>
    <x v="0"/>
  </r>
  <r>
    <n v="22252"/>
    <x v="1"/>
    <x v="0"/>
    <n v="60000"/>
    <x v="1"/>
    <n v="1"/>
    <s v="Graduate Degree"/>
    <x v="2"/>
    <s v="Yes"/>
    <n v="0"/>
    <x v="1"/>
    <x v="2"/>
    <n v="36"/>
    <x v="0"/>
    <x v="1"/>
  </r>
  <r>
    <n v="21260"/>
    <x v="1"/>
    <x v="0"/>
    <n v="40000"/>
    <x v="0"/>
    <n v="0"/>
    <s v="High School"/>
    <x v="0"/>
    <s v="Yes"/>
    <n v="2"/>
    <x v="2"/>
    <x v="2"/>
    <n v="30"/>
    <x v="2"/>
    <x v="0"/>
  </r>
  <r>
    <n v="11817"/>
    <x v="1"/>
    <x v="0"/>
    <n v="70000"/>
    <x v="1"/>
    <n v="4"/>
    <s v="Graduate Degree"/>
    <x v="2"/>
    <s v="Yes"/>
    <n v="0"/>
    <x v="1"/>
    <x v="2"/>
    <n v="35"/>
    <x v="0"/>
    <x v="1"/>
  </r>
  <r>
    <n v="19223"/>
    <x v="0"/>
    <x v="0"/>
    <n v="30000"/>
    <x v="0"/>
    <n v="2"/>
    <s v="High School"/>
    <x v="0"/>
    <s v="Yes"/>
    <n v="2"/>
    <x v="3"/>
    <x v="2"/>
    <n v="48"/>
    <x v="0"/>
    <x v="0"/>
  </r>
  <r>
    <n v="18517"/>
    <x v="0"/>
    <x v="1"/>
    <n v="100000"/>
    <x v="2"/>
    <n v="3"/>
    <s v="Bachelors"/>
    <x v="4"/>
    <s v="Yes"/>
    <n v="4"/>
    <x v="0"/>
    <x v="2"/>
    <n v="41"/>
    <x v="0"/>
    <x v="0"/>
  </r>
  <r>
    <n v="21717"/>
    <x v="0"/>
    <x v="1"/>
    <n v="40000"/>
    <x v="0"/>
    <n v="2"/>
    <s v="Partial College"/>
    <x v="1"/>
    <s v="Yes"/>
    <n v="1"/>
    <x v="0"/>
    <x v="2"/>
    <n v="47"/>
    <x v="0"/>
    <x v="0"/>
  </r>
  <r>
    <n v="13760"/>
    <x v="0"/>
    <x v="1"/>
    <n v="60000"/>
    <x v="1"/>
    <n v="4"/>
    <s v="Graduate Degree"/>
    <x v="0"/>
    <s v="No"/>
    <n v="0"/>
    <x v="0"/>
    <x v="2"/>
    <n v="47"/>
    <x v="0"/>
    <x v="0"/>
  </r>
  <r>
    <n v="18145"/>
    <x v="0"/>
    <x v="1"/>
    <n v="80000"/>
    <x v="1"/>
    <n v="5"/>
    <s v="Bachelors"/>
    <x v="4"/>
    <s v="No"/>
    <n v="2"/>
    <x v="1"/>
    <x v="0"/>
    <n v="62"/>
    <x v="1"/>
    <x v="0"/>
  </r>
  <r>
    <n v="21770"/>
    <x v="0"/>
    <x v="1"/>
    <n v="60000"/>
    <x v="1"/>
    <n v="4"/>
    <s v="Bachelors"/>
    <x v="4"/>
    <s v="Yes"/>
    <n v="2"/>
    <x v="4"/>
    <x v="2"/>
    <n v="60"/>
    <x v="1"/>
    <x v="0"/>
  </r>
  <r>
    <n v="11165"/>
    <x v="0"/>
    <x v="0"/>
    <n v="60000"/>
    <x v="1"/>
    <n v="0"/>
    <s v="Partial College"/>
    <x v="0"/>
    <s v="No"/>
    <n v="1"/>
    <x v="3"/>
    <x v="2"/>
    <n v="33"/>
    <x v="2"/>
    <x v="0"/>
  </r>
  <r>
    <n v="16377"/>
    <x v="1"/>
    <x v="0"/>
    <n v="80000"/>
    <x v="1"/>
    <n v="4"/>
    <s v="Graduate Degree"/>
    <x v="0"/>
    <s v="No"/>
    <n v="0"/>
    <x v="0"/>
    <x v="2"/>
    <n v="47"/>
    <x v="0"/>
    <x v="0"/>
  </r>
  <r>
    <n v="26248"/>
    <x v="0"/>
    <x v="1"/>
    <n v="20000"/>
    <x v="0"/>
    <n v="3"/>
    <s v="Partial High School"/>
    <x v="1"/>
    <s v="No"/>
    <n v="2"/>
    <x v="0"/>
    <x v="2"/>
    <n v="52"/>
    <x v="0"/>
    <x v="0"/>
  </r>
  <r>
    <n v="23461"/>
    <x v="0"/>
    <x v="0"/>
    <n v="90000"/>
    <x v="1"/>
    <n v="5"/>
    <s v="Partial College"/>
    <x v="2"/>
    <s v="Yes"/>
    <n v="3"/>
    <x v="1"/>
    <x v="2"/>
    <n v="40"/>
    <x v="0"/>
    <x v="0"/>
  </r>
  <r>
    <n v="29133"/>
    <x v="1"/>
    <x v="0"/>
    <n v="60000"/>
    <x v="1"/>
    <n v="4"/>
    <s v="Bachelors"/>
    <x v="0"/>
    <s v="No"/>
    <n v="2"/>
    <x v="0"/>
    <x v="2"/>
    <n v="42"/>
    <x v="0"/>
    <x v="0"/>
  </r>
  <r>
    <n v="27673"/>
    <x v="1"/>
    <x v="0"/>
    <n v="60000"/>
    <x v="1"/>
    <n v="3"/>
    <s v="Graduate Degree"/>
    <x v="4"/>
    <s v="Yes"/>
    <n v="2"/>
    <x v="2"/>
    <x v="2"/>
    <n v="53"/>
    <x v="0"/>
    <x v="1"/>
  </r>
  <r>
    <n v="12774"/>
    <x v="0"/>
    <x v="0"/>
    <n v="40000"/>
    <x v="0"/>
    <n v="1"/>
    <s v="Partial College"/>
    <x v="1"/>
    <s v="Yes"/>
    <n v="1"/>
    <x v="3"/>
    <x v="2"/>
    <n v="51"/>
    <x v="0"/>
    <x v="1"/>
  </r>
  <r>
    <n v="18910"/>
    <x v="1"/>
    <x v="1"/>
    <n v="30000"/>
    <x v="0"/>
    <n v="0"/>
    <s v="Partial College"/>
    <x v="0"/>
    <s v="Yes"/>
    <n v="2"/>
    <x v="2"/>
    <x v="2"/>
    <n v="30"/>
    <x v="2"/>
    <x v="0"/>
  </r>
  <r>
    <n v="11699"/>
    <x v="1"/>
    <x v="1"/>
    <n v="60000"/>
    <x v="1"/>
    <n v="0"/>
    <s v="Bachelors"/>
    <x v="0"/>
    <s v="No"/>
    <n v="2"/>
    <x v="0"/>
    <x v="2"/>
    <n v="30"/>
    <x v="2"/>
    <x v="0"/>
  </r>
  <r>
    <n v="16725"/>
    <x v="0"/>
    <x v="1"/>
    <n v="30000"/>
    <x v="0"/>
    <n v="0"/>
    <s v="High School"/>
    <x v="0"/>
    <s v="Yes"/>
    <n v="2"/>
    <x v="2"/>
    <x v="2"/>
    <n v="26"/>
    <x v="2"/>
    <x v="0"/>
  </r>
  <r>
    <n v="28269"/>
    <x v="1"/>
    <x v="0"/>
    <n v="130000"/>
    <x v="2"/>
    <n v="1"/>
    <s v="Bachelors"/>
    <x v="4"/>
    <s v="No"/>
    <n v="1"/>
    <x v="1"/>
    <x v="2"/>
    <n v="45"/>
    <x v="0"/>
    <x v="0"/>
  </r>
  <r>
    <n v="23144"/>
    <x v="0"/>
    <x v="1"/>
    <n v="50000"/>
    <x v="0"/>
    <n v="1"/>
    <s v="Bachelors"/>
    <x v="0"/>
    <s v="Yes"/>
    <n v="0"/>
    <x v="0"/>
    <x v="2"/>
    <n v="34"/>
    <x v="2"/>
    <x v="1"/>
  </r>
  <r>
    <n v="23376"/>
    <x v="0"/>
    <x v="1"/>
    <n v="70000"/>
    <x v="1"/>
    <n v="1"/>
    <s v="Bachelors"/>
    <x v="2"/>
    <s v="Yes"/>
    <n v="1"/>
    <x v="1"/>
    <x v="2"/>
    <n v="44"/>
    <x v="0"/>
    <x v="1"/>
  </r>
  <r>
    <n v="25970"/>
    <x v="1"/>
    <x v="0"/>
    <n v="60000"/>
    <x v="1"/>
    <n v="4"/>
    <s v="Bachelors"/>
    <x v="0"/>
    <s v="No"/>
    <n v="2"/>
    <x v="0"/>
    <x v="2"/>
    <n v="41"/>
    <x v="0"/>
    <x v="1"/>
  </r>
  <r>
    <n v="28068"/>
    <x v="1"/>
    <x v="0"/>
    <n v="80000"/>
    <x v="1"/>
    <n v="3"/>
    <s v="Graduate Degree"/>
    <x v="2"/>
    <s v="No"/>
    <n v="0"/>
    <x v="0"/>
    <x v="2"/>
    <n v="36"/>
    <x v="0"/>
    <x v="1"/>
  </r>
  <r>
    <n v="18390"/>
    <x v="0"/>
    <x v="1"/>
    <n v="80000"/>
    <x v="1"/>
    <n v="5"/>
    <s v="Partial College"/>
    <x v="2"/>
    <s v="Yes"/>
    <n v="2"/>
    <x v="0"/>
    <x v="2"/>
    <n v="44"/>
    <x v="0"/>
    <x v="0"/>
  </r>
  <r>
    <n v="29112"/>
    <x v="1"/>
    <x v="1"/>
    <n v="60000"/>
    <x v="1"/>
    <n v="0"/>
    <s v="Partial College"/>
    <x v="2"/>
    <s v="No"/>
    <n v="2"/>
    <x v="3"/>
    <x v="2"/>
    <n v="30"/>
    <x v="2"/>
    <x v="0"/>
  </r>
  <r>
    <n v="14090"/>
    <x v="0"/>
    <x v="0"/>
    <n v="30000"/>
    <x v="0"/>
    <n v="0"/>
    <s v="Partial High School"/>
    <x v="1"/>
    <s v="No"/>
    <n v="2"/>
    <x v="0"/>
    <x v="2"/>
    <n v="28"/>
    <x v="2"/>
    <x v="0"/>
  </r>
  <r>
    <n v="27040"/>
    <x v="0"/>
    <x v="1"/>
    <n v="20000"/>
    <x v="0"/>
    <n v="2"/>
    <s v="Partial High School"/>
    <x v="1"/>
    <s v="Yes"/>
    <n v="2"/>
    <x v="3"/>
    <x v="2"/>
    <n v="49"/>
    <x v="0"/>
    <x v="0"/>
  </r>
  <r>
    <n v="23479"/>
    <x v="1"/>
    <x v="1"/>
    <n v="90000"/>
    <x v="1"/>
    <n v="0"/>
    <s v="Partial College"/>
    <x v="2"/>
    <s v="No"/>
    <n v="2"/>
    <x v="0"/>
    <x v="2"/>
    <n v="43"/>
    <x v="0"/>
    <x v="1"/>
  </r>
  <r>
    <n v="16795"/>
    <x v="0"/>
    <x v="0"/>
    <n v="70000"/>
    <x v="1"/>
    <n v="4"/>
    <s v="Bachelors"/>
    <x v="4"/>
    <s v="Yes"/>
    <n v="1"/>
    <x v="3"/>
    <x v="2"/>
    <n v="59"/>
    <x v="1"/>
    <x v="0"/>
  </r>
  <r>
    <n v="22014"/>
    <x v="1"/>
    <x v="1"/>
    <n v="30000"/>
    <x v="0"/>
    <n v="0"/>
    <s v="High School"/>
    <x v="0"/>
    <s v="Yes"/>
    <n v="2"/>
    <x v="2"/>
    <x v="2"/>
    <n v="26"/>
    <x v="2"/>
    <x v="0"/>
  </r>
  <r>
    <n v="13314"/>
    <x v="0"/>
    <x v="1"/>
    <n v="120000"/>
    <x v="2"/>
    <n v="1"/>
    <s v="High School"/>
    <x v="2"/>
    <s v="Yes"/>
    <n v="4"/>
    <x v="2"/>
    <x v="2"/>
    <n v="46"/>
    <x v="0"/>
    <x v="1"/>
  </r>
  <r>
    <n v="11619"/>
    <x v="1"/>
    <x v="0"/>
    <n v="50000"/>
    <x v="0"/>
    <n v="0"/>
    <s v="Graduate Degree"/>
    <x v="0"/>
    <s v="Yes"/>
    <n v="0"/>
    <x v="3"/>
    <x v="2"/>
    <n v="33"/>
    <x v="2"/>
    <x v="0"/>
  </r>
  <r>
    <n v="29132"/>
    <x v="1"/>
    <x v="0"/>
    <n v="40000"/>
    <x v="0"/>
    <n v="0"/>
    <s v="Bachelors"/>
    <x v="2"/>
    <s v="Yes"/>
    <n v="1"/>
    <x v="1"/>
    <x v="2"/>
    <n v="42"/>
    <x v="0"/>
    <x v="1"/>
  </r>
  <r>
    <n v="11199"/>
    <x v="0"/>
    <x v="0"/>
    <n v="70000"/>
    <x v="1"/>
    <n v="4"/>
    <s v="Bachelors"/>
    <x v="4"/>
    <s v="Yes"/>
    <n v="1"/>
    <x v="4"/>
    <x v="2"/>
    <n v="59"/>
    <x v="1"/>
    <x v="0"/>
  </r>
  <r>
    <n v="20296"/>
    <x v="1"/>
    <x v="0"/>
    <n v="60000"/>
    <x v="1"/>
    <n v="0"/>
    <s v="Partial College"/>
    <x v="0"/>
    <s v="No"/>
    <n v="1"/>
    <x v="3"/>
    <x v="2"/>
    <n v="33"/>
    <x v="2"/>
    <x v="1"/>
  </r>
  <r>
    <n v="17546"/>
    <x v="0"/>
    <x v="0"/>
    <n v="70000"/>
    <x v="1"/>
    <n v="1"/>
    <s v="Partial College"/>
    <x v="0"/>
    <s v="Yes"/>
    <n v="1"/>
    <x v="0"/>
    <x v="2"/>
    <n v="44"/>
    <x v="0"/>
    <x v="1"/>
  </r>
  <r>
    <n v="18069"/>
    <x v="0"/>
    <x v="1"/>
    <n v="70000"/>
    <x v="1"/>
    <n v="5"/>
    <s v="Bachelors"/>
    <x v="4"/>
    <s v="Yes"/>
    <n v="4"/>
    <x v="4"/>
    <x v="2"/>
    <n v="60"/>
    <x v="1"/>
    <x v="0"/>
  </r>
  <r>
    <n v="23712"/>
    <x v="1"/>
    <x v="0"/>
    <n v="70000"/>
    <x v="1"/>
    <n v="2"/>
    <s v="Bachelors"/>
    <x v="4"/>
    <s v="Yes"/>
    <n v="1"/>
    <x v="4"/>
    <x v="2"/>
    <n v="59"/>
    <x v="1"/>
    <x v="0"/>
  </r>
  <r>
    <n v="23358"/>
    <x v="0"/>
    <x v="1"/>
    <n v="60000"/>
    <x v="1"/>
    <n v="0"/>
    <s v="High School"/>
    <x v="2"/>
    <s v="Yes"/>
    <n v="2"/>
    <x v="2"/>
    <x v="2"/>
    <n v="32"/>
    <x v="2"/>
    <x v="1"/>
  </r>
  <r>
    <n v="20518"/>
    <x v="0"/>
    <x v="0"/>
    <n v="70000"/>
    <x v="1"/>
    <n v="2"/>
    <s v="Partial College"/>
    <x v="2"/>
    <s v="Yes"/>
    <n v="1"/>
    <x v="4"/>
    <x v="2"/>
    <n v="58"/>
    <x v="1"/>
    <x v="0"/>
  </r>
  <r>
    <n v="28026"/>
    <x v="0"/>
    <x v="0"/>
    <n v="40000"/>
    <x v="0"/>
    <n v="2"/>
    <s v="High School"/>
    <x v="2"/>
    <s v="No"/>
    <n v="2"/>
    <x v="1"/>
    <x v="2"/>
    <n v="59"/>
    <x v="1"/>
    <x v="0"/>
  </r>
  <r>
    <n v="11669"/>
    <x v="1"/>
    <x v="0"/>
    <n v="70000"/>
    <x v="1"/>
    <n v="2"/>
    <s v="Bachelors"/>
    <x v="0"/>
    <s v="Yes"/>
    <n v="1"/>
    <x v="1"/>
    <x v="2"/>
    <n v="38"/>
    <x v="0"/>
    <x v="0"/>
  </r>
  <r>
    <n v="16020"/>
    <x v="0"/>
    <x v="1"/>
    <n v="40000"/>
    <x v="0"/>
    <n v="0"/>
    <s v="High School"/>
    <x v="0"/>
    <s v="Yes"/>
    <n v="2"/>
    <x v="2"/>
    <x v="2"/>
    <n v="28"/>
    <x v="2"/>
    <x v="1"/>
  </r>
  <r>
    <n v="27090"/>
    <x v="0"/>
    <x v="0"/>
    <n v="60000"/>
    <x v="1"/>
    <n v="1"/>
    <s v="Graduate Degree"/>
    <x v="2"/>
    <s v="Yes"/>
    <n v="0"/>
    <x v="1"/>
    <x v="2"/>
    <n v="37"/>
    <x v="0"/>
    <x v="1"/>
  </r>
  <r>
    <n v="27198"/>
    <x v="1"/>
    <x v="0"/>
    <n v="80000"/>
    <x v="1"/>
    <n v="0"/>
    <s v="Graduate Degree"/>
    <x v="0"/>
    <s v="No"/>
    <n v="0"/>
    <x v="0"/>
    <x v="2"/>
    <n v="40"/>
    <x v="0"/>
    <x v="0"/>
  </r>
  <r>
    <n v="19661"/>
    <x v="1"/>
    <x v="1"/>
    <n v="90000"/>
    <x v="1"/>
    <n v="4"/>
    <s v="Bachelors"/>
    <x v="4"/>
    <s v="Yes"/>
    <n v="1"/>
    <x v="3"/>
    <x v="2"/>
    <n v="38"/>
    <x v="0"/>
    <x v="1"/>
  </r>
  <r>
    <n v="26327"/>
    <x v="0"/>
    <x v="1"/>
    <n v="70000"/>
    <x v="1"/>
    <n v="4"/>
    <s v="Graduate Degree"/>
    <x v="2"/>
    <s v="Yes"/>
    <n v="0"/>
    <x v="1"/>
    <x v="2"/>
    <n v="36"/>
    <x v="0"/>
    <x v="1"/>
  </r>
  <r>
    <n v="26341"/>
    <x v="0"/>
    <x v="0"/>
    <n v="70000"/>
    <x v="1"/>
    <n v="5"/>
    <s v="Graduate Degree"/>
    <x v="2"/>
    <s v="Yes"/>
    <n v="2"/>
    <x v="0"/>
    <x v="2"/>
    <n v="37"/>
    <x v="0"/>
    <x v="0"/>
  </r>
  <r>
    <n v="24958"/>
    <x v="1"/>
    <x v="0"/>
    <n v="40000"/>
    <x v="0"/>
    <n v="5"/>
    <s v="High School"/>
    <x v="2"/>
    <s v="No"/>
    <n v="3"/>
    <x v="1"/>
    <x v="2"/>
    <n v="60"/>
    <x v="1"/>
    <x v="1"/>
  </r>
  <r>
    <n v="13287"/>
    <x v="1"/>
    <x v="1"/>
    <n v="110000"/>
    <x v="2"/>
    <n v="4"/>
    <s v="Bachelors"/>
    <x v="4"/>
    <s v="Yes"/>
    <n v="4"/>
    <x v="2"/>
    <x v="2"/>
    <n v="42"/>
    <x v="0"/>
    <x v="1"/>
  </r>
  <r>
    <n v="14493"/>
    <x v="1"/>
    <x v="0"/>
    <n v="70000"/>
    <x v="1"/>
    <n v="3"/>
    <s v="Graduate Degree"/>
    <x v="4"/>
    <s v="No"/>
    <n v="2"/>
    <x v="3"/>
    <x v="2"/>
    <n v="53"/>
    <x v="0"/>
    <x v="0"/>
  </r>
  <r>
    <n v="26678"/>
    <x v="1"/>
    <x v="0"/>
    <n v="80000"/>
    <x v="1"/>
    <n v="2"/>
    <s v="Partial High School"/>
    <x v="0"/>
    <s v="Yes"/>
    <n v="2"/>
    <x v="2"/>
    <x v="2"/>
    <n v="49"/>
    <x v="0"/>
    <x v="0"/>
  </r>
  <r>
    <n v="23275"/>
    <x v="0"/>
    <x v="1"/>
    <n v="30000"/>
    <x v="0"/>
    <n v="2"/>
    <s v="High School"/>
    <x v="0"/>
    <s v="Yes"/>
    <n v="2"/>
    <x v="3"/>
    <x v="2"/>
    <n v="49"/>
    <x v="0"/>
    <x v="0"/>
  </r>
  <r>
    <n v="11270"/>
    <x v="0"/>
    <x v="1"/>
    <n v="130000"/>
    <x v="2"/>
    <n v="2"/>
    <s v="Graduate Degree"/>
    <x v="4"/>
    <s v="Yes"/>
    <n v="3"/>
    <x v="0"/>
    <x v="2"/>
    <n v="42"/>
    <x v="0"/>
    <x v="1"/>
  </r>
  <r>
    <n v="20084"/>
    <x v="0"/>
    <x v="1"/>
    <n v="20000"/>
    <x v="0"/>
    <n v="2"/>
    <s v="High School"/>
    <x v="3"/>
    <s v="No"/>
    <n v="2"/>
    <x v="0"/>
    <x v="2"/>
    <n v="53"/>
    <x v="0"/>
    <x v="0"/>
  </r>
  <r>
    <n v="16144"/>
    <x v="0"/>
    <x v="1"/>
    <n v="70000"/>
    <x v="1"/>
    <n v="1"/>
    <s v="Graduate Degree"/>
    <x v="2"/>
    <s v="Yes"/>
    <n v="1"/>
    <x v="0"/>
    <x v="2"/>
    <n v="46"/>
    <x v="0"/>
    <x v="1"/>
  </r>
  <r>
    <n v="27731"/>
    <x v="0"/>
    <x v="1"/>
    <n v="40000"/>
    <x v="0"/>
    <n v="0"/>
    <s v="High School"/>
    <x v="0"/>
    <s v="Yes"/>
    <n v="2"/>
    <x v="2"/>
    <x v="2"/>
    <n v="27"/>
    <x v="2"/>
    <x v="0"/>
  </r>
  <r>
    <n v="11886"/>
    <x v="0"/>
    <x v="0"/>
    <n v="60000"/>
    <x v="1"/>
    <n v="3"/>
    <s v="Bachelors"/>
    <x v="2"/>
    <s v="Yes"/>
    <n v="1"/>
    <x v="0"/>
    <x v="2"/>
    <n v="48"/>
    <x v="0"/>
    <x v="1"/>
  </r>
  <r>
    <n v="24324"/>
    <x v="1"/>
    <x v="0"/>
    <n v="60000"/>
    <x v="1"/>
    <n v="4"/>
    <s v="Bachelors"/>
    <x v="0"/>
    <s v="Yes"/>
    <n v="2"/>
    <x v="1"/>
    <x v="2"/>
    <n v="41"/>
    <x v="0"/>
    <x v="1"/>
  </r>
  <r>
    <n v="22220"/>
    <x v="0"/>
    <x v="1"/>
    <n v="60000"/>
    <x v="1"/>
    <n v="2"/>
    <s v="High School"/>
    <x v="2"/>
    <s v="No"/>
    <n v="2"/>
    <x v="3"/>
    <x v="2"/>
    <n v="49"/>
    <x v="0"/>
    <x v="1"/>
  </r>
  <r>
    <n v="26625"/>
    <x v="1"/>
    <x v="0"/>
    <n v="60000"/>
    <x v="1"/>
    <n v="0"/>
    <s v="Graduate Degree"/>
    <x v="2"/>
    <s v="Yes"/>
    <n v="1"/>
    <x v="1"/>
    <x v="2"/>
    <n v="38"/>
    <x v="0"/>
    <x v="1"/>
  </r>
  <r>
    <n v="23027"/>
    <x v="1"/>
    <x v="1"/>
    <n v="130000"/>
    <x v="2"/>
    <n v="1"/>
    <s v="Bachelors"/>
    <x v="4"/>
    <s v="No"/>
    <n v="4"/>
    <x v="0"/>
    <x v="2"/>
    <n v="44"/>
    <x v="0"/>
    <x v="0"/>
  </r>
  <r>
    <n v="16867"/>
    <x v="1"/>
    <x v="0"/>
    <n v="130000"/>
    <x v="2"/>
    <n v="1"/>
    <s v="Bachelors"/>
    <x v="4"/>
    <s v="No"/>
    <n v="3"/>
    <x v="0"/>
    <x v="2"/>
    <n v="45"/>
    <x v="0"/>
    <x v="1"/>
  </r>
  <r>
    <n v="14514"/>
    <x v="1"/>
    <x v="0"/>
    <n v="30000"/>
    <x v="0"/>
    <n v="0"/>
    <s v="Partial College"/>
    <x v="0"/>
    <s v="Yes"/>
    <n v="1"/>
    <x v="2"/>
    <x v="2"/>
    <n v="26"/>
    <x v="2"/>
    <x v="0"/>
  </r>
  <r>
    <n v="19634"/>
    <x v="0"/>
    <x v="1"/>
    <n v="40000"/>
    <x v="0"/>
    <n v="0"/>
    <s v="High School"/>
    <x v="0"/>
    <s v="Yes"/>
    <n v="1"/>
    <x v="2"/>
    <x v="2"/>
    <n v="31"/>
    <x v="2"/>
    <x v="0"/>
  </r>
  <r>
    <n v="18504"/>
    <x v="0"/>
    <x v="1"/>
    <n v="70000"/>
    <x v="1"/>
    <n v="2"/>
    <s v="Partial High School"/>
    <x v="0"/>
    <s v="No"/>
    <n v="2"/>
    <x v="3"/>
    <x v="2"/>
    <n v="49"/>
    <x v="0"/>
    <x v="0"/>
  </r>
  <r>
    <n v="28799"/>
    <x v="1"/>
    <x v="0"/>
    <n v="40000"/>
    <x v="0"/>
    <n v="2"/>
    <s v="Partial College"/>
    <x v="1"/>
    <s v="No"/>
    <n v="1"/>
    <x v="3"/>
    <x v="2"/>
    <n v="47"/>
    <x v="0"/>
    <x v="1"/>
  </r>
  <r>
    <n v="11225"/>
    <x v="0"/>
    <x v="0"/>
    <n v="60000"/>
    <x v="1"/>
    <n v="2"/>
    <s v="Partial College"/>
    <x v="2"/>
    <s v="Yes"/>
    <n v="1"/>
    <x v="4"/>
    <x v="2"/>
    <n v="55"/>
    <x v="1"/>
    <x v="0"/>
  </r>
  <r>
    <n v="17657"/>
    <x v="0"/>
    <x v="1"/>
    <n v="40000"/>
    <x v="0"/>
    <n v="4"/>
    <s v="Partial College"/>
    <x v="1"/>
    <s v="No"/>
    <n v="0"/>
    <x v="0"/>
    <x v="2"/>
    <n v="30"/>
    <x v="2"/>
    <x v="0"/>
  </r>
  <r>
    <n v="14913"/>
    <x v="0"/>
    <x v="0"/>
    <n v="40000"/>
    <x v="0"/>
    <n v="1"/>
    <s v="Partial College"/>
    <x v="1"/>
    <s v="Yes"/>
    <n v="1"/>
    <x v="3"/>
    <x v="2"/>
    <n v="48"/>
    <x v="0"/>
    <x v="1"/>
  </r>
  <r>
    <n v="14077"/>
    <x v="1"/>
    <x v="1"/>
    <n v="30000"/>
    <x v="0"/>
    <n v="0"/>
    <s v="High School"/>
    <x v="0"/>
    <s v="Yes"/>
    <n v="2"/>
    <x v="2"/>
    <x v="2"/>
    <n v="30"/>
    <x v="2"/>
    <x v="0"/>
  </r>
  <r>
    <n v="13296"/>
    <x v="0"/>
    <x v="1"/>
    <n v="110000"/>
    <x v="2"/>
    <n v="1"/>
    <s v="Bachelors"/>
    <x v="4"/>
    <s v="Yes"/>
    <n v="3"/>
    <x v="2"/>
    <x v="2"/>
    <n v="45"/>
    <x v="0"/>
    <x v="0"/>
  </r>
  <r>
    <n v="20535"/>
    <x v="0"/>
    <x v="0"/>
    <n v="70000"/>
    <x v="1"/>
    <n v="4"/>
    <s v="Partial College"/>
    <x v="2"/>
    <s v="Yes"/>
    <n v="1"/>
    <x v="4"/>
    <x v="2"/>
    <n v="56"/>
    <x v="1"/>
    <x v="0"/>
  </r>
  <r>
    <n v="12452"/>
    <x v="0"/>
    <x v="1"/>
    <n v="60000"/>
    <x v="1"/>
    <n v="4"/>
    <s v="Graduate Degree"/>
    <x v="0"/>
    <s v="Yes"/>
    <n v="0"/>
    <x v="3"/>
    <x v="2"/>
    <n v="47"/>
    <x v="0"/>
    <x v="1"/>
  </r>
  <r>
    <n v="28043"/>
    <x v="0"/>
    <x v="0"/>
    <n v="60000"/>
    <x v="1"/>
    <n v="2"/>
    <s v="Bachelors"/>
    <x v="4"/>
    <s v="Yes"/>
    <n v="0"/>
    <x v="4"/>
    <x v="2"/>
    <n v="56"/>
    <x v="1"/>
    <x v="0"/>
  </r>
  <r>
    <n v="12957"/>
    <x v="1"/>
    <x v="0"/>
    <n v="70000"/>
    <x v="1"/>
    <n v="1"/>
    <s v="Bachelors"/>
    <x v="2"/>
    <s v="No"/>
    <n v="1"/>
    <x v="0"/>
    <x v="2"/>
    <n v="44"/>
    <x v="0"/>
    <x v="0"/>
  </r>
  <r>
    <n v="15412"/>
    <x v="0"/>
    <x v="1"/>
    <n v="130000"/>
    <x v="2"/>
    <n v="2"/>
    <s v="Graduate Degree"/>
    <x v="4"/>
    <s v="Yes"/>
    <n v="3"/>
    <x v="1"/>
    <x v="2"/>
    <n v="69"/>
    <x v="1"/>
    <x v="0"/>
  </r>
  <r>
    <n v="20514"/>
    <x v="0"/>
    <x v="0"/>
    <n v="70000"/>
    <x v="1"/>
    <n v="2"/>
    <s v="Partial College"/>
    <x v="2"/>
    <s v="Yes"/>
    <n v="1"/>
    <x v="1"/>
    <x v="2"/>
    <n v="59"/>
    <x v="1"/>
    <x v="0"/>
  </r>
  <r>
    <n v="20758"/>
    <x v="0"/>
    <x v="1"/>
    <n v="30000"/>
    <x v="0"/>
    <n v="2"/>
    <s v="High School"/>
    <x v="0"/>
    <s v="Yes"/>
    <n v="2"/>
    <x v="3"/>
    <x v="2"/>
    <n v="50"/>
    <x v="0"/>
    <x v="0"/>
  </r>
  <r>
    <n v="11801"/>
    <x v="0"/>
    <x v="1"/>
    <n v="60000"/>
    <x v="1"/>
    <n v="1"/>
    <s v="Graduate Degree"/>
    <x v="2"/>
    <s v="Yes"/>
    <n v="0"/>
    <x v="1"/>
    <x v="2"/>
    <n v="36"/>
    <x v="0"/>
    <x v="0"/>
  </r>
  <r>
    <n v="22211"/>
    <x v="0"/>
    <x v="1"/>
    <n v="60000"/>
    <x v="1"/>
    <n v="0"/>
    <s v="Partial College"/>
    <x v="2"/>
    <s v="Yes"/>
    <n v="2"/>
    <x v="2"/>
    <x v="2"/>
    <n v="32"/>
    <x v="2"/>
    <x v="0"/>
  </r>
  <r>
    <n v="28087"/>
    <x v="1"/>
    <x v="0"/>
    <n v="40000"/>
    <x v="0"/>
    <n v="0"/>
    <s v="Partial College"/>
    <x v="0"/>
    <s v="No"/>
    <n v="1"/>
    <x v="3"/>
    <x v="2"/>
    <n v="27"/>
    <x v="2"/>
    <x v="0"/>
  </r>
  <r>
    <n v="23668"/>
    <x v="0"/>
    <x v="0"/>
    <n v="40000"/>
    <x v="0"/>
    <n v="4"/>
    <s v="High School"/>
    <x v="2"/>
    <s v="Yes"/>
    <n v="2"/>
    <x v="2"/>
    <x v="2"/>
    <n v="59"/>
    <x v="1"/>
    <x v="1"/>
  </r>
  <r>
    <n v="27441"/>
    <x v="0"/>
    <x v="1"/>
    <n v="60000"/>
    <x v="1"/>
    <n v="3"/>
    <s v="High School"/>
    <x v="2"/>
    <s v="No"/>
    <n v="2"/>
    <x v="1"/>
    <x v="2"/>
    <n v="53"/>
    <x v="0"/>
    <x v="0"/>
  </r>
  <r>
    <n v="27261"/>
    <x v="0"/>
    <x v="1"/>
    <n v="40000"/>
    <x v="0"/>
    <n v="1"/>
    <s v="Bachelors"/>
    <x v="0"/>
    <s v="No"/>
    <n v="1"/>
    <x v="0"/>
    <x v="2"/>
    <n v="36"/>
    <x v="0"/>
    <x v="1"/>
  </r>
  <r>
    <n v="18649"/>
    <x v="1"/>
    <x v="1"/>
    <n v="30000"/>
    <x v="0"/>
    <n v="1"/>
    <s v="High School"/>
    <x v="1"/>
    <s v="Yes"/>
    <n v="2"/>
    <x v="3"/>
    <x v="2"/>
    <n v="51"/>
    <x v="0"/>
    <x v="1"/>
  </r>
  <r>
    <n v="21714"/>
    <x v="1"/>
    <x v="0"/>
    <n v="80000"/>
    <x v="1"/>
    <n v="5"/>
    <s v="Graduate Degree"/>
    <x v="0"/>
    <s v="No"/>
    <n v="0"/>
    <x v="0"/>
    <x v="2"/>
    <n v="47"/>
    <x v="0"/>
    <x v="0"/>
  </r>
  <r>
    <n v="23217"/>
    <x v="1"/>
    <x v="0"/>
    <n v="60000"/>
    <x v="1"/>
    <n v="3"/>
    <s v="Graduate Degree"/>
    <x v="2"/>
    <s v="Yes"/>
    <n v="0"/>
    <x v="1"/>
    <x v="2"/>
    <n v="43"/>
    <x v="0"/>
    <x v="1"/>
  </r>
  <r>
    <n v="23797"/>
    <x v="1"/>
    <x v="1"/>
    <n v="20000"/>
    <x v="0"/>
    <n v="3"/>
    <s v="Partial High School"/>
    <x v="1"/>
    <s v="No"/>
    <n v="2"/>
    <x v="0"/>
    <x v="2"/>
    <n v="50"/>
    <x v="0"/>
    <x v="0"/>
  </r>
  <r>
    <n v="13216"/>
    <x v="0"/>
    <x v="0"/>
    <n v="60000"/>
    <x v="1"/>
    <n v="5"/>
    <s v="Bachelors"/>
    <x v="4"/>
    <s v="Yes"/>
    <n v="3"/>
    <x v="4"/>
    <x v="2"/>
    <n v="59"/>
    <x v="1"/>
    <x v="0"/>
  </r>
  <r>
    <n v="20657"/>
    <x v="1"/>
    <x v="1"/>
    <n v="50000"/>
    <x v="0"/>
    <n v="2"/>
    <s v="Bachelors"/>
    <x v="0"/>
    <s v="Yes"/>
    <n v="0"/>
    <x v="1"/>
    <x v="2"/>
    <n v="37"/>
    <x v="0"/>
    <x v="1"/>
  </r>
  <r>
    <n v="12882"/>
    <x v="0"/>
    <x v="1"/>
    <n v="50000"/>
    <x v="0"/>
    <n v="1"/>
    <s v="Graduate Degree"/>
    <x v="0"/>
    <s v="Yes"/>
    <n v="0"/>
    <x v="0"/>
    <x v="2"/>
    <n v="33"/>
    <x v="2"/>
    <x v="1"/>
  </r>
  <r>
    <n v="25908"/>
    <x v="0"/>
    <x v="0"/>
    <n v="60000"/>
    <x v="1"/>
    <n v="0"/>
    <s v="Partial College"/>
    <x v="0"/>
    <s v="No"/>
    <n v="1"/>
    <x v="3"/>
    <x v="2"/>
    <n v="27"/>
    <x v="2"/>
    <x v="0"/>
  </r>
  <r>
    <n v="16753"/>
    <x v="1"/>
    <x v="0"/>
    <n v="70000"/>
    <x v="1"/>
    <n v="0"/>
    <s v="Partial College"/>
    <x v="0"/>
    <s v="Yes"/>
    <n v="2"/>
    <x v="2"/>
    <x v="2"/>
    <n v="34"/>
    <x v="2"/>
    <x v="1"/>
  </r>
  <r>
    <n v="14608"/>
    <x v="0"/>
    <x v="1"/>
    <n v="50000"/>
    <x v="0"/>
    <n v="4"/>
    <s v="Bachelors"/>
    <x v="0"/>
    <s v="Yes"/>
    <n v="3"/>
    <x v="4"/>
    <x v="2"/>
    <n v="42"/>
    <x v="0"/>
    <x v="0"/>
  </r>
  <r>
    <n v="24979"/>
    <x v="0"/>
    <x v="0"/>
    <n v="60000"/>
    <x v="1"/>
    <n v="2"/>
    <s v="Partial College"/>
    <x v="2"/>
    <s v="Yes"/>
    <n v="2"/>
    <x v="1"/>
    <x v="2"/>
    <n v="57"/>
    <x v="1"/>
    <x v="1"/>
  </r>
  <r>
    <n v="13313"/>
    <x v="0"/>
    <x v="0"/>
    <n v="120000"/>
    <x v="2"/>
    <n v="1"/>
    <s v="High School"/>
    <x v="2"/>
    <s v="No"/>
    <n v="4"/>
    <x v="1"/>
    <x v="2"/>
    <n v="45"/>
    <x v="0"/>
    <x v="0"/>
  </r>
  <r>
    <n v="18952"/>
    <x v="0"/>
    <x v="0"/>
    <n v="100000"/>
    <x v="2"/>
    <n v="4"/>
    <s v="Bachelors"/>
    <x v="4"/>
    <s v="Yes"/>
    <n v="4"/>
    <x v="0"/>
    <x v="2"/>
    <n v="40"/>
    <x v="0"/>
    <x v="0"/>
  </r>
  <r>
    <n v="17699"/>
    <x v="0"/>
    <x v="1"/>
    <n v="60000"/>
    <x v="1"/>
    <n v="1"/>
    <s v="Graduate Degree"/>
    <x v="0"/>
    <s v="No"/>
    <n v="0"/>
    <x v="0"/>
    <x v="2"/>
    <n v="55"/>
    <x v="1"/>
    <x v="0"/>
  </r>
  <r>
    <n v="14657"/>
    <x v="0"/>
    <x v="1"/>
    <n v="80000"/>
    <x v="1"/>
    <n v="1"/>
    <s v="Partial College"/>
    <x v="0"/>
    <s v="No"/>
    <n v="1"/>
    <x v="0"/>
    <x v="2"/>
    <n v="47"/>
    <x v="0"/>
    <x v="1"/>
  </r>
  <r>
    <n v="11540"/>
    <x v="1"/>
    <x v="1"/>
    <n v="60000"/>
    <x v="1"/>
    <n v="4"/>
    <s v="Graduate Degree"/>
    <x v="0"/>
    <s v="Yes"/>
    <n v="0"/>
    <x v="3"/>
    <x v="2"/>
    <n v="47"/>
    <x v="0"/>
    <x v="1"/>
  </r>
  <r>
    <n v="11783"/>
    <x v="0"/>
    <x v="0"/>
    <n v="60000"/>
    <x v="1"/>
    <n v="1"/>
    <s v="Graduate Degree"/>
    <x v="0"/>
    <s v="Yes"/>
    <n v="0"/>
    <x v="0"/>
    <x v="2"/>
    <n v="34"/>
    <x v="2"/>
    <x v="0"/>
  </r>
  <r>
    <n v="14602"/>
    <x v="0"/>
    <x v="0"/>
    <n v="80000"/>
    <x v="1"/>
    <n v="3"/>
    <s v="Graduate Degree"/>
    <x v="2"/>
    <s v="Yes"/>
    <n v="0"/>
    <x v="0"/>
    <x v="2"/>
    <n v="36"/>
    <x v="0"/>
    <x v="1"/>
  </r>
  <r>
    <n v="29030"/>
    <x v="0"/>
    <x v="1"/>
    <n v="70000"/>
    <x v="1"/>
    <n v="2"/>
    <s v="Partial High School"/>
    <x v="0"/>
    <s v="Yes"/>
    <n v="2"/>
    <x v="4"/>
    <x v="2"/>
    <n v="54"/>
    <x v="0"/>
    <x v="0"/>
  </r>
  <r>
    <n v="26490"/>
    <x v="1"/>
    <x v="1"/>
    <n v="70000"/>
    <x v="1"/>
    <n v="2"/>
    <s v="Bachelors"/>
    <x v="4"/>
    <s v="No"/>
    <n v="1"/>
    <x v="1"/>
    <x v="2"/>
    <n v="59"/>
    <x v="1"/>
    <x v="1"/>
  </r>
  <r>
    <n v="13151"/>
    <x v="1"/>
    <x v="1"/>
    <n v="40000"/>
    <x v="0"/>
    <n v="0"/>
    <s v="High School"/>
    <x v="0"/>
    <s v="Yes"/>
    <n v="2"/>
    <x v="2"/>
    <x v="2"/>
    <n v="27"/>
    <x v="2"/>
    <x v="0"/>
  </r>
  <r>
    <n v="17260"/>
    <x v="0"/>
    <x v="1"/>
    <n v="90000"/>
    <x v="1"/>
    <n v="5"/>
    <s v="Partial College"/>
    <x v="2"/>
    <s v="Yes"/>
    <n v="3"/>
    <x v="0"/>
    <x v="2"/>
    <n v="41"/>
    <x v="0"/>
    <x v="0"/>
  </r>
  <r>
    <n v="15372"/>
    <x v="0"/>
    <x v="1"/>
    <n v="80000"/>
    <x v="1"/>
    <n v="3"/>
    <s v="Partial College"/>
    <x v="2"/>
    <s v="No"/>
    <n v="2"/>
    <x v="1"/>
    <x v="2"/>
    <n v="50"/>
    <x v="0"/>
    <x v="1"/>
  </r>
  <r>
    <n v="18105"/>
    <x v="0"/>
    <x v="0"/>
    <n v="60000"/>
    <x v="1"/>
    <n v="2"/>
    <s v="Partial College"/>
    <x v="2"/>
    <s v="Yes"/>
    <n v="1"/>
    <x v="4"/>
    <x v="2"/>
    <n v="55"/>
    <x v="1"/>
    <x v="0"/>
  </r>
  <r>
    <n v="19660"/>
    <x v="0"/>
    <x v="1"/>
    <n v="80000"/>
    <x v="1"/>
    <n v="4"/>
    <s v="Bachelors"/>
    <x v="4"/>
    <s v="Yes"/>
    <n v="0"/>
    <x v="0"/>
    <x v="2"/>
    <n v="43"/>
    <x v="0"/>
    <x v="0"/>
  </r>
  <r>
    <n v="16112"/>
    <x v="1"/>
    <x v="1"/>
    <n v="70000"/>
    <x v="1"/>
    <n v="4"/>
    <s v="Bachelors"/>
    <x v="2"/>
    <s v="Yes"/>
    <n v="2"/>
    <x v="1"/>
    <x v="2"/>
    <n v="43"/>
    <x v="0"/>
    <x v="1"/>
  </r>
  <r>
    <n v="20698"/>
    <x v="0"/>
    <x v="1"/>
    <n v="60000"/>
    <x v="1"/>
    <n v="4"/>
    <s v="Bachelors"/>
    <x v="0"/>
    <s v="Yes"/>
    <n v="3"/>
    <x v="2"/>
    <x v="2"/>
    <n v="42"/>
    <x v="0"/>
    <x v="0"/>
  </r>
  <r>
    <n v="20076"/>
    <x v="1"/>
    <x v="0"/>
    <n v="10000"/>
    <x v="0"/>
    <n v="2"/>
    <s v="High School"/>
    <x v="3"/>
    <s v="Yes"/>
    <n v="2"/>
    <x v="3"/>
    <x v="2"/>
    <n v="53"/>
    <x v="0"/>
    <x v="1"/>
  </r>
  <r>
    <n v="24496"/>
    <x v="1"/>
    <x v="0"/>
    <n v="40000"/>
    <x v="0"/>
    <n v="0"/>
    <s v="High School"/>
    <x v="0"/>
    <s v="No"/>
    <n v="2"/>
    <x v="0"/>
    <x v="2"/>
    <n v="28"/>
    <x v="2"/>
    <x v="1"/>
  </r>
  <r>
    <n v="15468"/>
    <x v="0"/>
    <x v="0"/>
    <n v="50000"/>
    <x v="0"/>
    <n v="1"/>
    <s v="Bachelors"/>
    <x v="0"/>
    <s v="Yes"/>
    <n v="1"/>
    <x v="0"/>
    <x v="2"/>
    <n v="35"/>
    <x v="0"/>
    <x v="0"/>
  </r>
  <r>
    <n v="28031"/>
    <x v="1"/>
    <x v="0"/>
    <n v="70000"/>
    <x v="1"/>
    <n v="2"/>
    <s v="Bachelors"/>
    <x v="4"/>
    <s v="No"/>
    <n v="1"/>
    <x v="1"/>
    <x v="2"/>
    <n v="59"/>
    <x v="1"/>
    <x v="1"/>
  </r>
  <r>
    <n v="26270"/>
    <x v="1"/>
    <x v="0"/>
    <n v="20000"/>
    <x v="0"/>
    <n v="2"/>
    <s v="Partial High School"/>
    <x v="1"/>
    <s v="Yes"/>
    <n v="2"/>
    <x v="3"/>
    <x v="2"/>
    <n v="49"/>
    <x v="0"/>
    <x v="0"/>
  </r>
  <r>
    <n v="22221"/>
    <x v="0"/>
    <x v="1"/>
    <n v="60000"/>
    <x v="1"/>
    <n v="2"/>
    <s v="High School"/>
    <x v="2"/>
    <s v="No"/>
    <n v="2"/>
    <x v="3"/>
    <x v="2"/>
    <n v="48"/>
    <x v="0"/>
    <x v="1"/>
  </r>
  <r>
    <n v="28228"/>
    <x v="1"/>
    <x v="0"/>
    <n v="80000"/>
    <x v="1"/>
    <n v="2"/>
    <s v="Partial High School"/>
    <x v="0"/>
    <s v="No"/>
    <n v="2"/>
    <x v="3"/>
    <x v="2"/>
    <n v="50"/>
    <x v="0"/>
    <x v="0"/>
  </r>
  <r>
    <n v="18363"/>
    <x v="0"/>
    <x v="1"/>
    <n v="40000"/>
    <x v="0"/>
    <n v="0"/>
    <s v="High School"/>
    <x v="0"/>
    <s v="Yes"/>
    <n v="2"/>
    <x v="2"/>
    <x v="2"/>
    <n v="28"/>
    <x v="2"/>
    <x v="1"/>
  </r>
  <r>
    <n v="23256"/>
    <x v="1"/>
    <x v="1"/>
    <n v="30000"/>
    <x v="0"/>
    <n v="1"/>
    <s v="High School"/>
    <x v="1"/>
    <s v="No"/>
    <n v="1"/>
    <x v="2"/>
    <x v="2"/>
    <n v="52"/>
    <x v="0"/>
    <x v="0"/>
  </r>
  <r>
    <n v="12768"/>
    <x v="0"/>
    <x v="1"/>
    <n v="30000"/>
    <x v="0"/>
    <n v="1"/>
    <s v="High School"/>
    <x v="1"/>
    <s v="Yes"/>
    <n v="1"/>
    <x v="1"/>
    <x v="2"/>
    <n v="52"/>
    <x v="0"/>
    <x v="1"/>
  </r>
  <r>
    <n v="20361"/>
    <x v="0"/>
    <x v="1"/>
    <n v="50000"/>
    <x v="0"/>
    <n v="2"/>
    <s v="Graduate Degree"/>
    <x v="4"/>
    <s v="Yes"/>
    <n v="2"/>
    <x v="2"/>
    <x v="2"/>
    <n v="69"/>
    <x v="1"/>
    <x v="0"/>
  </r>
  <r>
    <n v="21306"/>
    <x v="1"/>
    <x v="1"/>
    <n v="60000"/>
    <x v="1"/>
    <n v="2"/>
    <s v="High School"/>
    <x v="2"/>
    <s v="Yes"/>
    <n v="2"/>
    <x v="2"/>
    <x v="2"/>
    <n v="51"/>
    <x v="0"/>
    <x v="0"/>
  </r>
  <r>
    <n v="13382"/>
    <x v="0"/>
    <x v="1"/>
    <n v="70000"/>
    <x v="1"/>
    <n v="5"/>
    <s v="Partial College"/>
    <x v="2"/>
    <s v="Yes"/>
    <n v="2"/>
    <x v="3"/>
    <x v="2"/>
    <n v="57"/>
    <x v="1"/>
    <x v="1"/>
  </r>
  <r>
    <n v="20310"/>
    <x v="1"/>
    <x v="1"/>
    <n v="60000"/>
    <x v="1"/>
    <n v="0"/>
    <s v="Partial College"/>
    <x v="0"/>
    <s v="Yes"/>
    <n v="1"/>
    <x v="2"/>
    <x v="2"/>
    <n v="27"/>
    <x v="2"/>
    <x v="1"/>
  </r>
  <r>
    <n v="22971"/>
    <x v="1"/>
    <x v="0"/>
    <n v="30000"/>
    <x v="0"/>
    <n v="0"/>
    <s v="High School"/>
    <x v="0"/>
    <s v="No"/>
    <n v="2"/>
    <x v="0"/>
    <x v="2"/>
    <n v="25"/>
    <x v="2"/>
    <x v="1"/>
  </r>
  <r>
    <n v="15287"/>
    <x v="1"/>
    <x v="0"/>
    <n v="50000"/>
    <x v="0"/>
    <n v="1"/>
    <s v="Graduate Degree"/>
    <x v="0"/>
    <s v="Yes"/>
    <n v="0"/>
    <x v="3"/>
    <x v="2"/>
    <n v="33"/>
    <x v="2"/>
    <x v="1"/>
  </r>
  <r>
    <n v="15532"/>
    <x v="1"/>
    <x v="1"/>
    <n v="60000"/>
    <x v="1"/>
    <n v="4"/>
    <s v="Bachelors"/>
    <x v="2"/>
    <s v="Yes"/>
    <n v="2"/>
    <x v="1"/>
    <x v="2"/>
    <n v="43"/>
    <x v="0"/>
    <x v="1"/>
  </r>
  <r>
    <n v="11255"/>
    <x v="0"/>
    <x v="1"/>
    <n v="70000"/>
    <x v="1"/>
    <n v="4"/>
    <s v="Graduate Degree"/>
    <x v="4"/>
    <s v="Yes"/>
    <n v="2"/>
    <x v="2"/>
    <x v="2"/>
    <n v="73"/>
    <x v="1"/>
    <x v="0"/>
  </r>
  <r>
    <n v="28090"/>
    <x v="0"/>
    <x v="1"/>
    <n v="40000"/>
    <x v="0"/>
    <n v="0"/>
    <s v="Partial College"/>
    <x v="0"/>
    <s v="Yes"/>
    <n v="1"/>
    <x v="2"/>
    <x v="2"/>
    <n v="27"/>
    <x v="2"/>
    <x v="0"/>
  </r>
  <r>
    <n v="15255"/>
    <x v="0"/>
    <x v="1"/>
    <n v="40000"/>
    <x v="0"/>
    <n v="0"/>
    <s v="High School"/>
    <x v="0"/>
    <s v="Yes"/>
    <n v="2"/>
    <x v="2"/>
    <x v="2"/>
    <n v="28"/>
    <x v="2"/>
    <x v="1"/>
  </r>
  <r>
    <n v="13154"/>
    <x v="0"/>
    <x v="1"/>
    <n v="40000"/>
    <x v="0"/>
    <n v="0"/>
    <s v="High School"/>
    <x v="0"/>
    <s v="No"/>
    <n v="2"/>
    <x v="0"/>
    <x v="2"/>
    <n v="27"/>
    <x v="2"/>
    <x v="1"/>
  </r>
  <r>
    <n v="26778"/>
    <x v="1"/>
    <x v="0"/>
    <n v="40000"/>
    <x v="0"/>
    <n v="0"/>
    <s v="High School"/>
    <x v="0"/>
    <s v="Yes"/>
    <n v="2"/>
    <x v="2"/>
    <x v="2"/>
    <n v="31"/>
    <x v="2"/>
    <x v="0"/>
  </r>
  <r>
    <n v="23248"/>
    <x v="0"/>
    <x v="0"/>
    <n v="10000"/>
    <x v="0"/>
    <n v="2"/>
    <s v="High School"/>
    <x v="3"/>
    <s v="Yes"/>
    <n v="2"/>
    <x v="3"/>
    <x v="2"/>
    <n v="53"/>
    <x v="0"/>
    <x v="0"/>
  </r>
  <r>
    <n v="21417"/>
    <x v="1"/>
    <x v="0"/>
    <n v="60000"/>
    <x v="1"/>
    <n v="0"/>
    <s v="Partial College"/>
    <x v="2"/>
    <s v="No"/>
    <n v="2"/>
    <x v="3"/>
    <x v="2"/>
    <n v="32"/>
    <x v="2"/>
    <x v="1"/>
  </r>
  <r>
    <n v="17668"/>
    <x v="1"/>
    <x v="1"/>
    <n v="30000"/>
    <x v="0"/>
    <n v="2"/>
    <s v="High School"/>
    <x v="0"/>
    <s v="Yes"/>
    <n v="2"/>
    <x v="3"/>
    <x v="2"/>
    <n v="50"/>
    <x v="0"/>
    <x v="1"/>
  </r>
  <r>
    <n v="27994"/>
    <x v="0"/>
    <x v="0"/>
    <n v="40000"/>
    <x v="0"/>
    <n v="4"/>
    <s v="High School"/>
    <x v="2"/>
    <s v="Yes"/>
    <n v="2"/>
    <x v="2"/>
    <x v="2"/>
    <n v="69"/>
    <x v="1"/>
    <x v="0"/>
  </r>
  <r>
    <n v="20376"/>
    <x v="1"/>
    <x v="0"/>
    <n v="70000"/>
    <x v="1"/>
    <n v="3"/>
    <s v="Graduate Degree"/>
    <x v="4"/>
    <s v="Yes"/>
    <n v="2"/>
    <x v="2"/>
    <x v="2"/>
    <n v="52"/>
    <x v="0"/>
    <x v="1"/>
  </r>
  <r>
    <n v="25954"/>
    <x v="0"/>
    <x v="1"/>
    <n v="60000"/>
    <x v="1"/>
    <n v="0"/>
    <s v="Partial College"/>
    <x v="0"/>
    <s v="No"/>
    <n v="2"/>
    <x v="3"/>
    <x v="2"/>
    <n v="31"/>
    <x v="2"/>
    <x v="0"/>
  </r>
  <r>
    <n v="15749"/>
    <x v="1"/>
    <x v="0"/>
    <n v="70000"/>
    <x v="1"/>
    <n v="4"/>
    <s v="Bachelors"/>
    <x v="4"/>
    <s v="Yes"/>
    <n v="2"/>
    <x v="4"/>
    <x v="2"/>
    <n v="61"/>
    <x v="1"/>
    <x v="0"/>
  </r>
  <r>
    <n v="25899"/>
    <x v="0"/>
    <x v="0"/>
    <n v="70000"/>
    <x v="1"/>
    <n v="2"/>
    <s v="High School"/>
    <x v="2"/>
    <s v="Yes"/>
    <n v="2"/>
    <x v="4"/>
    <x v="2"/>
    <n v="53"/>
    <x v="0"/>
    <x v="0"/>
  </r>
  <r>
    <n v="13351"/>
    <x v="1"/>
    <x v="0"/>
    <n v="70000"/>
    <x v="1"/>
    <n v="4"/>
    <s v="Bachelors"/>
    <x v="4"/>
    <s v="Yes"/>
    <n v="2"/>
    <x v="3"/>
    <x v="2"/>
    <n v="62"/>
    <x v="1"/>
    <x v="1"/>
  </r>
  <r>
    <n v="23333"/>
    <x v="0"/>
    <x v="1"/>
    <n v="40000"/>
    <x v="0"/>
    <n v="0"/>
    <s v="Partial College"/>
    <x v="0"/>
    <s v="No"/>
    <n v="2"/>
    <x v="3"/>
    <x v="2"/>
    <n v="30"/>
    <x v="2"/>
    <x v="0"/>
  </r>
  <r>
    <n v="21660"/>
    <x v="0"/>
    <x v="0"/>
    <n v="60000"/>
    <x v="1"/>
    <n v="3"/>
    <s v="Graduate Degree"/>
    <x v="2"/>
    <s v="Yes"/>
    <n v="0"/>
    <x v="1"/>
    <x v="2"/>
    <n v="43"/>
    <x v="0"/>
    <x v="1"/>
  </r>
  <r>
    <n v="17012"/>
    <x v="0"/>
    <x v="0"/>
    <n v="60000"/>
    <x v="1"/>
    <n v="3"/>
    <s v="Graduate Degree"/>
    <x v="2"/>
    <s v="Yes"/>
    <n v="0"/>
    <x v="1"/>
    <x v="2"/>
    <n v="42"/>
    <x v="0"/>
    <x v="1"/>
  </r>
  <r>
    <n v="24514"/>
    <x v="0"/>
    <x v="1"/>
    <n v="40000"/>
    <x v="0"/>
    <n v="0"/>
    <s v="Partial College"/>
    <x v="0"/>
    <s v="Yes"/>
    <n v="1"/>
    <x v="2"/>
    <x v="2"/>
    <n v="30"/>
    <x v="2"/>
    <x v="0"/>
  </r>
  <r>
    <n v="27505"/>
    <x v="1"/>
    <x v="0"/>
    <n v="40000"/>
    <x v="0"/>
    <n v="0"/>
    <s v="High School"/>
    <x v="0"/>
    <s v="Yes"/>
    <n v="2"/>
    <x v="2"/>
    <x v="2"/>
    <n v="30"/>
    <x v="2"/>
    <x v="0"/>
  </r>
  <r>
    <n v="29243"/>
    <x v="1"/>
    <x v="1"/>
    <n v="110000"/>
    <x v="2"/>
    <n v="1"/>
    <s v="Bachelors"/>
    <x v="4"/>
    <s v="Yes"/>
    <n v="1"/>
    <x v="2"/>
    <x v="2"/>
    <n v="43"/>
    <x v="0"/>
    <x v="0"/>
  </r>
  <r>
    <n v="26582"/>
    <x v="0"/>
    <x v="1"/>
    <n v="60000"/>
    <x v="1"/>
    <n v="0"/>
    <s v="Partial College"/>
    <x v="0"/>
    <s v="Yes"/>
    <n v="2"/>
    <x v="2"/>
    <x v="2"/>
    <n v="33"/>
    <x v="2"/>
    <x v="1"/>
  </r>
  <r>
    <n v="14271"/>
    <x v="0"/>
    <x v="1"/>
    <n v="30000"/>
    <x v="0"/>
    <n v="0"/>
    <s v="High School"/>
    <x v="0"/>
    <s v="Yes"/>
    <n v="2"/>
    <x v="2"/>
    <x v="2"/>
    <n v="32"/>
    <x v="2"/>
    <x v="0"/>
  </r>
  <r>
    <n v="23041"/>
    <x v="1"/>
    <x v="0"/>
    <n v="70000"/>
    <x v="1"/>
    <n v="4"/>
    <s v="High School"/>
    <x v="2"/>
    <s v="Yes"/>
    <n v="0"/>
    <x v="2"/>
    <x v="2"/>
    <n v="50"/>
    <x v="0"/>
    <x v="1"/>
  </r>
  <r>
    <n v="29048"/>
    <x v="1"/>
    <x v="1"/>
    <n v="110000"/>
    <x v="2"/>
    <n v="2"/>
    <s v="Bachelors"/>
    <x v="4"/>
    <s v="No"/>
    <n v="3"/>
    <x v="0"/>
    <x v="2"/>
    <n v="37"/>
    <x v="0"/>
    <x v="1"/>
  </r>
  <r>
    <n v="24433"/>
    <x v="0"/>
    <x v="1"/>
    <n v="70000"/>
    <x v="1"/>
    <n v="3"/>
    <s v="High School"/>
    <x v="2"/>
    <s v="No"/>
    <n v="1"/>
    <x v="3"/>
    <x v="2"/>
    <n v="52"/>
    <x v="0"/>
    <x v="1"/>
  </r>
  <r>
    <n v="15501"/>
    <x v="0"/>
    <x v="1"/>
    <n v="70000"/>
    <x v="1"/>
    <n v="4"/>
    <s v="Graduate Degree"/>
    <x v="2"/>
    <s v="Yes"/>
    <n v="0"/>
    <x v="1"/>
    <x v="2"/>
    <n v="36"/>
    <x v="0"/>
    <x v="1"/>
  </r>
  <r>
    <n v="13911"/>
    <x v="1"/>
    <x v="0"/>
    <n v="80000"/>
    <x v="1"/>
    <n v="3"/>
    <s v="Bachelors"/>
    <x v="0"/>
    <s v="Yes"/>
    <n v="2"/>
    <x v="1"/>
    <x v="2"/>
    <n v="41"/>
    <x v="0"/>
    <x v="1"/>
  </r>
  <r>
    <n v="20421"/>
    <x v="1"/>
    <x v="0"/>
    <n v="40000"/>
    <x v="0"/>
    <n v="0"/>
    <s v="Partial High School"/>
    <x v="1"/>
    <s v="Yes"/>
    <n v="2"/>
    <x v="2"/>
    <x v="2"/>
    <n v="26"/>
    <x v="2"/>
    <x v="0"/>
  </r>
  <r>
    <n v="16009"/>
    <x v="1"/>
    <x v="1"/>
    <n v="170000"/>
    <x v="2"/>
    <n v="1"/>
    <s v="Graduate Degree"/>
    <x v="4"/>
    <s v="No"/>
    <n v="4"/>
    <x v="0"/>
    <x v="2"/>
    <n v="66"/>
    <x v="1"/>
    <x v="0"/>
  </r>
  <r>
    <n v="18411"/>
    <x v="0"/>
    <x v="1"/>
    <n v="60000"/>
    <x v="1"/>
    <n v="2"/>
    <s v="High School"/>
    <x v="2"/>
    <s v="No"/>
    <n v="2"/>
    <x v="2"/>
    <x v="2"/>
    <n v="51"/>
    <x v="0"/>
    <x v="0"/>
  </r>
  <r>
    <n v="19163"/>
    <x v="0"/>
    <x v="0"/>
    <n v="70000"/>
    <x v="1"/>
    <n v="4"/>
    <s v="Bachelors"/>
    <x v="2"/>
    <s v="Yes"/>
    <n v="2"/>
    <x v="0"/>
    <x v="2"/>
    <n v="43"/>
    <x v="0"/>
    <x v="1"/>
  </r>
  <r>
    <n v="18572"/>
    <x v="0"/>
    <x v="0"/>
    <n v="60000"/>
    <x v="1"/>
    <n v="0"/>
    <s v="Graduate Degree"/>
    <x v="2"/>
    <s v="Yes"/>
    <n v="0"/>
    <x v="0"/>
    <x v="2"/>
    <n v="39"/>
    <x v="0"/>
    <x v="0"/>
  </r>
  <r>
    <n v="27540"/>
    <x v="1"/>
    <x v="0"/>
    <n v="70000"/>
    <x v="1"/>
    <n v="0"/>
    <s v="Bachelors"/>
    <x v="2"/>
    <s v="No"/>
    <n v="1"/>
    <x v="0"/>
    <x v="2"/>
    <n v="37"/>
    <x v="0"/>
    <x v="1"/>
  </r>
  <r>
    <n v="19889"/>
    <x v="1"/>
    <x v="0"/>
    <n v="70000"/>
    <x v="1"/>
    <n v="2"/>
    <s v="Partial High School"/>
    <x v="0"/>
    <s v="No"/>
    <n v="2"/>
    <x v="1"/>
    <x v="2"/>
    <n v="54"/>
    <x v="0"/>
    <x v="1"/>
  </r>
  <r>
    <n v="12922"/>
    <x v="1"/>
    <x v="0"/>
    <n v="60000"/>
    <x v="1"/>
    <n v="3"/>
    <s v="Bachelors"/>
    <x v="0"/>
    <s v="Yes"/>
    <n v="0"/>
    <x v="1"/>
    <x v="2"/>
    <n v="40"/>
    <x v="0"/>
    <x v="1"/>
  </r>
  <r>
    <n v="18891"/>
    <x v="0"/>
    <x v="0"/>
    <n v="40000"/>
    <x v="0"/>
    <n v="0"/>
    <s v="Partial College"/>
    <x v="0"/>
    <s v="Yes"/>
    <n v="2"/>
    <x v="2"/>
    <x v="2"/>
    <n v="28"/>
    <x v="2"/>
    <x v="0"/>
  </r>
  <r>
    <n v="16773"/>
    <x v="0"/>
    <x v="1"/>
    <n v="60000"/>
    <x v="1"/>
    <n v="1"/>
    <s v="Graduate Degree"/>
    <x v="0"/>
    <s v="Yes"/>
    <n v="0"/>
    <x v="0"/>
    <x v="2"/>
    <n v="33"/>
    <x v="2"/>
    <x v="0"/>
  </r>
  <r>
    <n v="19143"/>
    <x v="1"/>
    <x v="0"/>
    <n v="80000"/>
    <x v="1"/>
    <n v="3"/>
    <s v="Bachelors"/>
    <x v="0"/>
    <s v="Yes"/>
    <n v="2"/>
    <x v="1"/>
    <x v="2"/>
    <n v="41"/>
    <x v="0"/>
    <x v="1"/>
  </r>
  <r>
    <n v="23882"/>
    <x v="1"/>
    <x v="0"/>
    <n v="80000"/>
    <x v="1"/>
    <n v="3"/>
    <s v="Graduate Degree"/>
    <x v="2"/>
    <s v="Yes"/>
    <n v="0"/>
    <x v="0"/>
    <x v="2"/>
    <n v="37"/>
    <x v="0"/>
    <x v="1"/>
  </r>
  <r>
    <n v="11233"/>
    <x v="0"/>
    <x v="1"/>
    <n v="70000"/>
    <x v="1"/>
    <n v="4"/>
    <s v="Partial College"/>
    <x v="2"/>
    <s v="Yes"/>
    <n v="2"/>
    <x v="4"/>
    <x v="2"/>
    <n v="53"/>
    <x v="0"/>
    <x v="0"/>
  </r>
  <r>
    <n v="12056"/>
    <x v="0"/>
    <x v="1"/>
    <n v="120000"/>
    <x v="2"/>
    <n v="2"/>
    <s v="Graduate Degree"/>
    <x v="4"/>
    <s v="Yes"/>
    <n v="3"/>
    <x v="2"/>
    <x v="2"/>
    <n v="64"/>
    <x v="1"/>
    <x v="0"/>
  </r>
  <r>
    <n v="15555"/>
    <x v="0"/>
    <x v="0"/>
    <n v="60000"/>
    <x v="1"/>
    <n v="1"/>
    <s v="Partial College"/>
    <x v="0"/>
    <s v="Yes"/>
    <n v="1"/>
    <x v="1"/>
    <x v="2"/>
    <n v="45"/>
    <x v="0"/>
    <x v="1"/>
  </r>
  <r>
    <n v="18423"/>
    <x v="1"/>
    <x v="1"/>
    <n v="80000"/>
    <x v="1"/>
    <n v="2"/>
    <s v="Partial High School"/>
    <x v="0"/>
    <s v="No"/>
    <n v="2"/>
    <x v="3"/>
    <x v="2"/>
    <n v="52"/>
    <x v="0"/>
    <x v="0"/>
  </r>
  <r>
    <n v="22743"/>
    <x v="0"/>
    <x v="0"/>
    <n v="40000"/>
    <x v="0"/>
    <n v="5"/>
    <s v="High School"/>
    <x v="2"/>
    <s v="Yes"/>
    <n v="2"/>
    <x v="4"/>
    <x v="2"/>
    <n v="60"/>
    <x v="1"/>
    <x v="0"/>
  </r>
  <r>
    <n v="25343"/>
    <x v="1"/>
    <x v="0"/>
    <n v="20000"/>
    <x v="0"/>
    <n v="3"/>
    <s v="Partial High School"/>
    <x v="1"/>
    <s v="Yes"/>
    <n v="2"/>
    <x v="3"/>
    <x v="2"/>
    <n v="50"/>
    <x v="0"/>
    <x v="0"/>
  </r>
  <r>
    <n v="13390"/>
    <x v="0"/>
    <x v="0"/>
    <n v="70000"/>
    <x v="1"/>
    <n v="4"/>
    <s v="Partial College"/>
    <x v="2"/>
    <s v="No"/>
    <n v="1"/>
    <x v="3"/>
    <x v="2"/>
    <n v="56"/>
    <x v="1"/>
    <x v="0"/>
  </r>
  <r>
    <n v="17482"/>
    <x v="1"/>
    <x v="0"/>
    <n v="40000"/>
    <x v="0"/>
    <n v="0"/>
    <s v="Partial High School"/>
    <x v="1"/>
    <s v="Yes"/>
    <n v="2"/>
    <x v="2"/>
    <x v="2"/>
    <n v="29"/>
    <x v="2"/>
    <x v="0"/>
  </r>
  <r>
    <n v="13176"/>
    <x v="1"/>
    <x v="1"/>
    <n v="130000"/>
    <x v="2"/>
    <n v="0"/>
    <s v="Graduate Degree"/>
    <x v="4"/>
    <s v="No"/>
    <n v="2"/>
    <x v="0"/>
    <x v="2"/>
    <n v="38"/>
    <x v="0"/>
    <x v="1"/>
  </r>
  <r>
    <n v="20504"/>
    <x v="0"/>
    <x v="0"/>
    <n v="40000"/>
    <x v="0"/>
    <n v="5"/>
    <s v="High School"/>
    <x v="2"/>
    <s v="No"/>
    <n v="2"/>
    <x v="1"/>
    <x v="2"/>
    <n v="60"/>
    <x v="1"/>
    <x v="0"/>
  </r>
  <r>
    <n v="12205"/>
    <x v="1"/>
    <x v="0"/>
    <n v="130000"/>
    <x v="2"/>
    <n v="2"/>
    <s v="Bachelors"/>
    <x v="4"/>
    <s v="No"/>
    <n v="4"/>
    <x v="0"/>
    <x v="2"/>
    <n v="67"/>
    <x v="1"/>
    <x v="0"/>
  </r>
  <r>
    <n v="16751"/>
    <x v="0"/>
    <x v="1"/>
    <n v="60000"/>
    <x v="1"/>
    <n v="0"/>
    <s v="Partial College"/>
    <x v="0"/>
    <s v="Yes"/>
    <n v="1"/>
    <x v="2"/>
    <x v="2"/>
    <n v="32"/>
    <x v="2"/>
    <x v="1"/>
  </r>
  <r>
    <n v="21613"/>
    <x v="1"/>
    <x v="1"/>
    <n v="50000"/>
    <x v="0"/>
    <n v="2"/>
    <s v="Bachelors"/>
    <x v="0"/>
    <s v="No"/>
    <n v="1"/>
    <x v="0"/>
    <x v="2"/>
    <n v="39"/>
    <x v="0"/>
    <x v="1"/>
  </r>
  <r>
    <n v="24801"/>
    <x v="1"/>
    <x v="1"/>
    <n v="60000"/>
    <x v="1"/>
    <n v="1"/>
    <s v="Graduate Degree"/>
    <x v="2"/>
    <s v="Yes"/>
    <n v="0"/>
    <x v="1"/>
    <x v="2"/>
    <n v="35"/>
    <x v="0"/>
    <x v="1"/>
  </r>
  <r>
    <n v="17519"/>
    <x v="0"/>
    <x v="0"/>
    <n v="60000"/>
    <x v="1"/>
    <n v="0"/>
    <s v="Partial College"/>
    <x v="2"/>
    <s v="Yes"/>
    <n v="2"/>
    <x v="2"/>
    <x v="2"/>
    <n v="32"/>
    <x v="2"/>
    <x v="0"/>
  </r>
  <r>
    <n v="18347"/>
    <x v="1"/>
    <x v="0"/>
    <n v="30000"/>
    <x v="0"/>
    <n v="0"/>
    <s v="Partial College"/>
    <x v="0"/>
    <s v="No"/>
    <n v="1"/>
    <x v="3"/>
    <x v="2"/>
    <n v="31"/>
    <x v="2"/>
    <x v="0"/>
  </r>
  <r>
    <n v="29052"/>
    <x v="1"/>
    <x v="1"/>
    <n v="40000"/>
    <x v="0"/>
    <n v="0"/>
    <s v="Partial College"/>
    <x v="0"/>
    <s v="Yes"/>
    <n v="1"/>
    <x v="2"/>
    <x v="2"/>
    <n v="27"/>
    <x v="2"/>
    <x v="0"/>
  </r>
  <r>
    <n v="11745"/>
    <x v="0"/>
    <x v="0"/>
    <n v="60000"/>
    <x v="1"/>
    <n v="1"/>
    <s v="Bachelors"/>
    <x v="2"/>
    <s v="Yes"/>
    <n v="1"/>
    <x v="0"/>
    <x v="2"/>
    <n v="47"/>
    <x v="0"/>
    <x v="1"/>
  </r>
  <r>
    <n v="19147"/>
    <x v="0"/>
    <x v="1"/>
    <n v="40000"/>
    <x v="0"/>
    <n v="0"/>
    <s v="Bachelors"/>
    <x v="2"/>
    <s v="No"/>
    <n v="1"/>
    <x v="0"/>
    <x v="2"/>
    <n v="42"/>
    <x v="0"/>
    <x v="0"/>
  </r>
  <r>
    <n v="19217"/>
    <x v="0"/>
    <x v="1"/>
    <n v="30000"/>
    <x v="0"/>
    <n v="2"/>
    <s v="High School"/>
    <x v="0"/>
    <s v="Yes"/>
    <n v="2"/>
    <x v="3"/>
    <x v="2"/>
    <n v="49"/>
    <x v="0"/>
    <x v="0"/>
  </r>
  <r>
    <n v="15839"/>
    <x v="1"/>
    <x v="1"/>
    <n v="30000"/>
    <x v="0"/>
    <n v="0"/>
    <s v="Partial College"/>
    <x v="0"/>
    <s v="Yes"/>
    <n v="1"/>
    <x v="2"/>
    <x v="2"/>
    <n v="32"/>
    <x v="2"/>
    <x v="0"/>
  </r>
  <r>
    <n v="13714"/>
    <x v="0"/>
    <x v="0"/>
    <n v="20000"/>
    <x v="0"/>
    <n v="2"/>
    <s v="High School"/>
    <x v="3"/>
    <s v="No"/>
    <n v="2"/>
    <x v="3"/>
    <x v="2"/>
    <n v="53"/>
    <x v="0"/>
    <x v="1"/>
  </r>
  <r>
    <n v="22330"/>
    <x v="0"/>
    <x v="1"/>
    <n v="50000"/>
    <x v="0"/>
    <n v="0"/>
    <s v="Graduate Degree"/>
    <x v="0"/>
    <s v="Yes"/>
    <n v="0"/>
    <x v="3"/>
    <x v="2"/>
    <n v="32"/>
    <x v="2"/>
    <x v="1"/>
  </r>
  <r>
    <n v="18783"/>
    <x v="1"/>
    <x v="1"/>
    <n v="80000"/>
    <x v="1"/>
    <n v="0"/>
    <s v="Bachelors"/>
    <x v="4"/>
    <s v="No"/>
    <n v="1"/>
    <x v="0"/>
    <x v="2"/>
    <n v="38"/>
    <x v="0"/>
    <x v="1"/>
  </r>
  <r>
    <n v="25041"/>
    <x v="1"/>
    <x v="1"/>
    <n v="40000"/>
    <x v="0"/>
    <n v="0"/>
    <s v="High School"/>
    <x v="0"/>
    <s v="Yes"/>
    <n v="2"/>
    <x v="2"/>
    <x v="2"/>
    <n v="31"/>
    <x v="2"/>
    <x v="0"/>
  </r>
  <r>
    <n v="22046"/>
    <x v="1"/>
    <x v="0"/>
    <n v="80000"/>
    <x v="1"/>
    <n v="0"/>
    <s v="Bachelors"/>
    <x v="4"/>
    <s v="No"/>
    <n v="1"/>
    <x v="0"/>
    <x v="2"/>
    <n v="38"/>
    <x v="0"/>
    <x v="1"/>
  </r>
  <r>
    <n v="28052"/>
    <x v="0"/>
    <x v="1"/>
    <n v="60000"/>
    <x v="1"/>
    <n v="2"/>
    <s v="High School"/>
    <x v="2"/>
    <s v="Yes"/>
    <n v="2"/>
    <x v="4"/>
    <x v="2"/>
    <n v="55"/>
    <x v="1"/>
    <x v="0"/>
  </r>
  <r>
    <n v="26693"/>
    <x v="0"/>
    <x v="1"/>
    <n v="70000"/>
    <x v="1"/>
    <n v="3"/>
    <s v="Partial College"/>
    <x v="2"/>
    <s v="Yes"/>
    <n v="1"/>
    <x v="2"/>
    <x v="2"/>
    <n v="49"/>
    <x v="0"/>
    <x v="0"/>
  </r>
  <r>
    <n v="24955"/>
    <x v="1"/>
    <x v="1"/>
    <n v="30000"/>
    <x v="0"/>
    <n v="5"/>
    <s v="Partial High School"/>
    <x v="0"/>
    <s v="Yes"/>
    <n v="3"/>
    <x v="4"/>
    <x v="2"/>
    <n v="60"/>
    <x v="1"/>
    <x v="1"/>
  </r>
  <r>
    <n v="26065"/>
    <x v="1"/>
    <x v="0"/>
    <n v="110000"/>
    <x v="2"/>
    <n v="3"/>
    <s v="Bachelors"/>
    <x v="4"/>
    <s v="No"/>
    <n v="4"/>
    <x v="3"/>
    <x v="2"/>
    <n v="42"/>
    <x v="0"/>
    <x v="0"/>
  </r>
  <r>
    <n v="13942"/>
    <x v="0"/>
    <x v="1"/>
    <n v="60000"/>
    <x v="1"/>
    <n v="1"/>
    <s v="Partial College"/>
    <x v="0"/>
    <s v="Yes"/>
    <n v="1"/>
    <x v="0"/>
    <x v="2"/>
    <n v="46"/>
    <x v="0"/>
    <x v="0"/>
  </r>
  <r>
    <n v="11219"/>
    <x v="0"/>
    <x v="1"/>
    <n v="60000"/>
    <x v="1"/>
    <n v="2"/>
    <s v="High School"/>
    <x v="2"/>
    <s v="Yes"/>
    <n v="2"/>
    <x v="4"/>
    <x v="2"/>
    <n v="55"/>
    <x v="1"/>
    <x v="0"/>
  </r>
  <r>
    <n v="22118"/>
    <x v="1"/>
    <x v="0"/>
    <n v="70000"/>
    <x v="1"/>
    <n v="3"/>
    <s v="Graduate Degree"/>
    <x v="4"/>
    <s v="Yes"/>
    <n v="2"/>
    <x v="2"/>
    <x v="2"/>
    <n v="53"/>
    <x v="0"/>
    <x v="1"/>
  </r>
  <r>
    <n v="23197"/>
    <x v="0"/>
    <x v="1"/>
    <n v="50000"/>
    <x v="0"/>
    <n v="3"/>
    <s v="Bachelors"/>
    <x v="0"/>
    <s v="Yes"/>
    <n v="2"/>
    <x v="1"/>
    <x v="2"/>
    <n v="40"/>
    <x v="0"/>
    <x v="0"/>
  </r>
  <r>
    <n v="14883"/>
    <x v="0"/>
    <x v="0"/>
    <n v="30000"/>
    <x v="0"/>
    <n v="1"/>
    <s v="Bachelors"/>
    <x v="0"/>
    <s v="Yes"/>
    <n v="1"/>
    <x v="2"/>
    <x v="2"/>
    <n v="53"/>
    <x v="0"/>
    <x v="1"/>
  </r>
  <r>
    <n v="27279"/>
    <x v="1"/>
    <x v="0"/>
    <n v="70000"/>
    <x v="1"/>
    <n v="2"/>
    <s v="Bachelors"/>
    <x v="0"/>
    <s v="Yes"/>
    <n v="0"/>
    <x v="1"/>
    <x v="2"/>
    <n v="38"/>
    <x v="0"/>
    <x v="1"/>
  </r>
  <r>
    <n v="18322"/>
    <x v="1"/>
    <x v="1"/>
    <n v="30000"/>
    <x v="0"/>
    <n v="0"/>
    <s v="Partial High School"/>
    <x v="1"/>
    <s v="No"/>
    <n v="2"/>
    <x v="0"/>
    <x v="2"/>
    <n v="26"/>
    <x v="2"/>
    <x v="0"/>
  </r>
  <r>
    <n v="15879"/>
    <x v="0"/>
    <x v="1"/>
    <n v="70000"/>
    <x v="1"/>
    <n v="5"/>
    <s v="Bachelors"/>
    <x v="4"/>
    <s v="Yes"/>
    <n v="2"/>
    <x v="1"/>
    <x v="2"/>
    <n v="61"/>
    <x v="1"/>
    <x v="0"/>
  </r>
  <r>
    <n v="28278"/>
    <x v="0"/>
    <x v="1"/>
    <n v="50000"/>
    <x v="0"/>
    <n v="2"/>
    <s v="Graduate Degree"/>
    <x v="4"/>
    <s v="Yes"/>
    <n v="2"/>
    <x v="2"/>
    <x v="2"/>
    <n v="71"/>
    <x v="1"/>
    <x v="0"/>
  </r>
  <r>
    <n v="24416"/>
    <x v="0"/>
    <x v="1"/>
    <n v="90000"/>
    <x v="1"/>
    <n v="4"/>
    <s v="High School"/>
    <x v="2"/>
    <s v="Yes"/>
    <n v="2"/>
    <x v="3"/>
    <x v="2"/>
    <n v="45"/>
    <x v="0"/>
    <x v="0"/>
  </r>
  <r>
    <n v="28066"/>
    <x v="0"/>
    <x v="1"/>
    <n v="80000"/>
    <x v="1"/>
    <n v="2"/>
    <s v="Graduate Degree"/>
    <x v="2"/>
    <s v="Yes"/>
    <n v="0"/>
    <x v="0"/>
    <x v="2"/>
    <n v="37"/>
    <x v="0"/>
    <x v="1"/>
  </r>
  <r>
    <n v="11275"/>
    <x v="0"/>
    <x v="0"/>
    <n v="80000"/>
    <x v="1"/>
    <n v="4"/>
    <s v="Graduate Degree"/>
    <x v="4"/>
    <s v="Yes"/>
    <n v="2"/>
    <x v="0"/>
    <x v="2"/>
    <n v="72"/>
    <x v="1"/>
    <x v="1"/>
  </r>
  <r>
    <n v="14872"/>
    <x v="0"/>
    <x v="1"/>
    <n v="30000"/>
    <x v="0"/>
    <n v="0"/>
    <s v="Graduate Degree"/>
    <x v="0"/>
    <s v="Yes"/>
    <n v="0"/>
    <x v="0"/>
    <x v="2"/>
    <n v="32"/>
    <x v="2"/>
    <x v="0"/>
  </r>
  <r>
    <n v="16151"/>
    <x v="0"/>
    <x v="0"/>
    <n v="60000"/>
    <x v="1"/>
    <n v="1"/>
    <s v="Bachelors"/>
    <x v="2"/>
    <s v="Yes"/>
    <n v="1"/>
    <x v="1"/>
    <x v="2"/>
    <n v="48"/>
    <x v="0"/>
    <x v="1"/>
  </r>
  <r>
    <n v="19731"/>
    <x v="0"/>
    <x v="1"/>
    <n v="80000"/>
    <x v="1"/>
    <n v="4"/>
    <s v="Graduate Degree"/>
    <x v="4"/>
    <s v="Yes"/>
    <n v="2"/>
    <x v="2"/>
    <x v="2"/>
    <n v="68"/>
    <x v="1"/>
    <x v="0"/>
  </r>
  <r>
    <n v="23801"/>
    <x v="0"/>
    <x v="0"/>
    <n v="20000"/>
    <x v="0"/>
    <n v="2"/>
    <s v="Partial High School"/>
    <x v="1"/>
    <s v="Yes"/>
    <n v="2"/>
    <x v="0"/>
    <x v="2"/>
    <n v="49"/>
    <x v="0"/>
    <x v="0"/>
  </r>
  <r>
    <n v="11807"/>
    <x v="0"/>
    <x v="1"/>
    <n v="70000"/>
    <x v="1"/>
    <n v="3"/>
    <s v="Graduate Degree"/>
    <x v="2"/>
    <s v="Yes"/>
    <n v="0"/>
    <x v="1"/>
    <x v="2"/>
    <n v="34"/>
    <x v="2"/>
    <x v="0"/>
  </r>
  <r>
    <n v="11622"/>
    <x v="0"/>
    <x v="1"/>
    <n v="50000"/>
    <x v="0"/>
    <n v="0"/>
    <s v="Graduate Degree"/>
    <x v="0"/>
    <s v="Yes"/>
    <n v="0"/>
    <x v="0"/>
    <x v="2"/>
    <n v="32"/>
    <x v="2"/>
    <x v="0"/>
  </r>
  <r>
    <n v="26597"/>
    <x v="1"/>
    <x v="0"/>
    <n v="60000"/>
    <x v="1"/>
    <n v="4"/>
    <s v="Bachelors"/>
    <x v="0"/>
    <s v="No"/>
    <n v="2"/>
    <x v="0"/>
    <x v="2"/>
    <n v="42"/>
    <x v="0"/>
    <x v="0"/>
  </r>
  <r>
    <n v="27074"/>
    <x v="0"/>
    <x v="0"/>
    <n v="70000"/>
    <x v="1"/>
    <n v="1"/>
    <s v="Graduate Degree"/>
    <x v="0"/>
    <s v="Yes"/>
    <n v="0"/>
    <x v="0"/>
    <x v="2"/>
    <n v="35"/>
    <x v="0"/>
    <x v="1"/>
  </r>
  <r>
    <n v="19228"/>
    <x v="0"/>
    <x v="0"/>
    <n v="40000"/>
    <x v="0"/>
    <n v="2"/>
    <s v="Partial College"/>
    <x v="1"/>
    <s v="Yes"/>
    <n v="1"/>
    <x v="0"/>
    <x v="2"/>
    <n v="48"/>
    <x v="0"/>
    <x v="0"/>
  </r>
  <r>
    <n v="13415"/>
    <x v="1"/>
    <x v="1"/>
    <n v="100000"/>
    <x v="2"/>
    <n v="1"/>
    <s v="Graduate Degree"/>
    <x v="4"/>
    <s v="Yes"/>
    <n v="3"/>
    <x v="1"/>
    <x v="2"/>
    <n v="73"/>
    <x v="1"/>
    <x v="1"/>
  </r>
  <r>
    <n v="17000"/>
    <x v="1"/>
    <x v="0"/>
    <n v="70000"/>
    <x v="1"/>
    <n v="4"/>
    <s v="Bachelors"/>
    <x v="0"/>
    <s v="Yes"/>
    <n v="2"/>
    <x v="1"/>
    <x v="2"/>
    <n v="43"/>
    <x v="0"/>
    <x v="1"/>
  </r>
  <r>
    <n v="14569"/>
    <x v="0"/>
    <x v="1"/>
    <n v="60000"/>
    <x v="1"/>
    <n v="1"/>
    <s v="Graduate Degree"/>
    <x v="2"/>
    <s v="Yes"/>
    <n v="0"/>
    <x v="0"/>
    <x v="2"/>
    <n v="35"/>
    <x v="0"/>
    <x v="0"/>
  </r>
  <r>
    <n v="13873"/>
    <x v="0"/>
    <x v="1"/>
    <n v="70000"/>
    <x v="1"/>
    <n v="3"/>
    <s v="Graduate Degree"/>
    <x v="2"/>
    <s v="Yes"/>
    <n v="0"/>
    <x v="0"/>
    <x v="2"/>
    <n v="35"/>
    <x v="0"/>
    <x v="1"/>
  </r>
  <r>
    <n v="20401"/>
    <x v="0"/>
    <x v="0"/>
    <n v="50000"/>
    <x v="0"/>
    <n v="4"/>
    <s v="Bachelors"/>
    <x v="4"/>
    <s v="Yes"/>
    <n v="2"/>
    <x v="3"/>
    <x v="2"/>
    <n v="64"/>
    <x v="1"/>
    <x v="1"/>
  </r>
  <r>
    <n v="21583"/>
    <x v="0"/>
    <x v="0"/>
    <n v="50000"/>
    <x v="0"/>
    <n v="1"/>
    <s v="Bachelors"/>
    <x v="0"/>
    <s v="Yes"/>
    <n v="0"/>
    <x v="0"/>
    <x v="2"/>
    <n v="34"/>
    <x v="2"/>
    <x v="1"/>
  </r>
  <r>
    <n v="12029"/>
    <x v="0"/>
    <x v="1"/>
    <n v="30000"/>
    <x v="0"/>
    <n v="0"/>
    <s v="Partial High School"/>
    <x v="1"/>
    <s v="No"/>
    <n v="2"/>
    <x v="0"/>
    <x v="2"/>
    <n v="28"/>
    <x v="2"/>
    <x v="0"/>
  </r>
  <r>
    <n v="18066"/>
    <x v="1"/>
    <x v="1"/>
    <n v="70000"/>
    <x v="1"/>
    <n v="5"/>
    <s v="Bachelors"/>
    <x v="4"/>
    <s v="Yes"/>
    <n v="3"/>
    <x v="4"/>
    <x v="2"/>
    <n v="60"/>
    <x v="1"/>
    <x v="1"/>
  </r>
  <r>
    <n v="28192"/>
    <x v="0"/>
    <x v="0"/>
    <n v="70000"/>
    <x v="1"/>
    <n v="5"/>
    <s v="Graduate Degree"/>
    <x v="2"/>
    <s v="Yes"/>
    <n v="3"/>
    <x v="4"/>
    <x v="2"/>
    <n v="46"/>
    <x v="0"/>
    <x v="0"/>
  </r>
  <r>
    <n v="16122"/>
    <x v="0"/>
    <x v="1"/>
    <n v="40000"/>
    <x v="0"/>
    <n v="4"/>
    <s v="High School"/>
    <x v="0"/>
    <s v="Yes"/>
    <n v="2"/>
    <x v="0"/>
    <x v="2"/>
    <n v="44"/>
    <x v="0"/>
    <x v="1"/>
  </r>
  <r>
    <n v="18607"/>
    <x v="1"/>
    <x v="0"/>
    <n v="60000"/>
    <x v="1"/>
    <n v="4"/>
    <s v="Bachelors"/>
    <x v="0"/>
    <s v="Yes"/>
    <n v="2"/>
    <x v="1"/>
    <x v="2"/>
    <n v="42"/>
    <x v="0"/>
    <x v="1"/>
  </r>
  <r>
    <n v="28858"/>
    <x v="1"/>
    <x v="1"/>
    <n v="80000"/>
    <x v="1"/>
    <n v="3"/>
    <s v="Bachelors"/>
    <x v="0"/>
    <s v="Yes"/>
    <n v="0"/>
    <x v="1"/>
    <x v="2"/>
    <n v="40"/>
    <x v="0"/>
    <x v="0"/>
  </r>
  <r>
    <n v="14432"/>
    <x v="1"/>
    <x v="1"/>
    <n v="90000"/>
    <x v="1"/>
    <n v="4"/>
    <s v="Graduate Degree"/>
    <x v="4"/>
    <s v="Yes"/>
    <n v="1"/>
    <x v="2"/>
    <x v="2"/>
    <n v="73"/>
    <x v="1"/>
    <x v="0"/>
  </r>
  <r>
    <n v="26305"/>
    <x v="1"/>
    <x v="0"/>
    <n v="60000"/>
    <x v="1"/>
    <n v="2"/>
    <s v="Bachelors"/>
    <x v="0"/>
    <s v="No"/>
    <n v="0"/>
    <x v="0"/>
    <x v="2"/>
    <n v="36"/>
    <x v="0"/>
    <x v="1"/>
  </r>
  <r>
    <n v="22050"/>
    <x v="1"/>
    <x v="1"/>
    <n v="90000"/>
    <x v="1"/>
    <n v="4"/>
    <s v="Bachelors"/>
    <x v="4"/>
    <s v="Yes"/>
    <n v="1"/>
    <x v="3"/>
    <x v="2"/>
    <n v="38"/>
    <x v="0"/>
    <x v="1"/>
  </r>
  <r>
    <n v="25394"/>
    <x v="0"/>
    <x v="1"/>
    <n v="60000"/>
    <x v="1"/>
    <n v="1"/>
    <s v="Graduate Degree"/>
    <x v="2"/>
    <s v="Yes"/>
    <n v="0"/>
    <x v="1"/>
    <x v="2"/>
    <n v="34"/>
    <x v="2"/>
    <x v="1"/>
  </r>
  <r>
    <n v="19747"/>
    <x v="0"/>
    <x v="1"/>
    <n v="50000"/>
    <x v="0"/>
    <n v="4"/>
    <s v="Bachelors"/>
    <x v="4"/>
    <s v="Yes"/>
    <n v="2"/>
    <x v="4"/>
    <x v="2"/>
    <n v="63"/>
    <x v="1"/>
    <x v="0"/>
  </r>
  <r>
    <n v="23195"/>
    <x v="1"/>
    <x v="1"/>
    <n v="50000"/>
    <x v="0"/>
    <n v="3"/>
    <s v="Bachelors"/>
    <x v="0"/>
    <s v="Yes"/>
    <n v="2"/>
    <x v="1"/>
    <x v="2"/>
    <n v="41"/>
    <x v="0"/>
    <x v="1"/>
  </r>
  <r>
    <n v="21695"/>
    <x v="0"/>
    <x v="1"/>
    <n v="60000"/>
    <x v="1"/>
    <n v="0"/>
    <s v="Graduate Degree"/>
    <x v="0"/>
    <s v="Yes"/>
    <n v="0"/>
    <x v="3"/>
    <x v="2"/>
    <n v="39"/>
    <x v="0"/>
    <x v="1"/>
  </r>
  <r>
    <n v="13934"/>
    <x v="0"/>
    <x v="1"/>
    <n v="40000"/>
    <x v="0"/>
    <n v="4"/>
    <s v="High School"/>
    <x v="0"/>
    <s v="Yes"/>
    <n v="2"/>
    <x v="1"/>
    <x v="2"/>
    <n v="46"/>
    <x v="0"/>
    <x v="0"/>
  </r>
  <r>
    <n v="13337"/>
    <x v="0"/>
    <x v="0"/>
    <n v="80000"/>
    <x v="1"/>
    <n v="5"/>
    <s v="Bachelors"/>
    <x v="4"/>
    <s v="Yes"/>
    <n v="2"/>
    <x v="2"/>
    <x v="2"/>
    <n v="64"/>
    <x v="1"/>
    <x v="0"/>
  </r>
  <r>
    <n v="27190"/>
    <x v="0"/>
    <x v="0"/>
    <n v="40000"/>
    <x v="0"/>
    <n v="3"/>
    <s v="Partial College"/>
    <x v="1"/>
    <s v="Yes"/>
    <n v="1"/>
    <x v="3"/>
    <x v="2"/>
    <n v="32"/>
    <x v="2"/>
    <x v="0"/>
  </r>
  <r>
    <n v="28657"/>
    <x v="1"/>
    <x v="1"/>
    <n v="60000"/>
    <x v="1"/>
    <n v="2"/>
    <s v="Bachelors"/>
    <x v="0"/>
    <s v="Yes"/>
    <n v="0"/>
    <x v="1"/>
    <x v="2"/>
    <n v="36"/>
    <x v="0"/>
    <x v="1"/>
  </r>
  <r>
    <n v="21713"/>
    <x v="1"/>
    <x v="1"/>
    <n v="80000"/>
    <x v="1"/>
    <n v="5"/>
    <s v="Graduate Degree"/>
    <x v="0"/>
    <s v="No"/>
    <n v="0"/>
    <x v="0"/>
    <x v="2"/>
    <n v="47"/>
    <x v="0"/>
    <x v="0"/>
  </r>
  <r>
    <n v="21752"/>
    <x v="0"/>
    <x v="1"/>
    <n v="60000"/>
    <x v="1"/>
    <n v="3"/>
    <s v="Graduate Degree"/>
    <x v="4"/>
    <s v="Yes"/>
    <n v="2"/>
    <x v="4"/>
    <x v="2"/>
    <n v="64"/>
    <x v="1"/>
    <x v="0"/>
  </r>
  <r>
    <n v="27273"/>
    <x v="1"/>
    <x v="1"/>
    <n v="70000"/>
    <x v="1"/>
    <n v="3"/>
    <s v="Graduate Degree"/>
    <x v="2"/>
    <s v="No"/>
    <n v="0"/>
    <x v="0"/>
    <x v="2"/>
    <n v="35"/>
    <x v="0"/>
    <x v="1"/>
  </r>
  <r>
    <n v="22719"/>
    <x v="1"/>
    <x v="1"/>
    <n v="110000"/>
    <x v="2"/>
    <n v="3"/>
    <s v="Bachelors"/>
    <x v="4"/>
    <s v="Yes"/>
    <n v="4"/>
    <x v="1"/>
    <x v="2"/>
    <n v="40"/>
    <x v="0"/>
    <x v="1"/>
  </r>
  <r>
    <n v="22042"/>
    <x v="0"/>
    <x v="0"/>
    <n v="70000"/>
    <x v="1"/>
    <n v="0"/>
    <s v="Partial College"/>
    <x v="0"/>
    <s v="Yes"/>
    <n v="2"/>
    <x v="2"/>
    <x v="2"/>
    <n v="34"/>
    <x v="2"/>
    <x v="1"/>
  </r>
  <r>
    <n v="21451"/>
    <x v="0"/>
    <x v="0"/>
    <n v="40000"/>
    <x v="0"/>
    <n v="4"/>
    <s v="High School"/>
    <x v="2"/>
    <s v="Yes"/>
    <n v="2"/>
    <x v="4"/>
    <x v="2"/>
    <n v="61"/>
    <x v="1"/>
    <x v="0"/>
  </r>
  <r>
    <n v="20754"/>
    <x v="0"/>
    <x v="1"/>
    <n v="30000"/>
    <x v="0"/>
    <n v="2"/>
    <s v="High School"/>
    <x v="0"/>
    <s v="Yes"/>
    <n v="2"/>
    <x v="3"/>
    <x v="2"/>
    <n v="51"/>
    <x v="0"/>
    <x v="0"/>
  </r>
  <r>
    <n v="12153"/>
    <x v="1"/>
    <x v="0"/>
    <n v="70000"/>
    <x v="1"/>
    <n v="3"/>
    <s v="Partial College"/>
    <x v="2"/>
    <s v="Yes"/>
    <n v="1"/>
    <x v="2"/>
    <x v="2"/>
    <n v="49"/>
    <x v="0"/>
    <x v="1"/>
  </r>
  <r>
    <n v="16895"/>
    <x v="0"/>
    <x v="0"/>
    <n v="40000"/>
    <x v="0"/>
    <n v="3"/>
    <s v="Partial College"/>
    <x v="2"/>
    <s v="No"/>
    <n v="2"/>
    <x v="3"/>
    <x v="2"/>
    <n v="54"/>
    <x v="0"/>
    <x v="1"/>
  </r>
  <r>
    <n v="26728"/>
    <x v="1"/>
    <x v="1"/>
    <n v="70000"/>
    <x v="1"/>
    <n v="3"/>
    <s v="Graduate Degree"/>
    <x v="4"/>
    <s v="No"/>
    <n v="2"/>
    <x v="3"/>
    <x v="2"/>
    <n v="53"/>
    <x v="0"/>
    <x v="1"/>
  </r>
  <r>
    <n v="11090"/>
    <x v="1"/>
    <x v="1"/>
    <n v="90000"/>
    <x v="1"/>
    <n v="2"/>
    <s v="Partial College"/>
    <x v="2"/>
    <s v="Yes"/>
    <n v="1"/>
    <x v="1"/>
    <x v="2"/>
    <n v="48"/>
    <x v="0"/>
    <x v="1"/>
  </r>
  <r>
    <n v="15862"/>
    <x v="1"/>
    <x v="0"/>
    <n v="50000"/>
    <x v="0"/>
    <n v="0"/>
    <s v="Graduate Degree"/>
    <x v="0"/>
    <s v="Yes"/>
    <n v="0"/>
    <x v="3"/>
    <x v="2"/>
    <n v="33"/>
    <x v="2"/>
    <x v="1"/>
  </r>
  <r>
    <n v="26495"/>
    <x v="1"/>
    <x v="0"/>
    <n v="40000"/>
    <x v="0"/>
    <n v="2"/>
    <s v="High School"/>
    <x v="2"/>
    <s v="Yes"/>
    <n v="2"/>
    <x v="4"/>
    <x v="2"/>
    <n v="57"/>
    <x v="1"/>
    <x v="0"/>
  </r>
  <r>
    <n v="11823"/>
    <x v="0"/>
    <x v="0"/>
    <n v="70000"/>
    <x v="1"/>
    <n v="0"/>
    <s v="Graduate Degree"/>
    <x v="2"/>
    <s v="Yes"/>
    <n v="0"/>
    <x v="1"/>
    <x v="2"/>
    <n v="39"/>
    <x v="0"/>
    <x v="0"/>
  </r>
  <r>
    <n v="23449"/>
    <x v="0"/>
    <x v="1"/>
    <n v="60000"/>
    <x v="1"/>
    <n v="2"/>
    <s v="High School"/>
    <x v="2"/>
    <s v="Yes"/>
    <n v="2"/>
    <x v="2"/>
    <x v="2"/>
    <n v="48"/>
    <x v="0"/>
    <x v="0"/>
  </r>
  <r>
    <n v="23459"/>
    <x v="0"/>
    <x v="1"/>
    <n v="60000"/>
    <x v="1"/>
    <n v="2"/>
    <s v="High School"/>
    <x v="2"/>
    <s v="Yes"/>
    <n v="2"/>
    <x v="2"/>
    <x v="2"/>
    <n v="50"/>
    <x v="0"/>
    <x v="0"/>
  </r>
  <r>
    <n v="19543"/>
    <x v="0"/>
    <x v="1"/>
    <n v="70000"/>
    <x v="1"/>
    <n v="5"/>
    <s v="Graduate Degree"/>
    <x v="2"/>
    <s v="No"/>
    <n v="3"/>
    <x v="4"/>
    <x v="2"/>
    <n v="47"/>
    <x v="0"/>
    <x v="0"/>
  </r>
  <r>
    <n v="14914"/>
    <x v="0"/>
    <x v="0"/>
    <n v="40000"/>
    <x v="0"/>
    <n v="1"/>
    <s v="Partial College"/>
    <x v="1"/>
    <s v="Yes"/>
    <n v="1"/>
    <x v="3"/>
    <x v="2"/>
    <n v="49"/>
    <x v="0"/>
    <x v="1"/>
  </r>
  <r>
    <n v="12033"/>
    <x v="1"/>
    <x v="0"/>
    <n v="40000"/>
    <x v="0"/>
    <n v="0"/>
    <s v="High School"/>
    <x v="0"/>
    <s v="No"/>
    <n v="2"/>
    <x v="0"/>
    <x v="2"/>
    <n v="27"/>
    <x v="2"/>
    <x v="1"/>
  </r>
  <r>
    <n v="11941"/>
    <x v="1"/>
    <x v="1"/>
    <n v="60000"/>
    <x v="1"/>
    <n v="0"/>
    <s v="Partial College"/>
    <x v="0"/>
    <s v="Yes"/>
    <n v="0"/>
    <x v="2"/>
    <x v="2"/>
    <n v="29"/>
    <x v="2"/>
    <x v="0"/>
  </r>
  <r>
    <n v="14389"/>
    <x v="0"/>
    <x v="1"/>
    <n v="60000"/>
    <x v="1"/>
    <n v="2"/>
    <s v="Bachelors"/>
    <x v="4"/>
    <s v="Yes"/>
    <n v="0"/>
    <x v="1"/>
    <x v="2"/>
    <n v="59"/>
    <x v="1"/>
    <x v="0"/>
  </r>
  <r>
    <n v="18050"/>
    <x v="0"/>
    <x v="0"/>
    <n v="60000"/>
    <x v="1"/>
    <n v="1"/>
    <s v="Partial College"/>
    <x v="0"/>
    <s v="Yes"/>
    <n v="1"/>
    <x v="0"/>
    <x v="2"/>
    <n v="45"/>
    <x v="0"/>
    <x v="1"/>
  </r>
  <r>
    <n v="19856"/>
    <x v="0"/>
    <x v="0"/>
    <n v="60000"/>
    <x v="1"/>
    <n v="4"/>
    <s v="Bachelors"/>
    <x v="4"/>
    <s v="Yes"/>
    <n v="2"/>
    <x v="1"/>
    <x v="2"/>
    <n v="60"/>
    <x v="1"/>
    <x v="0"/>
  </r>
  <r>
    <n v="11663"/>
    <x v="0"/>
    <x v="1"/>
    <n v="70000"/>
    <x v="1"/>
    <n v="4"/>
    <s v="Graduate Degree"/>
    <x v="2"/>
    <s v="Yes"/>
    <n v="0"/>
    <x v="0"/>
    <x v="2"/>
    <n v="36"/>
    <x v="0"/>
    <x v="1"/>
  </r>
  <r>
    <n v="27740"/>
    <x v="0"/>
    <x v="0"/>
    <n v="40000"/>
    <x v="0"/>
    <n v="0"/>
    <s v="High School"/>
    <x v="0"/>
    <s v="Yes"/>
    <n v="2"/>
    <x v="2"/>
    <x v="2"/>
    <n v="27"/>
    <x v="2"/>
    <x v="0"/>
  </r>
  <r>
    <n v="23455"/>
    <x v="1"/>
    <x v="1"/>
    <n v="80000"/>
    <x v="1"/>
    <n v="2"/>
    <s v="Partial High School"/>
    <x v="0"/>
    <s v="No"/>
    <n v="2"/>
    <x v="3"/>
    <x v="2"/>
    <n v="50"/>
    <x v="0"/>
    <x v="0"/>
  </r>
  <r>
    <n v="15292"/>
    <x v="1"/>
    <x v="0"/>
    <n v="60000"/>
    <x v="1"/>
    <n v="1"/>
    <s v="Graduate Degree"/>
    <x v="0"/>
    <s v="Yes"/>
    <n v="0"/>
    <x v="3"/>
    <x v="2"/>
    <n v="35"/>
    <x v="0"/>
    <x v="0"/>
  </r>
  <r>
    <n v="21587"/>
    <x v="0"/>
    <x v="0"/>
    <n v="60000"/>
    <x v="1"/>
    <n v="1"/>
    <s v="Graduate Degree"/>
    <x v="0"/>
    <s v="Yes"/>
    <n v="0"/>
    <x v="1"/>
    <x v="2"/>
    <n v="34"/>
    <x v="2"/>
    <x v="1"/>
  </r>
  <r>
    <n v="23513"/>
    <x v="0"/>
    <x v="0"/>
    <n v="40000"/>
    <x v="0"/>
    <n v="3"/>
    <s v="Partial College"/>
    <x v="2"/>
    <s v="Yes"/>
    <n v="2"/>
    <x v="2"/>
    <x v="2"/>
    <n v="54"/>
    <x v="0"/>
    <x v="0"/>
  </r>
  <r>
    <n v="24322"/>
    <x v="0"/>
    <x v="0"/>
    <n v="60000"/>
    <x v="1"/>
    <n v="4"/>
    <s v="Bachelors"/>
    <x v="0"/>
    <s v="No"/>
    <n v="2"/>
    <x v="0"/>
    <x v="2"/>
    <n v="42"/>
    <x v="0"/>
    <x v="0"/>
  </r>
  <r>
    <n v="26298"/>
    <x v="0"/>
    <x v="0"/>
    <n v="50000"/>
    <x v="0"/>
    <n v="1"/>
    <s v="Bachelors"/>
    <x v="0"/>
    <s v="Yes"/>
    <n v="0"/>
    <x v="1"/>
    <x v="2"/>
    <n v="34"/>
    <x v="2"/>
    <x v="1"/>
  </r>
  <r>
    <n v="25419"/>
    <x v="1"/>
    <x v="1"/>
    <n v="50000"/>
    <x v="0"/>
    <n v="2"/>
    <s v="Bachelors"/>
    <x v="0"/>
    <s v="No"/>
    <n v="1"/>
    <x v="0"/>
    <x v="2"/>
    <n v="38"/>
    <x v="0"/>
    <x v="1"/>
  </r>
  <r>
    <n v="13343"/>
    <x v="0"/>
    <x v="0"/>
    <n v="90000"/>
    <x v="1"/>
    <n v="5"/>
    <s v="Bachelors"/>
    <x v="4"/>
    <s v="Yes"/>
    <n v="2"/>
    <x v="3"/>
    <x v="2"/>
    <n v="63"/>
    <x v="1"/>
    <x v="1"/>
  </r>
  <r>
    <n v="11303"/>
    <x v="1"/>
    <x v="0"/>
    <n v="90000"/>
    <x v="1"/>
    <n v="4"/>
    <s v="High School"/>
    <x v="2"/>
    <s v="No"/>
    <n v="3"/>
    <x v="3"/>
    <x v="2"/>
    <n v="45"/>
    <x v="0"/>
    <x v="1"/>
  </r>
  <r>
    <n v="21693"/>
    <x v="1"/>
    <x v="0"/>
    <n v="60000"/>
    <x v="1"/>
    <n v="0"/>
    <s v="Graduate Degree"/>
    <x v="0"/>
    <s v="No"/>
    <n v="0"/>
    <x v="0"/>
    <x v="2"/>
    <n v="40"/>
    <x v="0"/>
    <x v="0"/>
  </r>
  <r>
    <n v="28056"/>
    <x v="0"/>
    <x v="1"/>
    <n v="70000"/>
    <x v="1"/>
    <n v="2"/>
    <s v="Partial High School"/>
    <x v="0"/>
    <s v="Yes"/>
    <n v="2"/>
    <x v="4"/>
    <x v="2"/>
    <n v="53"/>
    <x v="0"/>
    <x v="0"/>
  </r>
  <r>
    <n v="11788"/>
    <x v="1"/>
    <x v="0"/>
    <n v="70000"/>
    <x v="1"/>
    <n v="1"/>
    <s v="Graduate Degree"/>
    <x v="2"/>
    <s v="Yes"/>
    <n v="0"/>
    <x v="1"/>
    <x v="2"/>
    <n v="34"/>
    <x v="2"/>
    <x v="0"/>
  </r>
  <r>
    <n v="22296"/>
    <x v="0"/>
    <x v="1"/>
    <n v="70000"/>
    <x v="1"/>
    <n v="0"/>
    <s v="Bachelors"/>
    <x v="2"/>
    <s v="No"/>
    <n v="1"/>
    <x v="0"/>
    <x v="2"/>
    <n v="38"/>
    <x v="0"/>
    <x v="0"/>
  </r>
  <r>
    <n v="15319"/>
    <x v="0"/>
    <x v="0"/>
    <n v="70000"/>
    <x v="1"/>
    <n v="4"/>
    <s v="Bachelors"/>
    <x v="4"/>
    <s v="No"/>
    <n v="1"/>
    <x v="3"/>
    <x v="2"/>
    <n v="59"/>
    <x v="1"/>
    <x v="0"/>
  </r>
  <r>
    <n v="17654"/>
    <x v="1"/>
    <x v="0"/>
    <n v="40000"/>
    <x v="0"/>
    <n v="3"/>
    <s v="Partial College"/>
    <x v="1"/>
    <s v="Yes"/>
    <n v="1"/>
    <x v="3"/>
    <x v="2"/>
    <n v="30"/>
    <x v="2"/>
    <x v="1"/>
  </r>
  <r>
    <n v="14662"/>
    <x v="0"/>
    <x v="1"/>
    <n v="60000"/>
    <x v="1"/>
    <n v="1"/>
    <s v="Bachelors"/>
    <x v="2"/>
    <s v="Yes"/>
    <n v="1"/>
    <x v="0"/>
    <x v="2"/>
    <n v="48"/>
    <x v="0"/>
    <x v="1"/>
  </r>
  <r>
    <n v="17541"/>
    <x v="0"/>
    <x v="0"/>
    <n v="40000"/>
    <x v="0"/>
    <n v="4"/>
    <s v="High School"/>
    <x v="0"/>
    <s v="Yes"/>
    <n v="2"/>
    <x v="1"/>
    <x v="2"/>
    <n v="43"/>
    <x v="0"/>
    <x v="0"/>
  </r>
  <r>
    <n v="13886"/>
    <x v="0"/>
    <x v="0"/>
    <n v="70000"/>
    <x v="1"/>
    <n v="4"/>
    <s v="Graduate Degree"/>
    <x v="2"/>
    <s v="Yes"/>
    <n v="0"/>
    <x v="1"/>
    <x v="2"/>
    <n v="35"/>
    <x v="0"/>
    <x v="1"/>
  </r>
  <r>
    <n v="13073"/>
    <x v="0"/>
    <x v="0"/>
    <n v="60000"/>
    <x v="1"/>
    <n v="0"/>
    <s v="Partial College"/>
    <x v="2"/>
    <s v="Yes"/>
    <n v="2"/>
    <x v="2"/>
    <x v="2"/>
    <n v="30"/>
    <x v="2"/>
    <x v="0"/>
  </r>
  <r>
    <n v="21940"/>
    <x v="0"/>
    <x v="1"/>
    <n v="90000"/>
    <x v="1"/>
    <n v="5"/>
    <s v="Graduate Degree"/>
    <x v="2"/>
    <s v="Yes"/>
    <n v="0"/>
    <x v="0"/>
    <x v="2"/>
    <n v="47"/>
    <x v="0"/>
    <x v="1"/>
  </r>
  <r>
    <n v="20196"/>
    <x v="0"/>
    <x v="1"/>
    <n v="60000"/>
    <x v="1"/>
    <n v="1"/>
    <s v="Partial College"/>
    <x v="0"/>
    <s v="Yes"/>
    <n v="1"/>
    <x v="1"/>
    <x v="2"/>
    <n v="45"/>
    <x v="0"/>
    <x v="1"/>
  </r>
  <r>
    <n v="23491"/>
    <x v="1"/>
    <x v="1"/>
    <n v="100000"/>
    <x v="2"/>
    <n v="0"/>
    <s v="Partial College"/>
    <x v="2"/>
    <s v="No"/>
    <n v="4"/>
    <x v="3"/>
    <x v="2"/>
    <n v="45"/>
    <x v="0"/>
    <x v="0"/>
  </r>
  <r>
    <n v="16651"/>
    <x v="0"/>
    <x v="0"/>
    <n v="120000"/>
    <x v="2"/>
    <n v="2"/>
    <s v="Bachelors"/>
    <x v="4"/>
    <s v="Yes"/>
    <n v="3"/>
    <x v="2"/>
    <x v="2"/>
    <n v="62"/>
    <x v="1"/>
    <x v="0"/>
  </r>
  <r>
    <n v="16813"/>
    <x v="0"/>
    <x v="1"/>
    <n v="60000"/>
    <x v="1"/>
    <n v="2"/>
    <s v="Partial College"/>
    <x v="2"/>
    <s v="Yes"/>
    <n v="2"/>
    <x v="4"/>
    <x v="2"/>
    <n v="55"/>
    <x v="1"/>
    <x v="0"/>
  </r>
  <r>
    <n v="16007"/>
    <x v="0"/>
    <x v="0"/>
    <n v="90000"/>
    <x v="1"/>
    <n v="5"/>
    <s v="Bachelors"/>
    <x v="4"/>
    <s v="Yes"/>
    <n v="2"/>
    <x v="3"/>
    <x v="2"/>
    <n v="66"/>
    <x v="1"/>
    <x v="1"/>
  </r>
  <r>
    <n v="27434"/>
    <x v="1"/>
    <x v="1"/>
    <n v="70000"/>
    <x v="1"/>
    <n v="4"/>
    <s v="Partial College"/>
    <x v="2"/>
    <s v="Yes"/>
    <n v="1"/>
    <x v="4"/>
    <x v="2"/>
    <n v="56"/>
    <x v="1"/>
    <x v="0"/>
  </r>
  <r>
    <n v="27756"/>
    <x v="1"/>
    <x v="0"/>
    <n v="50000"/>
    <x v="0"/>
    <n v="3"/>
    <s v="Bachelors"/>
    <x v="0"/>
    <s v="No"/>
    <n v="1"/>
    <x v="0"/>
    <x v="2"/>
    <n v="40"/>
    <x v="0"/>
    <x v="0"/>
  </r>
  <r>
    <n v="23818"/>
    <x v="0"/>
    <x v="0"/>
    <n v="50000"/>
    <x v="0"/>
    <n v="0"/>
    <s v="Graduate Degree"/>
    <x v="0"/>
    <s v="Yes"/>
    <n v="0"/>
    <x v="3"/>
    <x v="2"/>
    <n v="33"/>
    <x v="2"/>
    <x v="1"/>
  </r>
  <r>
    <n v="19012"/>
    <x v="0"/>
    <x v="1"/>
    <n v="80000"/>
    <x v="1"/>
    <n v="3"/>
    <s v="Bachelors"/>
    <x v="4"/>
    <s v="Yes"/>
    <n v="1"/>
    <x v="3"/>
    <x v="2"/>
    <n v="56"/>
    <x v="1"/>
    <x v="0"/>
  </r>
  <r>
    <n v="18329"/>
    <x v="1"/>
    <x v="1"/>
    <n v="30000"/>
    <x v="0"/>
    <n v="0"/>
    <s v="Partial High School"/>
    <x v="1"/>
    <s v="No"/>
    <n v="2"/>
    <x v="2"/>
    <x v="2"/>
    <n v="27"/>
    <x v="2"/>
    <x v="0"/>
  </r>
  <r>
    <n v="29037"/>
    <x v="0"/>
    <x v="1"/>
    <n v="60000"/>
    <x v="1"/>
    <n v="0"/>
    <s v="Graduate Degree"/>
    <x v="2"/>
    <s v="No"/>
    <n v="0"/>
    <x v="0"/>
    <x v="2"/>
    <n v="39"/>
    <x v="0"/>
    <x v="0"/>
  </r>
  <r>
    <n v="26576"/>
    <x v="0"/>
    <x v="0"/>
    <n v="60000"/>
    <x v="1"/>
    <n v="0"/>
    <s v="Partial College"/>
    <x v="0"/>
    <s v="Yes"/>
    <n v="2"/>
    <x v="2"/>
    <x v="2"/>
    <n v="31"/>
    <x v="2"/>
    <x v="0"/>
  </r>
  <r>
    <n v="12192"/>
    <x v="1"/>
    <x v="0"/>
    <n v="60000"/>
    <x v="1"/>
    <n v="2"/>
    <s v="Partial High School"/>
    <x v="0"/>
    <s v="No"/>
    <n v="2"/>
    <x v="3"/>
    <x v="2"/>
    <n v="51"/>
    <x v="0"/>
    <x v="0"/>
  </r>
  <r>
    <n v="14887"/>
    <x v="0"/>
    <x v="0"/>
    <n v="30000"/>
    <x v="0"/>
    <n v="1"/>
    <s v="High School"/>
    <x v="1"/>
    <s v="Yes"/>
    <n v="1"/>
    <x v="2"/>
    <x v="2"/>
    <n v="52"/>
    <x v="0"/>
    <x v="0"/>
  </r>
  <r>
    <n v="11734"/>
    <x v="0"/>
    <x v="1"/>
    <n v="60000"/>
    <x v="1"/>
    <n v="1"/>
    <s v="Partial College"/>
    <x v="0"/>
    <s v="No"/>
    <n v="1"/>
    <x v="0"/>
    <x v="2"/>
    <n v="47"/>
    <x v="0"/>
    <x v="0"/>
  </r>
  <r>
    <n v="17462"/>
    <x v="0"/>
    <x v="1"/>
    <n v="70000"/>
    <x v="1"/>
    <n v="3"/>
    <s v="Graduate Degree"/>
    <x v="4"/>
    <s v="Yes"/>
    <n v="2"/>
    <x v="2"/>
    <x v="2"/>
    <n v="53"/>
    <x v="0"/>
    <x v="1"/>
  </r>
  <r>
    <n v="20659"/>
    <x v="0"/>
    <x v="1"/>
    <n v="70000"/>
    <x v="1"/>
    <n v="3"/>
    <s v="Graduate Degree"/>
    <x v="2"/>
    <s v="Yes"/>
    <n v="0"/>
    <x v="0"/>
    <x v="2"/>
    <n v="35"/>
    <x v="0"/>
    <x v="1"/>
  </r>
  <r>
    <n v="28004"/>
    <x v="0"/>
    <x v="0"/>
    <n v="60000"/>
    <x v="1"/>
    <n v="3"/>
    <s v="Bachelors"/>
    <x v="4"/>
    <s v="Yes"/>
    <n v="2"/>
    <x v="4"/>
    <x v="2"/>
    <n v="66"/>
    <x v="1"/>
    <x v="0"/>
  </r>
  <r>
    <n v="19741"/>
    <x v="1"/>
    <x v="0"/>
    <n v="80000"/>
    <x v="1"/>
    <n v="4"/>
    <s v="Graduate Degree"/>
    <x v="4"/>
    <s v="Yes"/>
    <n v="2"/>
    <x v="2"/>
    <x v="2"/>
    <n v="65"/>
    <x v="1"/>
    <x v="0"/>
  </r>
  <r>
    <n v="17450"/>
    <x v="0"/>
    <x v="1"/>
    <n v="80000"/>
    <x v="1"/>
    <n v="5"/>
    <s v="Partial College"/>
    <x v="2"/>
    <s v="Yes"/>
    <n v="3"/>
    <x v="2"/>
    <x v="2"/>
    <n v="45"/>
    <x v="0"/>
    <x v="0"/>
  </r>
  <r>
    <n v="17337"/>
    <x v="1"/>
    <x v="1"/>
    <n v="40000"/>
    <x v="0"/>
    <n v="0"/>
    <s v="High School"/>
    <x v="0"/>
    <s v="Yes"/>
    <n v="1"/>
    <x v="2"/>
    <x v="2"/>
    <n v="31"/>
    <x v="2"/>
    <x v="0"/>
  </r>
  <r>
    <n v="18594"/>
    <x v="1"/>
    <x v="0"/>
    <n v="80000"/>
    <x v="1"/>
    <n v="3"/>
    <s v="Bachelors"/>
    <x v="0"/>
    <s v="Yes"/>
    <n v="3"/>
    <x v="4"/>
    <x v="2"/>
    <n v="40"/>
    <x v="0"/>
    <x v="1"/>
  </r>
  <r>
    <n v="15982"/>
    <x v="0"/>
    <x v="1"/>
    <n v="110000"/>
    <x v="2"/>
    <n v="5"/>
    <s v="Partial College"/>
    <x v="2"/>
    <s v="Yes"/>
    <n v="4"/>
    <x v="1"/>
    <x v="2"/>
    <n v="46"/>
    <x v="0"/>
    <x v="0"/>
  </r>
  <r>
    <n v="28625"/>
    <x v="1"/>
    <x v="1"/>
    <n v="40000"/>
    <x v="0"/>
    <n v="2"/>
    <s v="Partial College"/>
    <x v="1"/>
    <s v="No"/>
    <n v="1"/>
    <x v="3"/>
    <x v="2"/>
    <n v="47"/>
    <x v="0"/>
    <x v="1"/>
  </r>
  <r>
    <n v="11269"/>
    <x v="0"/>
    <x v="1"/>
    <n v="130000"/>
    <x v="2"/>
    <n v="2"/>
    <s v="Graduate Degree"/>
    <x v="4"/>
    <s v="Yes"/>
    <n v="2"/>
    <x v="0"/>
    <x v="2"/>
    <n v="41"/>
    <x v="0"/>
    <x v="0"/>
  </r>
  <r>
    <n v="25148"/>
    <x v="0"/>
    <x v="1"/>
    <n v="60000"/>
    <x v="1"/>
    <n v="2"/>
    <s v="High School"/>
    <x v="2"/>
    <s v="No"/>
    <n v="2"/>
    <x v="3"/>
    <x v="2"/>
    <n v="48"/>
    <x v="0"/>
    <x v="1"/>
  </r>
  <r>
    <n v="13920"/>
    <x v="1"/>
    <x v="0"/>
    <n v="50000"/>
    <x v="0"/>
    <n v="4"/>
    <s v="Bachelors"/>
    <x v="0"/>
    <s v="Yes"/>
    <n v="2"/>
    <x v="0"/>
    <x v="2"/>
    <n v="42"/>
    <x v="0"/>
    <x v="0"/>
  </r>
  <r>
    <n v="23704"/>
    <x v="1"/>
    <x v="1"/>
    <n v="40000"/>
    <x v="0"/>
    <n v="5"/>
    <s v="High School"/>
    <x v="2"/>
    <s v="Yes"/>
    <n v="4"/>
    <x v="4"/>
    <x v="2"/>
    <n v="60"/>
    <x v="1"/>
    <x v="1"/>
  </r>
  <r>
    <n v="28972"/>
    <x v="1"/>
    <x v="0"/>
    <n v="60000"/>
    <x v="1"/>
    <n v="3"/>
    <s v="Graduate Degree"/>
    <x v="4"/>
    <s v="Yes"/>
    <n v="2"/>
    <x v="4"/>
    <x v="2"/>
    <n v="66"/>
    <x v="1"/>
    <x v="0"/>
  </r>
  <r>
    <n v="22730"/>
    <x v="0"/>
    <x v="1"/>
    <n v="70000"/>
    <x v="1"/>
    <n v="5"/>
    <s v="Bachelors"/>
    <x v="4"/>
    <s v="Yes"/>
    <n v="2"/>
    <x v="4"/>
    <x v="2"/>
    <n v="63"/>
    <x v="1"/>
    <x v="0"/>
  </r>
  <r>
    <n v="29134"/>
    <x v="0"/>
    <x v="1"/>
    <n v="60000"/>
    <x v="1"/>
    <n v="4"/>
    <s v="Bachelors"/>
    <x v="0"/>
    <s v="No"/>
    <n v="3"/>
    <x v="4"/>
    <x v="2"/>
    <n v="42"/>
    <x v="0"/>
    <x v="0"/>
  </r>
  <r>
    <n v="14332"/>
    <x v="1"/>
    <x v="0"/>
    <n v="30000"/>
    <x v="0"/>
    <n v="0"/>
    <s v="High School"/>
    <x v="0"/>
    <s v="No"/>
    <n v="2"/>
    <x v="2"/>
    <x v="2"/>
    <n v="26"/>
    <x v="2"/>
    <x v="0"/>
  </r>
  <r>
    <n v="19117"/>
    <x v="1"/>
    <x v="0"/>
    <n v="60000"/>
    <x v="1"/>
    <n v="1"/>
    <s v="Graduate Degree"/>
    <x v="2"/>
    <s v="Yes"/>
    <n v="0"/>
    <x v="1"/>
    <x v="2"/>
    <n v="36"/>
    <x v="0"/>
    <x v="1"/>
  </r>
  <r>
    <n v="22864"/>
    <x v="0"/>
    <x v="1"/>
    <n v="90000"/>
    <x v="1"/>
    <n v="2"/>
    <s v="Partial College"/>
    <x v="2"/>
    <s v="No"/>
    <n v="0"/>
    <x v="2"/>
    <x v="2"/>
    <n v="49"/>
    <x v="0"/>
    <x v="1"/>
  </r>
  <r>
    <n v="11292"/>
    <x v="1"/>
    <x v="1"/>
    <n v="150000"/>
    <x v="2"/>
    <n v="1"/>
    <s v="Partial College"/>
    <x v="2"/>
    <s v="No"/>
    <n v="3"/>
    <x v="0"/>
    <x v="2"/>
    <n v="44"/>
    <x v="0"/>
    <x v="1"/>
  </r>
  <r>
    <n v="13466"/>
    <x v="0"/>
    <x v="1"/>
    <n v="80000"/>
    <x v="1"/>
    <n v="5"/>
    <s v="Partial College"/>
    <x v="2"/>
    <s v="Yes"/>
    <n v="3"/>
    <x v="3"/>
    <x v="2"/>
    <n v="46"/>
    <x v="0"/>
    <x v="0"/>
  </r>
  <r>
    <n v="23731"/>
    <x v="0"/>
    <x v="1"/>
    <n v="60000"/>
    <x v="1"/>
    <n v="2"/>
    <s v="High School"/>
    <x v="2"/>
    <s v="Yes"/>
    <n v="2"/>
    <x v="1"/>
    <x v="2"/>
    <n v="54"/>
    <x v="0"/>
    <x v="1"/>
  </r>
  <r>
    <n v="28672"/>
    <x v="1"/>
    <x v="1"/>
    <n v="70000"/>
    <x v="1"/>
    <n v="4"/>
    <s v="Graduate Degree"/>
    <x v="2"/>
    <s v="Yes"/>
    <n v="0"/>
    <x v="1"/>
    <x v="2"/>
    <n v="35"/>
    <x v="0"/>
    <x v="1"/>
  </r>
  <r>
    <n v="11809"/>
    <x v="0"/>
    <x v="1"/>
    <n v="60000"/>
    <x v="1"/>
    <n v="2"/>
    <s v="Bachelors"/>
    <x v="0"/>
    <s v="Yes"/>
    <n v="0"/>
    <x v="0"/>
    <x v="2"/>
    <n v="38"/>
    <x v="0"/>
    <x v="1"/>
  </r>
  <r>
    <n v="19664"/>
    <x v="1"/>
    <x v="1"/>
    <n v="100000"/>
    <x v="2"/>
    <n v="3"/>
    <s v="Bachelors"/>
    <x v="4"/>
    <s v="No"/>
    <n v="3"/>
    <x v="3"/>
    <x v="2"/>
    <n v="38"/>
    <x v="0"/>
    <x v="0"/>
  </r>
  <r>
    <n v="12121"/>
    <x v="1"/>
    <x v="1"/>
    <n v="60000"/>
    <x v="1"/>
    <n v="3"/>
    <s v="High School"/>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179B16-4DCC-43A6-8F57-E29DEB3FB661}" name="PivotTable1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4:D41" firstHeaderRow="1" firstDataRow="2" firstDataCol="1"/>
  <pivotFields count="15">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pivotField compact="0" outline="0" showAll="0"/>
    <pivotField compact="0" outline="0" showAll="0">
      <items count="6">
        <item x="1"/>
        <item x="4"/>
        <item x="3"/>
        <item x="2"/>
        <item x="0"/>
        <item t="default"/>
      </items>
    </pivotField>
    <pivotField compact="0" outline="0" showAll="0"/>
    <pivotField compact="0" outline="0" showAll="0"/>
    <pivotField axis="axisRow" compact="0" outline="0" showAll="0">
      <items count="6">
        <item x="0"/>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10"/>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0"/>
          </reference>
        </references>
      </pivotArea>
    </chartFormat>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7" format="4" series="1">
      <pivotArea type="data" outline="0" fieldPosition="0">
        <references count="2">
          <reference field="4294967294" count="1" selected="0">
            <x v="0"/>
          </reference>
          <reference field="14" count="1" selected="0">
            <x v="0"/>
          </reference>
        </references>
      </pivotArea>
    </chartFormat>
    <chartFormat chart="7" format="5" series="1">
      <pivotArea type="data" outline="0" fieldPosition="0">
        <references count="2">
          <reference field="4294967294" count="1" selected="0">
            <x v="0"/>
          </reference>
          <reference field="14" count="1" selected="0">
            <x v="1"/>
          </reference>
        </references>
      </pivotArea>
    </chartFormat>
    <chartFormat chart="7" format="6">
      <pivotArea type="data" outline="0" fieldPosition="0">
        <references count="3">
          <reference field="4294967294" count="1" selected="0">
            <x v="0"/>
          </reference>
          <reference field="10" count="1" selected="0">
            <x v="3"/>
          </reference>
          <reference field="14" count="1" selected="0">
            <x v="0"/>
          </reference>
        </references>
      </pivotArea>
    </chartFormat>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ED5D4B-8D9D-4740-A27D-92316E8B9EC9}"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18:D23" firstHeaderRow="1" firstDataRow="2" firstDataCol="1"/>
  <pivotFields count="15">
    <pivotField compact="0" outline="0" showAll="0"/>
    <pivotField compact="0" outline="0" showAll="0">
      <items count="3">
        <item x="0"/>
        <item x="1"/>
        <item t="default"/>
      </items>
    </pivotField>
    <pivotField compact="0" outline="0" showAll="0"/>
    <pivotField compact="0" numFmtId="164" outline="0" showAll="0"/>
    <pivotField axis="axisRow" compact="0" outline="0" showAll="0">
      <items count="4">
        <item x="2"/>
        <item x="0"/>
        <item x="1"/>
        <item t="default"/>
      </items>
    </pivotField>
    <pivotField compact="0" outline="0" showAll="0"/>
    <pivotField compact="0" outline="0" showAll="0"/>
    <pivotField compact="0" outline="0" showAll="0">
      <items count="6">
        <item x="1"/>
        <item x="4"/>
        <item x="3"/>
        <item x="2"/>
        <item x="0"/>
        <item t="default"/>
      </items>
    </pivotField>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4"/>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7" format="4" series="1">
      <pivotArea type="data" outline="0" fieldPosition="0">
        <references count="2">
          <reference field="4294967294" count="1" selected="0">
            <x v="0"/>
          </reference>
          <reference field="14" count="1" selected="0">
            <x v="0"/>
          </reference>
        </references>
      </pivotArea>
    </chartFormat>
    <chartFormat chart="7" format="5" series="1">
      <pivotArea type="data" outline="0" fieldPosition="0">
        <references count="2">
          <reference field="4294967294" count="1" selected="0">
            <x v="0"/>
          </reference>
          <reference field="14"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134378-11D3-43B9-8C4C-6C973D93674B}"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75:C80" firstHeaderRow="1" firstDataRow="2" firstDataCol="1"/>
  <pivotFields count="15">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pivotField compact="0" outline="0" showAll="0"/>
    <pivotField compact="0" outline="0" showAll="0">
      <items count="6">
        <item x="1"/>
        <item x="4"/>
        <item x="3"/>
        <item x="2"/>
        <item x="0"/>
        <item t="default"/>
      </items>
    </pivotField>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items count="4">
        <item x="0"/>
        <item x="1"/>
        <item x="2"/>
        <item t="default"/>
      </items>
    </pivotField>
    <pivotField axis="axisCol" dataField="1" compact="0" outline="0" showAll="0">
      <items count="3">
        <item h="1" x="0"/>
        <item x="1"/>
        <item t="default"/>
      </items>
    </pivotField>
  </pivotFields>
  <rowFields count="1">
    <field x="11"/>
  </rowFields>
  <rowItems count="4">
    <i>
      <x/>
    </i>
    <i>
      <x v="1"/>
    </i>
    <i>
      <x v="2"/>
    </i>
    <i t="grand">
      <x/>
    </i>
  </rowItems>
  <colFields count="1">
    <field x="14"/>
  </colFields>
  <colItems count="2">
    <i>
      <x v="1"/>
    </i>
    <i t="grand">
      <x/>
    </i>
  </colItems>
  <dataFields count="1">
    <dataField name="Count of Purchased Bike" fld="14" subtotal="count" baseField="0" baseItem="0"/>
  </dataFields>
  <chartFormats count="6">
    <chartFormat chart="2" format="1" series="1">
      <pivotArea type="data" outline="0" fieldPosition="0">
        <references count="1">
          <reference field="14" count="1" selected="0">
            <x v="1"/>
          </reference>
        </references>
      </pivotArea>
    </chartFormat>
    <chartFormat chart="2" format="2" series="1">
      <pivotArea type="data" outline="0" fieldPosition="0">
        <references count="1">
          <reference field="14" count="1" selected="0">
            <x v="0"/>
          </reference>
        </references>
      </pivotArea>
    </chartFormat>
    <chartFormat chart="14" format="0" series="1">
      <pivotArea type="data" outline="0" fieldPosition="0">
        <references count="2">
          <reference field="4294967294" count="1" selected="0">
            <x v="0"/>
          </reference>
          <reference field="14" count="1" selected="0">
            <x v="0"/>
          </reference>
        </references>
      </pivotArea>
    </chartFormat>
    <chartFormat chart="14" format="1" series="1">
      <pivotArea type="data" outline="0" fieldPosition="0">
        <references count="2">
          <reference field="4294967294" count="1" selected="0">
            <x v="0"/>
          </reference>
          <reference field="14" count="1" selected="0">
            <x v="1"/>
          </reference>
        </references>
      </pivotArea>
    </chartFormat>
    <chartFormat chart="15" format="0" series="1">
      <pivotArea type="data" outline="0" fieldPosition="0">
        <references count="2">
          <reference field="4294967294" count="1" selected="0">
            <x v="0"/>
          </reference>
          <reference field="14" count="1" selected="0">
            <x v="0"/>
          </reference>
        </references>
      </pivotArea>
    </chartFormat>
    <chartFormat chart="15" format="1" series="1">
      <pivotArea type="data" outline="0" fieldPosition="0">
        <references count="2">
          <reference field="4294967294" count="1" selected="0">
            <x v="0"/>
          </reference>
          <reference field="14"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6E9E22-64F2-4277-B830-3C69085E96EB}"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5">
  <location ref="A62:D69" firstHeaderRow="1" firstDataRow="2" firstDataCol="1"/>
  <pivotFields count="15">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pivotField compact="0" outline="0" showAll="0"/>
    <pivotField axis="axisRow" compact="0" outline="0" showAll="0">
      <items count="6">
        <item x="1"/>
        <item x="4"/>
        <item x="3"/>
        <item x="2"/>
        <item x="0"/>
        <item t="default"/>
      </items>
    </pivotField>
    <pivotField compact="0" outline="0" showAll="0"/>
    <pivotField compact="0" outline="0" showAll="0"/>
    <pivotField compact="0" outline="0" showAll="0"/>
    <pivotField compact="0" outline="0" multipleItemSelectionAllowed="1" showAll="0">
      <items count="4">
        <item x="0"/>
        <item x="2"/>
        <item x="1"/>
        <item t="default"/>
      </items>
    </pivotField>
    <pivotField compact="0" outline="0" showAll="0"/>
    <pivotField compact="0" outline="0" showAll="0">
      <items count="4">
        <item x="0"/>
        <item x="1"/>
        <item x="2"/>
        <item t="default"/>
      </items>
    </pivotField>
    <pivotField axis="axisCol" dataField="1" compact="0" outline="0" showAll="0">
      <items count="3">
        <item x="0"/>
        <item x="1"/>
        <item t="default"/>
      </items>
    </pivotField>
  </pivotFields>
  <rowFields count="1">
    <field x="7"/>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5">
    <chartFormat chart="2" format="1" series="1">
      <pivotArea type="data" outline="0" fieldPosition="0">
        <references count="1">
          <reference field="14" count="1" selected="0">
            <x v="1"/>
          </reference>
        </references>
      </pivotArea>
    </chartFormat>
    <chartFormat chart="2" format="2" series="1">
      <pivotArea type="data" outline="0" fieldPosition="0">
        <references count="1">
          <reference field="14" count="1" selected="0">
            <x v="0"/>
          </reference>
        </references>
      </pivotArea>
    </chartFormat>
    <chartFormat chart="14" format="0" series="1">
      <pivotArea type="data" outline="0" fieldPosition="0">
        <references count="2">
          <reference field="4294967294" count="1" selected="0">
            <x v="0"/>
          </reference>
          <reference field="14" count="1" selected="0">
            <x v="0"/>
          </reference>
        </references>
      </pivotArea>
    </chartFormat>
    <chartFormat chart="14" format="1" series="1">
      <pivotArea type="data" outline="0" fieldPosition="0">
        <references count="2">
          <reference field="4294967294" count="1" selected="0">
            <x v="0"/>
          </reference>
          <reference field="14" count="1" selected="0">
            <x v="1"/>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52D370-8E92-4750-A57D-146EA78666A7}"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49:D54" firstHeaderRow="1" firstDataRow="2" firstDataCol="1"/>
  <pivotFields count="15">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pivotField compact="0" outline="0" showAll="0"/>
    <pivotField compact="0" outline="0" showAll="0">
      <items count="6">
        <item x="1"/>
        <item x="4"/>
        <item x="3"/>
        <item x="2"/>
        <item x="0"/>
        <item t="default"/>
      </items>
    </pivotField>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0"/>
        <item x="1"/>
        <item x="2"/>
        <item t="default"/>
      </items>
    </pivotField>
    <pivotField axis="axisCol" dataField="1" compact="0" outline="0"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6">
    <chartFormat chart="2" format="1" series="1">
      <pivotArea type="data" outline="0" fieldPosition="0">
        <references count="1">
          <reference field="14" count="1" selected="0">
            <x v="1"/>
          </reference>
        </references>
      </pivotArea>
    </chartFormat>
    <chartFormat chart="2" format="2" series="1">
      <pivotArea type="data" outline="0" fieldPosition="0">
        <references count="1">
          <reference field="14" count="1" selected="0">
            <x v="0"/>
          </reference>
        </references>
      </pivotArea>
    </chartFormat>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9" format="7" series="1">
      <pivotArea type="data" outline="0" fieldPosition="0">
        <references count="2">
          <reference field="4294967294" count="1" selected="0">
            <x v="0"/>
          </reference>
          <reference field="14" count="1" selected="0">
            <x v="0"/>
          </reference>
        </references>
      </pivotArea>
    </chartFormat>
    <chartFormat chart="9" format="8" series="1">
      <pivotArea type="data" outline="0" fieldPosition="0">
        <references count="2">
          <reference field="4294967294" count="1" selected="0">
            <x v="0"/>
          </reference>
          <reference field="14"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CE50E4-6359-44D5-84A0-C23F0756EB0C}"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D7" firstHeaderRow="1" firstDataRow="2" firstDataCol="1"/>
  <pivotFields count="15">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4" outline="0" showAll="0"/>
    <pivotField compact="0" outline="0" showAll="0"/>
    <pivotField compact="0" outline="0" showAll="0"/>
    <pivotField compact="0" outline="0" showAll="0"/>
    <pivotField compact="0" outline="0" showAll="0">
      <items count="6">
        <item x="1"/>
        <item x="4"/>
        <item x="3"/>
        <item x="2"/>
        <item x="0"/>
        <item t="default"/>
      </items>
    </pivotField>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64"/>
  </dataFields>
  <formats count="3">
    <format dxfId="8">
      <pivotArea collapsedLevelsAreSubtotals="1" fieldPosition="0">
        <references count="1">
          <reference field="2" count="1">
            <x v="0"/>
          </reference>
        </references>
      </pivotArea>
    </format>
    <format dxfId="7">
      <pivotArea collapsedLevelsAreSubtotals="1" fieldPosition="0">
        <references count="1">
          <reference field="2" count="1">
            <x v="1"/>
          </reference>
        </references>
      </pivotArea>
    </format>
    <format dxfId="6">
      <pivotArea grandRow="1" outline="0" collapsedLevelsAreSubtotals="1" fieldPosition="0"/>
    </format>
  </formats>
  <chartFormats count="8">
    <chartFormat chart="3" format="9" series="1">
      <pivotArea type="data" outline="0" fieldPosition="0">
        <references count="1">
          <reference field="14" count="1" selected="0">
            <x v="0"/>
          </reference>
        </references>
      </pivotArea>
    </chartFormat>
    <chartFormat chart="3" format="10" series="1">
      <pivotArea type="data" outline="0" fieldPosition="0">
        <references count="1">
          <reference field="14" count="1" selected="0">
            <x v="1"/>
          </reference>
        </references>
      </pivotArea>
    </chartFormat>
    <chartFormat chart="0" format="6" series="1">
      <pivotArea type="data" outline="0" fieldPosition="0">
        <references count="1">
          <reference field="14" count="1" selected="0">
            <x v="0"/>
          </reference>
        </references>
      </pivotArea>
    </chartFormat>
    <chartFormat chart="0" format="7" series="1">
      <pivotArea type="data" outline="0" fieldPosition="0">
        <references count="1">
          <reference field="14" count="1" selected="0">
            <x v="1"/>
          </reference>
        </references>
      </pivotArea>
    </chartFormat>
    <chartFormat chart="3" format="11" series="1">
      <pivotArea type="data" outline="0" fieldPosition="0">
        <references count="2">
          <reference field="4294967294" count="1" selected="0">
            <x v="0"/>
          </reference>
          <reference field="14" count="1" selected="0">
            <x v="0"/>
          </reference>
        </references>
      </pivotArea>
    </chartFormat>
    <chartFormat chart="3" format="12" series="1">
      <pivotArea type="data" outline="0" fieldPosition="0">
        <references count="2">
          <reference field="4294967294" count="1" selected="0">
            <x v="0"/>
          </reference>
          <reference field="14" count="1" selected="0">
            <x v="1"/>
          </reference>
        </references>
      </pivotArea>
    </chartFormat>
    <chartFormat chart="0" format="8" series="1">
      <pivotArea type="data" outline="0" fieldPosition="0">
        <references count="2">
          <reference field="4294967294" count="1" selected="0">
            <x v="0"/>
          </reference>
          <reference field="14" count="1" selected="0">
            <x v="0"/>
          </reference>
        </references>
      </pivotArea>
    </chartFormat>
    <chartFormat chart="0" format="9" series="1">
      <pivotArea type="data" outline="0" fieldPosition="0">
        <references count="2">
          <reference field="4294967294" count="1" selected="0">
            <x v="0"/>
          </reference>
          <reference field="14"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D85EE20-F8C8-4B9A-AB70-A4A87BB08A64}" sourceName="Marital Status">
  <pivotTables>
    <pivotTable tabId="5" name="PivotTable11"/>
    <pivotTable tabId="5" name="PivotTable15"/>
    <pivotTable tabId="5" name="PivotTable2"/>
    <pivotTable tabId="5" name="PivotTable3"/>
    <pivotTable tabId="5" name="PivotTable1"/>
    <pivotTable tabId="5" name="PivotTable4"/>
  </pivotTables>
  <data>
    <tabular pivotCacheId="4743805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F2DE0526-7D9F-40F5-8A05-40CCADA8B4CD}" sourceName="Occupation">
  <pivotTables>
    <pivotTable tabId="5" name="PivotTable11"/>
    <pivotTable tabId="5" name="PivotTable15"/>
    <pivotTable tabId="5" name="PivotTable2"/>
    <pivotTable tabId="5" name="PivotTable3"/>
    <pivotTable tabId="5" name="PivotTable1"/>
    <pivotTable tabId="5" name="PivotTable4"/>
  </pivotTables>
  <data>
    <tabular pivotCacheId="474380517">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E94C35-DB34-4A25-AF66-1FE1D61D156A}" sourceName="Region">
  <pivotTables>
    <pivotTable tabId="5" name="PivotTable11"/>
    <pivotTable tabId="5" name="PivotTable15"/>
    <pivotTable tabId="5" name="PivotTable2"/>
    <pivotTable tabId="5" name="PivotTable3"/>
    <pivotTable tabId="5" name="PivotTable1"/>
    <pivotTable tabId="5" name="PivotTable4"/>
  </pivotTables>
  <data>
    <tabular pivotCacheId="47438051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5A0A7C3-D31E-48EE-A796-0E315A773F8B}" cache="Slicer_Marital_Status" caption="Marital Status" style="SlicerStyleLight6" rowHeight="241300"/>
  <slicer name="Occupation" xr10:uid="{AB695C70-0A5E-4EC8-9F51-8508E09AE21E}" cache="Slicer_Occupation" caption="Occupation" style="SlicerStyleLight6" rowHeight="241300"/>
  <slicer name="Region" xr10:uid="{39515230-5A68-4EDF-BD56-AF0AB4F52BCE}" cache="Slicer_Region" caption="Region"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A9E3D016-288E-44DF-8445-739D46F378AB}" cache="Slicer_Marital_Status" caption="Marital Status" style="SlicerStyleLight6" rowHeight="241300"/>
  <slicer name="Occupation 1" xr10:uid="{53E92844-489F-4ED6-9140-83BC91737C00}" cache="Slicer_Occupation" caption="Occupation" style="SlicerStyleLight6" rowHeight="241300"/>
  <slicer name="Region 1" xr10:uid="{D8B5BDF7-4374-4D65-8321-B99B82381BC5}" cache="Slicer_Region" caption="Region"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969F81-F077-4F8C-AA48-4F5D5A571FF5}" name="Table2" displayName="Table2" ref="A1:D16" totalsRowShown="0" headerRowDxfId="27">
  <autoFilter ref="A1:D16" xr:uid="{02969F81-F077-4F8C-AA48-4F5D5A571FF5}"/>
  <tableColumns count="4">
    <tableColumn id="1" xr3:uid="{2900A8D6-C007-4EAB-A8A7-669FF0FCECD8}" name="Column Name"/>
    <tableColumn id="2" xr3:uid="{963A44BF-2D5D-491A-9D76-F224F4456D54}" name="Description"/>
    <tableColumn id="3" xr3:uid="{C06CC040-0132-4CA4-A2B4-E0E1DC709F58}" name="Data Type"/>
    <tableColumn id="4" xr3:uid="{4520D57E-ADDB-4DA5-8392-926AB998985B}" name="Example"/>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6374CF-95E8-4DD9-B155-281BC7745A18}" name="Bike_Sales_Clean" displayName="Bike_Sales_Clean" ref="A1:O1001" totalsRowShown="0" headerRowDxfId="26" dataDxfId="25" tableBorderDxfId="24">
  <autoFilter ref="A1:O1001" xr:uid="{946374CF-95E8-4DD9-B155-281BC7745A18}"/>
  <tableColumns count="15">
    <tableColumn id="1" xr3:uid="{2C01384F-BC08-440B-AE54-591F4C8D1758}" name="ID" dataDxfId="23"/>
    <tableColumn id="2" xr3:uid="{8EC7188D-7B8D-4D66-94B7-90E0F9BDEF29}" name="Marital Status" dataDxfId="22"/>
    <tableColumn id="3" xr3:uid="{E4EF1214-6CF7-4D46-B726-E424E6435213}" name="Gender" dataDxfId="21"/>
    <tableColumn id="4" xr3:uid="{4024563E-8594-453E-BDB8-57182FAA7907}" name="Income" dataDxfId="20"/>
    <tableColumn id="5" xr3:uid="{1D260F15-6E90-42A5-B13A-CCE5EC754BD7}" name="Income Group" dataDxfId="19">
      <calculatedColumnFormula array="1">_xlfn.IFS(Cleaned_Working_Sheet!$D2&lt;=50000,"Low Income",Cleaned_Working_Sheet!$D2&lt;100000,"Middle Income",TRUE,"High Income")</calculatedColumnFormula>
    </tableColumn>
    <tableColumn id="6" xr3:uid="{B692264E-980F-42FD-9A7E-290EC5D59395}" name="Children" dataDxfId="18"/>
    <tableColumn id="7" xr3:uid="{B40053A1-4796-4E83-BA87-F29B75B29402}" name="Education" dataDxfId="17"/>
    <tableColumn id="8" xr3:uid="{A738D5EC-196A-46F8-BCBE-0E6E725AEDDD}" name="Occupation" dataDxfId="16"/>
    <tableColumn id="9" xr3:uid="{31A7C43A-62CF-48F6-B860-ADFC163E6656}" name="Home Owner" dataDxfId="15"/>
    <tableColumn id="10" xr3:uid="{C611A713-4B25-46A4-8A6D-78DDD850B0A9}" name="Cars" dataDxfId="14"/>
    <tableColumn id="11" xr3:uid="{493699C9-25D1-41E4-A3B1-E866C4968763}" name="Commute Distance" dataDxfId="13"/>
    <tableColumn id="12" xr3:uid="{00BC5C78-DEA5-4D4F-9CAF-62C6E7DB2A08}" name="Region" dataDxfId="12"/>
    <tableColumn id="13" xr3:uid="{0B784E2C-28D2-406F-84E6-628FD0259E10}" name="Age" dataDxfId="11"/>
    <tableColumn id="14" xr3:uid="{71739D57-31F5-41FD-89E3-D31709A4BD11}" name="Age Group" dataDxfId="10">
      <calculatedColumnFormula array="1">_xlfn.IFS(Cleaned_Working_Sheet!$M2&lt;=34,"Young",Cleaned_Working_Sheet!$M2&lt;=54,"Middle-aged",Cleaned_Working_Sheet!$M2&gt;54,"Old")</calculatedColumnFormula>
    </tableColumn>
    <tableColumn id="15" xr3:uid="{3369EF44-1CC2-4571-9110-2D55B293A5DD}" name="Purchased Bike" dataDxfId="9"/>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A1048576"/>
    </sheetView>
  </sheetViews>
  <sheetFormatPr defaultColWidth="11.85546875" defaultRowHeight="15" x14ac:dyDescent="0.25"/>
  <cols>
    <col min="2" max="2" width="10.140625" customWidth="1"/>
    <col min="3" max="3" width="9.7109375" customWidth="1"/>
    <col min="4" max="4" width="7.5703125" style="5" customWidth="1"/>
    <col min="6" max="6" width="7.5703125" customWidth="1"/>
    <col min="7" max="8" width="8.85546875" customWidth="1"/>
    <col min="13" max="13" width="15.42578125" customWidth="1"/>
  </cols>
  <sheetData>
    <row r="1" spans="1:13" x14ac:dyDescent="0.25">
      <c r="A1" t="s">
        <v>0</v>
      </c>
      <c r="B1" t="s">
        <v>1</v>
      </c>
      <c r="C1" t="s">
        <v>2</v>
      </c>
      <c r="D1" s="5" t="s">
        <v>3</v>
      </c>
      <c r="E1" t="s">
        <v>4</v>
      </c>
      <c r="F1" t="s">
        <v>5</v>
      </c>
      <c r="G1" t="s">
        <v>6</v>
      </c>
      <c r="H1" t="s">
        <v>7</v>
      </c>
      <c r="I1" t="s">
        <v>8</v>
      </c>
      <c r="J1" t="s">
        <v>9</v>
      </c>
      <c r="K1" t="s">
        <v>10</v>
      </c>
      <c r="L1" t="s">
        <v>11</v>
      </c>
      <c r="M1" t="s">
        <v>12</v>
      </c>
    </row>
    <row r="2" spans="1:13" x14ac:dyDescent="0.25">
      <c r="A2">
        <v>12496</v>
      </c>
      <c r="B2" t="s">
        <v>34</v>
      </c>
      <c r="C2" t="s">
        <v>33</v>
      </c>
      <c r="D2" s="5">
        <v>40000</v>
      </c>
      <c r="E2">
        <v>1</v>
      </c>
      <c r="F2" t="s">
        <v>13</v>
      </c>
      <c r="G2" t="s">
        <v>14</v>
      </c>
      <c r="H2" t="s">
        <v>15</v>
      </c>
      <c r="I2">
        <v>0</v>
      </c>
      <c r="J2" t="s">
        <v>16</v>
      </c>
      <c r="K2" t="s">
        <v>17</v>
      </c>
      <c r="L2">
        <v>42</v>
      </c>
      <c r="M2" t="s">
        <v>18</v>
      </c>
    </row>
    <row r="3" spans="1:13" x14ac:dyDescent="0.25">
      <c r="A3">
        <v>24107</v>
      </c>
      <c r="B3" t="s">
        <v>34</v>
      </c>
      <c r="C3" t="s">
        <v>34</v>
      </c>
      <c r="D3" s="5">
        <v>30000</v>
      </c>
      <c r="E3">
        <v>3</v>
      </c>
      <c r="F3" t="s">
        <v>62</v>
      </c>
      <c r="G3" t="s">
        <v>20</v>
      </c>
      <c r="H3" t="s">
        <v>15</v>
      </c>
      <c r="I3">
        <v>1</v>
      </c>
      <c r="J3" t="s">
        <v>16</v>
      </c>
      <c r="K3" t="s">
        <v>17</v>
      </c>
      <c r="L3">
        <v>43</v>
      </c>
      <c r="M3" t="s">
        <v>18</v>
      </c>
    </row>
    <row r="4" spans="1:13" x14ac:dyDescent="0.25">
      <c r="A4">
        <v>14177</v>
      </c>
      <c r="B4" t="s">
        <v>52</v>
      </c>
      <c r="C4" t="s">
        <v>34</v>
      </c>
      <c r="D4" s="5">
        <v>80000</v>
      </c>
      <c r="E4">
        <v>5</v>
      </c>
      <c r="F4" t="s">
        <v>19</v>
      </c>
      <c r="G4" t="s">
        <v>21</v>
      </c>
      <c r="H4" t="s">
        <v>18</v>
      </c>
      <c r="I4">
        <v>2</v>
      </c>
      <c r="J4" t="s">
        <v>22</v>
      </c>
      <c r="K4" t="s">
        <v>46</v>
      </c>
      <c r="L4">
        <v>60</v>
      </c>
      <c r="M4" t="s">
        <v>18</v>
      </c>
    </row>
    <row r="5" spans="1:13" x14ac:dyDescent="0.25">
      <c r="A5">
        <v>24381</v>
      </c>
      <c r="B5" t="s">
        <v>35</v>
      </c>
      <c r="C5" t="s">
        <v>34</v>
      </c>
      <c r="D5" s="5">
        <v>70000</v>
      </c>
      <c r="E5">
        <v>0</v>
      </c>
      <c r="F5" t="s">
        <v>53</v>
      </c>
      <c r="G5" t="s">
        <v>21</v>
      </c>
      <c r="H5" t="s">
        <v>15</v>
      </c>
      <c r="I5">
        <v>1</v>
      </c>
      <c r="J5" t="s">
        <v>23</v>
      </c>
      <c r="K5" t="s">
        <v>24</v>
      </c>
      <c r="L5">
        <v>41</v>
      </c>
      <c r="M5" t="s">
        <v>15</v>
      </c>
    </row>
    <row r="6" spans="1:13" x14ac:dyDescent="0.25">
      <c r="A6">
        <v>25597</v>
      </c>
      <c r="B6" t="s">
        <v>35</v>
      </c>
      <c r="C6" t="s">
        <v>34</v>
      </c>
      <c r="D6" s="5">
        <v>30000</v>
      </c>
      <c r="E6">
        <v>0</v>
      </c>
      <c r="F6" t="s">
        <v>13</v>
      </c>
      <c r="G6" t="s">
        <v>20</v>
      </c>
      <c r="H6" t="s">
        <v>18</v>
      </c>
      <c r="I6">
        <v>0</v>
      </c>
      <c r="J6" t="s">
        <v>16</v>
      </c>
      <c r="K6" t="s">
        <v>17</v>
      </c>
      <c r="L6">
        <v>36</v>
      </c>
      <c r="M6" t="s">
        <v>15</v>
      </c>
    </row>
    <row r="7" spans="1:13" x14ac:dyDescent="0.25">
      <c r="A7">
        <v>13507</v>
      </c>
      <c r="B7" t="s">
        <v>34</v>
      </c>
      <c r="C7" t="s">
        <v>33</v>
      </c>
      <c r="D7" s="5">
        <v>10000</v>
      </c>
      <c r="E7">
        <v>2</v>
      </c>
      <c r="F7" t="s">
        <v>19</v>
      </c>
      <c r="G7" t="s">
        <v>63</v>
      </c>
      <c r="H7" t="s">
        <v>15</v>
      </c>
      <c r="I7">
        <v>0</v>
      </c>
      <c r="J7" t="s">
        <v>26</v>
      </c>
      <c r="K7" t="s">
        <v>56</v>
      </c>
      <c r="L7">
        <v>50</v>
      </c>
      <c r="M7" t="s">
        <v>18</v>
      </c>
    </row>
    <row r="8" spans="1:13" x14ac:dyDescent="0.25">
      <c r="A8">
        <v>27974</v>
      </c>
      <c r="B8" t="s">
        <v>35</v>
      </c>
      <c r="C8" t="s">
        <v>34</v>
      </c>
      <c r="D8" s="5">
        <v>160000</v>
      </c>
      <c r="E8">
        <v>2</v>
      </c>
      <c r="F8" t="s">
        <v>27</v>
      </c>
      <c r="G8" t="s">
        <v>28</v>
      </c>
      <c r="H8" t="s">
        <v>15</v>
      </c>
      <c r="I8">
        <v>4</v>
      </c>
      <c r="J8" t="s">
        <v>16</v>
      </c>
      <c r="K8" t="s">
        <v>24</v>
      </c>
      <c r="L8">
        <v>33</v>
      </c>
      <c r="M8" t="s">
        <v>15</v>
      </c>
    </row>
    <row r="9" spans="1:13" x14ac:dyDescent="0.25">
      <c r="A9">
        <v>19364</v>
      </c>
      <c r="B9" t="s">
        <v>34</v>
      </c>
      <c r="C9" t="s">
        <v>34</v>
      </c>
      <c r="D9" s="5">
        <v>40000</v>
      </c>
      <c r="E9">
        <v>1</v>
      </c>
      <c r="F9" t="s">
        <v>13</v>
      </c>
      <c r="G9" t="s">
        <v>14</v>
      </c>
      <c r="H9" t="s">
        <v>15</v>
      </c>
      <c r="I9">
        <v>0</v>
      </c>
      <c r="J9" t="s">
        <v>16</v>
      </c>
      <c r="K9" t="s">
        <v>17</v>
      </c>
      <c r="L9">
        <v>43</v>
      </c>
      <c r="M9" t="s">
        <v>15</v>
      </c>
    </row>
    <row r="10" spans="1:13" x14ac:dyDescent="0.25">
      <c r="A10">
        <v>22155</v>
      </c>
      <c r="B10" t="s">
        <v>34</v>
      </c>
      <c r="C10" t="s">
        <v>34</v>
      </c>
      <c r="D10" s="5">
        <v>20000</v>
      </c>
      <c r="E10">
        <v>2</v>
      </c>
      <c r="F10" t="s">
        <v>29</v>
      </c>
      <c r="G10" t="s">
        <v>20</v>
      </c>
      <c r="H10" t="s">
        <v>15</v>
      </c>
      <c r="I10">
        <v>2</v>
      </c>
      <c r="J10" t="s">
        <v>57</v>
      </c>
      <c r="K10" t="s">
        <v>24</v>
      </c>
      <c r="L10">
        <v>58</v>
      </c>
      <c r="M10" t="s">
        <v>18</v>
      </c>
    </row>
    <row r="11" spans="1:13" x14ac:dyDescent="0.25">
      <c r="A11">
        <v>19280</v>
      </c>
      <c r="B11" t="s">
        <v>34</v>
      </c>
      <c r="C11" t="s">
        <v>34</v>
      </c>
      <c r="D11" s="5">
        <v>120000</v>
      </c>
      <c r="E11">
        <v>2</v>
      </c>
      <c r="F11" t="s">
        <v>19</v>
      </c>
      <c r="G11" t="s">
        <v>25</v>
      </c>
      <c r="H11" t="s">
        <v>15</v>
      </c>
      <c r="I11">
        <v>1</v>
      </c>
      <c r="J11" t="s">
        <v>16</v>
      </c>
      <c r="K11" t="s">
        <v>17</v>
      </c>
      <c r="L11">
        <v>40</v>
      </c>
      <c r="M11" t="s">
        <v>15</v>
      </c>
    </row>
    <row r="12" spans="1:13" x14ac:dyDescent="0.25">
      <c r="A12">
        <v>22173</v>
      </c>
      <c r="B12" t="s">
        <v>34</v>
      </c>
      <c r="C12" t="s">
        <v>45</v>
      </c>
      <c r="D12" s="5">
        <v>30000</v>
      </c>
      <c r="E12">
        <v>3</v>
      </c>
      <c r="F12" t="s">
        <v>27</v>
      </c>
      <c r="G12" t="s">
        <v>14</v>
      </c>
      <c r="H12" t="s">
        <v>18</v>
      </c>
      <c r="I12">
        <v>2</v>
      </c>
      <c r="J12" t="s">
        <v>26</v>
      </c>
      <c r="K12" t="s">
        <v>24</v>
      </c>
      <c r="L12">
        <v>54</v>
      </c>
      <c r="M12" t="s">
        <v>15</v>
      </c>
    </row>
    <row r="13" spans="1:13" x14ac:dyDescent="0.25">
      <c r="A13">
        <v>12697</v>
      </c>
      <c r="B13" t="s">
        <v>35</v>
      </c>
      <c r="C13" t="s">
        <v>33</v>
      </c>
      <c r="D13" s="5">
        <v>90000</v>
      </c>
      <c r="E13">
        <v>0</v>
      </c>
      <c r="F13" t="s">
        <v>13</v>
      </c>
      <c r="G13" t="s">
        <v>21</v>
      </c>
      <c r="H13" t="s">
        <v>18</v>
      </c>
      <c r="I13">
        <v>4</v>
      </c>
      <c r="J13" t="s">
        <v>30</v>
      </c>
      <c r="K13" t="s">
        <v>24</v>
      </c>
      <c r="L13">
        <v>36</v>
      </c>
      <c r="M13" t="s">
        <v>18</v>
      </c>
    </row>
    <row r="14" spans="1:13" x14ac:dyDescent="0.25">
      <c r="A14">
        <v>11434</v>
      </c>
      <c r="B14" t="s">
        <v>34</v>
      </c>
      <c r="C14" t="s">
        <v>34</v>
      </c>
      <c r="D14" s="5">
        <v>170000</v>
      </c>
      <c r="E14">
        <v>5</v>
      </c>
      <c r="F14" t="s">
        <v>19</v>
      </c>
      <c r="G14" t="s">
        <v>21</v>
      </c>
      <c r="H14" t="s">
        <v>15</v>
      </c>
      <c r="I14">
        <v>0</v>
      </c>
      <c r="J14" t="s">
        <v>16</v>
      </c>
      <c r="K14" t="s">
        <v>17</v>
      </c>
      <c r="L14">
        <v>55</v>
      </c>
      <c r="M14" t="s">
        <v>18</v>
      </c>
    </row>
    <row r="15" spans="1:13" x14ac:dyDescent="0.25">
      <c r="A15">
        <v>25323</v>
      </c>
      <c r="B15" t="s">
        <v>34</v>
      </c>
      <c r="C15" t="s">
        <v>34</v>
      </c>
      <c r="D15" s="5">
        <v>40000</v>
      </c>
      <c r="E15">
        <v>2</v>
      </c>
      <c r="F15" t="s">
        <v>19</v>
      </c>
      <c r="G15" t="s">
        <v>20</v>
      </c>
      <c r="H15" t="s">
        <v>15</v>
      </c>
      <c r="I15">
        <v>1</v>
      </c>
      <c r="J15" t="s">
        <v>26</v>
      </c>
      <c r="K15" t="s">
        <v>17</v>
      </c>
      <c r="L15">
        <v>35</v>
      </c>
      <c r="M15" t="s">
        <v>15</v>
      </c>
    </row>
    <row r="16" spans="1:13" x14ac:dyDescent="0.25">
      <c r="A16">
        <v>23542</v>
      </c>
      <c r="B16" t="s">
        <v>35</v>
      </c>
      <c r="C16" t="s">
        <v>34</v>
      </c>
      <c r="D16" s="5">
        <v>60000</v>
      </c>
      <c r="E16">
        <v>1</v>
      </c>
      <c r="F16" t="s">
        <v>19</v>
      </c>
      <c r="G16" t="s">
        <v>14</v>
      </c>
      <c r="H16" t="s">
        <v>18</v>
      </c>
      <c r="I16">
        <v>1</v>
      </c>
      <c r="J16" t="s">
        <v>16</v>
      </c>
      <c r="K16" t="s">
        <v>24</v>
      </c>
      <c r="L16">
        <v>45</v>
      </c>
      <c r="M16" t="s">
        <v>15</v>
      </c>
    </row>
    <row r="17" spans="1:13" x14ac:dyDescent="0.25">
      <c r="A17">
        <v>20870</v>
      </c>
      <c r="B17" t="s">
        <v>35</v>
      </c>
      <c r="C17" t="s">
        <v>33</v>
      </c>
      <c r="D17" s="5">
        <v>10000</v>
      </c>
      <c r="E17">
        <v>2</v>
      </c>
      <c r="F17" t="s">
        <v>27</v>
      </c>
      <c r="G17" t="s">
        <v>25</v>
      </c>
      <c r="H17" t="s">
        <v>15</v>
      </c>
      <c r="I17">
        <v>1</v>
      </c>
      <c r="J17" t="s">
        <v>16</v>
      </c>
      <c r="K17" t="s">
        <v>17</v>
      </c>
      <c r="L17">
        <v>38</v>
      </c>
      <c r="M17" t="s">
        <v>15</v>
      </c>
    </row>
    <row r="18" spans="1:13" x14ac:dyDescent="0.25">
      <c r="A18">
        <v>23316</v>
      </c>
      <c r="B18" t="s">
        <v>35</v>
      </c>
      <c r="C18" t="s">
        <v>34</v>
      </c>
      <c r="D18" s="5">
        <v>30000</v>
      </c>
      <c r="E18">
        <v>3</v>
      </c>
      <c r="F18" t="s">
        <v>19</v>
      </c>
      <c r="G18" t="s">
        <v>20</v>
      </c>
      <c r="H18" t="s">
        <v>18</v>
      </c>
      <c r="I18">
        <v>2</v>
      </c>
      <c r="J18" t="s">
        <v>26</v>
      </c>
      <c r="K18" t="s">
        <v>55</v>
      </c>
      <c r="L18">
        <v>59</v>
      </c>
      <c r="M18" t="s">
        <v>15</v>
      </c>
    </row>
    <row r="19" spans="1:13" x14ac:dyDescent="0.25">
      <c r="A19">
        <v>12610</v>
      </c>
      <c r="B19" t="s">
        <v>34</v>
      </c>
      <c r="C19" t="s">
        <v>33</v>
      </c>
      <c r="D19" s="5">
        <v>30000</v>
      </c>
      <c r="E19">
        <v>1</v>
      </c>
      <c r="F19" t="s">
        <v>13</v>
      </c>
      <c r="G19" t="s">
        <v>20</v>
      </c>
      <c r="H19" t="s">
        <v>15</v>
      </c>
      <c r="I19">
        <v>0</v>
      </c>
      <c r="J19" t="s">
        <v>16</v>
      </c>
      <c r="K19" t="s">
        <v>17</v>
      </c>
      <c r="L19">
        <v>47</v>
      </c>
      <c r="M19" t="s">
        <v>18</v>
      </c>
    </row>
    <row r="20" spans="1:13" x14ac:dyDescent="0.25">
      <c r="A20">
        <v>27183</v>
      </c>
      <c r="B20" t="s">
        <v>35</v>
      </c>
      <c r="C20" t="s">
        <v>34</v>
      </c>
      <c r="D20" s="5">
        <v>40000</v>
      </c>
      <c r="E20">
        <v>2</v>
      </c>
      <c r="F20" t="s">
        <v>19</v>
      </c>
      <c r="G20" t="s">
        <v>20</v>
      </c>
      <c r="H20" t="s">
        <v>15</v>
      </c>
      <c r="I20">
        <v>1</v>
      </c>
      <c r="J20" t="s">
        <v>26</v>
      </c>
      <c r="K20" t="s">
        <v>17</v>
      </c>
      <c r="L20">
        <v>35</v>
      </c>
      <c r="M20" t="s">
        <v>15</v>
      </c>
    </row>
    <row r="21" spans="1:13" x14ac:dyDescent="0.25">
      <c r="A21">
        <v>25940</v>
      </c>
      <c r="B21" t="s">
        <v>35</v>
      </c>
      <c r="C21" t="s">
        <v>34</v>
      </c>
      <c r="D21" s="5">
        <v>20000</v>
      </c>
      <c r="E21">
        <v>2</v>
      </c>
      <c r="F21" t="s">
        <v>29</v>
      </c>
      <c r="G21" t="s">
        <v>20</v>
      </c>
      <c r="H21" t="s">
        <v>15</v>
      </c>
      <c r="I21">
        <v>2</v>
      </c>
      <c r="J21" t="s">
        <v>23</v>
      </c>
      <c r="K21" t="s">
        <v>24</v>
      </c>
      <c r="L21">
        <v>55</v>
      </c>
      <c r="M21" t="s">
        <v>15</v>
      </c>
    </row>
    <row r="22" spans="1:13" x14ac:dyDescent="0.25">
      <c r="A22">
        <v>25598</v>
      </c>
      <c r="B22" t="s">
        <v>34</v>
      </c>
      <c r="C22" t="s">
        <v>33</v>
      </c>
      <c r="D22" s="5">
        <v>40000</v>
      </c>
      <c r="E22">
        <v>0</v>
      </c>
      <c r="F22" t="s">
        <v>31</v>
      </c>
      <c r="G22" t="s">
        <v>20</v>
      </c>
      <c r="H22" t="s">
        <v>15</v>
      </c>
      <c r="I22">
        <v>0</v>
      </c>
      <c r="J22" t="s">
        <v>16</v>
      </c>
      <c r="K22" t="s">
        <v>17</v>
      </c>
      <c r="L22">
        <v>36</v>
      </c>
      <c r="M22" t="s">
        <v>15</v>
      </c>
    </row>
    <row r="23" spans="1:13" x14ac:dyDescent="0.25">
      <c r="A23">
        <v>21564</v>
      </c>
      <c r="B23" t="s">
        <v>35</v>
      </c>
      <c r="C23" t="s">
        <v>33</v>
      </c>
      <c r="D23" s="5">
        <v>80000</v>
      </c>
      <c r="E23">
        <v>0</v>
      </c>
      <c r="F23" t="s">
        <v>13</v>
      </c>
      <c r="G23" t="s">
        <v>21</v>
      </c>
      <c r="H23" t="s">
        <v>15</v>
      </c>
      <c r="I23">
        <v>4</v>
      </c>
      <c r="J23" t="s">
        <v>30</v>
      </c>
      <c r="K23" t="s">
        <v>24</v>
      </c>
      <c r="L23">
        <v>35</v>
      </c>
      <c r="M23" t="s">
        <v>18</v>
      </c>
    </row>
    <row r="24" spans="1:13" x14ac:dyDescent="0.25">
      <c r="A24">
        <v>19193</v>
      </c>
      <c r="B24" t="s">
        <v>35</v>
      </c>
      <c r="C24" t="s">
        <v>34</v>
      </c>
      <c r="D24" s="5">
        <v>40000</v>
      </c>
      <c r="E24">
        <v>2</v>
      </c>
      <c r="F24" t="s">
        <v>19</v>
      </c>
      <c r="G24" t="s">
        <v>20</v>
      </c>
      <c r="H24" t="s">
        <v>15</v>
      </c>
      <c r="I24">
        <v>0</v>
      </c>
      <c r="J24" t="s">
        <v>26</v>
      </c>
      <c r="K24" t="s">
        <v>17</v>
      </c>
      <c r="L24">
        <v>35</v>
      </c>
      <c r="M24" t="s">
        <v>15</v>
      </c>
    </row>
    <row r="25" spans="1:13" x14ac:dyDescent="0.25">
      <c r="A25">
        <v>26412</v>
      </c>
      <c r="B25" t="s">
        <v>34</v>
      </c>
      <c r="C25" t="s">
        <v>33</v>
      </c>
      <c r="D25" s="5">
        <v>80000</v>
      </c>
      <c r="E25">
        <v>5</v>
      </c>
      <c r="F25" t="s">
        <v>27</v>
      </c>
      <c r="G25" t="s">
        <v>28</v>
      </c>
      <c r="H25" t="s">
        <v>18</v>
      </c>
      <c r="I25">
        <v>3</v>
      </c>
      <c r="J25" t="s">
        <v>23</v>
      </c>
      <c r="K25" t="s">
        <v>17</v>
      </c>
      <c r="L25">
        <v>56</v>
      </c>
      <c r="M25" t="s">
        <v>18</v>
      </c>
    </row>
    <row r="26" spans="1:13" x14ac:dyDescent="0.25">
      <c r="A26">
        <v>27184</v>
      </c>
      <c r="B26" t="s">
        <v>35</v>
      </c>
      <c r="C26" t="s">
        <v>34</v>
      </c>
      <c r="D26" s="5">
        <v>40000</v>
      </c>
      <c r="E26">
        <v>2</v>
      </c>
      <c r="F26" t="s">
        <v>19</v>
      </c>
      <c r="G26" t="s">
        <v>20</v>
      </c>
      <c r="H26" t="s">
        <v>18</v>
      </c>
      <c r="I26">
        <v>1</v>
      </c>
      <c r="J26" t="s">
        <v>16</v>
      </c>
      <c r="K26" t="s">
        <v>17</v>
      </c>
      <c r="L26">
        <v>34</v>
      </c>
      <c r="M26" t="s">
        <v>18</v>
      </c>
    </row>
    <row r="27" spans="1:13" x14ac:dyDescent="0.25">
      <c r="A27">
        <v>12590</v>
      </c>
      <c r="B27" t="s">
        <v>35</v>
      </c>
      <c r="C27" t="s">
        <v>34</v>
      </c>
      <c r="D27" s="5">
        <v>30000</v>
      </c>
      <c r="E27">
        <v>1</v>
      </c>
      <c r="F27" t="s">
        <v>47</v>
      </c>
      <c r="G27" t="s">
        <v>20</v>
      </c>
      <c r="H27" t="s">
        <v>15</v>
      </c>
      <c r="I27">
        <v>0</v>
      </c>
      <c r="J27" t="s">
        <v>16</v>
      </c>
      <c r="K27" t="s">
        <v>17</v>
      </c>
      <c r="L27">
        <v>63</v>
      </c>
      <c r="M27" t="s">
        <v>18</v>
      </c>
    </row>
    <row r="28" spans="1:13" x14ac:dyDescent="0.25">
      <c r="A28">
        <v>17841</v>
      </c>
      <c r="B28" t="s">
        <v>35</v>
      </c>
      <c r="C28" t="s">
        <v>34</v>
      </c>
      <c r="D28" s="5">
        <v>30000</v>
      </c>
      <c r="E28">
        <v>0</v>
      </c>
      <c r="F28" t="s">
        <v>19</v>
      </c>
      <c r="G28" t="s">
        <v>20</v>
      </c>
      <c r="H28" t="s">
        <v>18</v>
      </c>
      <c r="I28">
        <v>1</v>
      </c>
      <c r="J28" t="s">
        <v>16</v>
      </c>
      <c r="K28" t="s">
        <v>17</v>
      </c>
      <c r="L28">
        <v>29</v>
      </c>
      <c r="M28" t="s">
        <v>15</v>
      </c>
    </row>
    <row r="29" spans="1:13" x14ac:dyDescent="0.25">
      <c r="A29">
        <v>18283</v>
      </c>
      <c r="B29" t="s">
        <v>35</v>
      </c>
      <c r="C29" t="s">
        <v>33</v>
      </c>
      <c r="D29" s="5">
        <v>100000</v>
      </c>
      <c r="E29">
        <v>0</v>
      </c>
      <c r="F29" t="s">
        <v>13</v>
      </c>
      <c r="G29" t="s">
        <v>21</v>
      </c>
      <c r="H29" t="s">
        <v>18</v>
      </c>
      <c r="I29">
        <v>1</v>
      </c>
      <c r="J29" t="s">
        <v>23</v>
      </c>
      <c r="K29" t="s">
        <v>24</v>
      </c>
      <c r="L29">
        <v>40</v>
      </c>
      <c r="M29" t="s">
        <v>18</v>
      </c>
    </row>
    <row r="30" spans="1:13" x14ac:dyDescent="0.25">
      <c r="A30">
        <v>18299</v>
      </c>
      <c r="B30" t="s">
        <v>34</v>
      </c>
      <c r="C30" t="s">
        <v>34</v>
      </c>
      <c r="D30" s="5">
        <v>70000</v>
      </c>
      <c r="E30">
        <v>5</v>
      </c>
      <c r="F30" t="s">
        <v>19</v>
      </c>
      <c r="G30" t="s">
        <v>14</v>
      </c>
      <c r="H30" t="s">
        <v>15</v>
      </c>
      <c r="I30">
        <v>2</v>
      </c>
      <c r="J30" t="s">
        <v>23</v>
      </c>
      <c r="K30" t="s">
        <v>24</v>
      </c>
      <c r="L30">
        <v>44</v>
      </c>
      <c r="M30" t="s">
        <v>18</v>
      </c>
    </row>
    <row r="31" spans="1:13" x14ac:dyDescent="0.25">
      <c r="A31">
        <v>16466</v>
      </c>
      <c r="B31" t="s">
        <v>35</v>
      </c>
      <c r="C31" t="s">
        <v>33</v>
      </c>
      <c r="D31" s="5">
        <v>20000</v>
      </c>
      <c r="E31">
        <v>0</v>
      </c>
      <c r="F31" t="s">
        <v>29</v>
      </c>
      <c r="G31" t="s">
        <v>25</v>
      </c>
      <c r="H31" t="s">
        <v>18</v>
      </c>
      <c r="I31">
        <v>2</v>
      </c>
      <c r="J31" t="s">
        <v>16</v>
      </c>
      <c r="K31" t="s">
        <v>17</v>
      </c>
      <c r="L31">
        <v>32</v>
      </c>
      <c r="M31" t="s">
        <v>15</v>
      </c>
    </row>
    <row r="32" spans="1:13" x14ac:dyDescent="0.25">
      <c r="A32">
        <v>19273</v>
      </c>
      <c r="B32" t="s">
        <v>34</v>
      </c>
      <c r="C32" t="s">
        <v>33</v>
      </c>
      <c r="D32" s="5">
        <v>20000</v>
      </c>
      <c r="E32">
        <v>2</v>
      </c>
      <c r="F32" t="s">
        <v>19</v>
      </c>
      <c r="G32" t="s">
        <v>25</v>
      </c>
      <c r="H32" t="s">
        <v>15</v>
      </c>
      <c r="I32">
        <v>0</v>
      </c>
      <c r="J32" t="s">
        <v>16</v>
      </c>
      <c r="K32" t="s">
        <v>17</v>
      </c>
      <c r="L32">
        <v>63</v>
      </c>
      <c r="M32" t="s">
        <v>18</v>
      </c>
    </row>
    <row r="33" spans="1:13" x14ac:dyDescent="0.25">
      <c r="A33">
        <v>22400</v>
      </c>
      <c r="B33" t="s">
        <v>34</v>
      </c>
      <c r="C33" t="s">
        <v>34</v>
      </c>
      <c r="D33" s="5">
        <v>10000</v>
      </c>
      <c r="E33">
        <v>0</v>
      </c>
      <c r="F33" t="s">
        <v>19</v>
      </c>
      <c r="G33" t="s">
        <v>25</v>
      </c>
      <c r="H33" t="s">
        <v>18</v>
      </c>
      <c r="I33">
        <v>1</v>
      </c>
      <c r="J33" t="s">
        <v>16</v>
      </c>
      <c r="K33" t="s">
        <v>24</v>
      </c>
      <c r="L33">
        <v>26</v>
      </c>
      <c r="M33" t="s">
        <v>15</v>
      </c>
    </row>
    <row r="34" spans="1:13" x14ac:dyDescent="0.25">
      <c r="A34">
        <v>20942</v>
      </c>
      <c r="B34" t="s">
        <v>35</v>
      </c>
      <c r="C34" t="s">
        <v>33</v>
      </c>
      <c r="D34" s="5">
        <v>20000</v>
      </c>
      <c r="E34">
        <v>0</v>
      </c>
      <c r="F34" t="s">
        <v>27</v>
      </c>
      <c r="G34" t="s">
        <v>25</v>
      </c>
      <c r="H34" t="s">
        <v>18</v>
      </c>
      <c r="I34">
        <v>1</v>
      </c>
      <c r="J34" t="s">
        <v>23</v>
      </c>
      <c r="K34" t="s">
        <v>17</v>
      </c>
      <c r="L34">
        <v>31</v>
      </c>
      <c r="M34" t="s">
        <v>18</v>
      </c>
    </row>
    <row r="35" spans="1:13" x14ac:dyDescent="0.25">
      <c r="A35">
        <v>18484</v>
      </c>
      <c r="B35" t="s">
        <v>35</v>
      </c>
      <c r="C35" t="s">
        <v>34</v>
      </c>
      <c r="D35" s="5">
        <v>80000</v>
      </c>
      <c r="E35">
        <v>2</v>
      </c>
      <c r="F35" t="s">
        <v>27</v>
      </c>
      <c r="G35" t="s">
        <v>14</v>
      </c>
      <c r="H35" t="s">
        <v>18</v>
      </c>
      <c r="I35">
        <v>2</v>
      </c>
      <c r="J35" t="s">
        <v>26</v>
      </c>
      <c r="K35" t="s">
        <v>24</v>
      </c>
      <c r="L35">
        <v>50</v>
      </c>
      <c r="M35" t="s">
        <v>15</v>
      </c>
    </row>
    <row r="36" spans="1:13" x14ac:dyDescent="0.25">
      <c r="A36">
        <v>12291</v>
      </c>
      <c r="B36" t="s">
        <v>35</v>
      </c>
      <c r="C36" t="s">
        <v>34</v>
      </c>
      <c r="D36" s="5">
        <v>90000</v>
      </c>
      <c r="E36">
        <v>5</v>
      </c>
      <c r="F36" t="s">
        <v>19</v>
      </c>
      <c r="G36" t="s">
        <v>21</v>
      </c>
      <c r="H36" t="s">
        <v>18</v>
      </c>
      <c r="I36">
        <v>2</v>
      </c>
      <c r="J36" t="s">
        <v>22</v>
      </c>
      <c r="K36" t="s">
        <v>17</v>
      </c>
      <c r="L36">
        <v>62</v>
      </c>
      <c r="M36" t="s">
        <v>15</v>
      </c>
    </row>
    <row r="37" spans="1:13" x14ac:dyDescent="0.25">
      <c r="A37">
        <v>28380</v>
      </c>
      <c r="B37" t="s">
        <v>35</v>
      </c>
      <c r="C37" t="s">
        <v>33</v>
      </c>
      <c r="D37" s="5">
        <v>10000</v>
      </c>
      <c r="E37">
        <v>5</v>
      </c>
      <c r="F37" t="s">
        <v>29</v>
      </c>
      <c r="G37" t="s">
        <v>25</v>
      </c>
      <c r="H37" t="s">
        <v>18</v>
      </c>
      <c r="I37">
        <v>2</v>
      </c>
      <c r="J37" t="s">
        <v>16</v>
      </c>
      <c r="K37" t="s">
        <v>17</v>
      </c>
      <c r="L37">
        <v>41</v>
      </c>
      <c r="M37" t="s">
        <v>18</v>
      </c>
    </row>
    <row r="38" spans="1:13" x14ac:dyDescent="0.25">
      <c r="A38">
        <v>17891</v>
      </c>
      <c r="B38" t="s">
        <v>34</v>
      </c>
      <c r="C38" t="s">
        <v>33</v>
      </c>
      <c r="D38" s="5">
        <v>10000</v>
      </c>
      <c r="E38">
        <v>2</v>
      </c>
      <c r="F38" t="s">
        <v>19</v>
      </c>
      <c r="G38" t="s">
        <v>25</v>
      </c>
      <c r="H38" t="s">
        <v>15</v>
      </c>
      <c r="I38">
        <v>1</v>
      </c>
      <c r="J38" t="s">
        <v>16</v>
      </c>
      <c r="K38" t="s">
        <v>17</v>
      </c>
      <c r="L38">
        <v>50</v>
      </c>
      <c r="M38" t="s">
        <v>15</v>
      </c>
    </row>
    <row r="39" spans="1:13" x14ac:dyDescent="0.25">
      <c r="A39">
        <v>27832</v>
      </c>
      <c r="B39" t="s">
        <v>35</v>
      </c>
      <c r="C39" t="s">
        <v>33</v>
      </c>
      <c r="D39" s="5">
        <v>30000</v>
      </c>
      <c r="E39">
        <v>0</v>
      </c>
      <c r="F39" t="s">
        <v>19</v>
      </c>
      <c r="G39" t="s">
        <v>20</v>
      </c>
      <c r="H39" t="s">
        <v>18</v>
      </c>
      <c r="I39">
        <v>1</v>
      </c>
      <c r="J39" t="s">
        <v>22</v>
      </c>
      <c r="K39" t="s">
        <v>17</v>
      </c>
      <c r="L39">
        <v>30</v>
      </c>
      <c r="M39" t="s">
        <v>18</v>
      </c>
    </row>
    <row r="40" spans="1:13" x14ac:dyDescent="0.25">
      <c r="A40">
        <v>26863</v>
      </c>
      <c r="B40" t="s">
        <v>35</v>
      </c>
      <c r="C40" t="s">
        <v>34</v>
      </c>
      <c r="D40" s="5">
        <v>20000</v>
      </c>
      <c r="E40">
        <v>0</v>
      </c>
      <c r="F40" t="s">
        <v>27</v>
      </c>
      <c r="G40" t="s">
        <v>25</v>
      </c>
      <c r="H40" t="s">
        <v>18</v>
      </c>
      <c r="I40">
        <v>1</v>
      </c>
      <c r="J40" t="s">
        <v>22</v>
      </c>
      <c r="K40" t="s">
        <v>17</v>
      </c>
      <c r="L40">
        <v>28</v>
      </c>
      <c r="M40" t="s">
        <v>18</v>
      </c>
    </row>
    <row r="41" spans="1:13" x14ac:dyDescent="0.25">
      <c r="A41">
        <v>16259</v>
      </c>
      <c r="B41" t="s">
        <v>35</v>
      </c>
      <c r="C41" t="s">
        <v>33</v>
      </c>
      <c r="D41" s="5">
        <v>10000</v>
      </c>
      <c r="E41">
        <v>4</v>
      </c>
      <c r="F41" t="s">
        <v>29</v>
      </c>
      <c r="G41" t="s">
        <v>25</v>
      </c>
      <c r="H41" t="s">
        <v>15</v>
      </c>
      <c r="I41">
        <v>2</v>
      </c>
      <c r="J41" t="s">
        <v>16</v>
      </c>
      <c r="K41" t="s">
        <v>17</v>
      </c>
      <c r="L41">
        <v>40</v>
      </c>
      <c r="M41" t="s">
        <v>15</v>
      </c>
    </row>
    <row r="42" spans="1:13" x14ac:dyDescent="0.25">
      <c r="A42">
        <v>27803</v>
      </c>
      <c r="B42" t="s">
        <v>35</v>
      </c>
      <c r="C42" t="s">
        <v>33</v>
      </c>
      <c r="D42" s="5">
        <v>30000</v>
      </c>
      <c r="E42">
        <v>2</v>
      </c>
      <c r="F42" t="s">
        <v>19</v>
      </c>
      <c r="G42" t="s">
        <v>20</v>
      </c>
      <c r="H42" t="s">
        <v>18</v>
      </c>
      <c r="I42">
        <v>0</v>
      </c>
      <c r="J42" t="s">
        <v>16</v>
      </c>
      <c r="K42" t="s">
        <v>17</v>
      </c>
      <c r="L42">
        <v>43</v>
      </c>
      <c r="M42" t="s">
        <v>18</v>
      </c>
    </row>
    <row r="43" spans="1:13" x14ac:dyDescent="0.25">
      <c r="A43">
        <v>14347</v>
      </c>
      <c r="B43" t="s">
        <v>35</v>
      </c>
      <c r="C43" t="s">
        <v>33</v>
      </c>
      <c r="D43" s="5">
        <v>40000</v>
      </c>
      <c r="E43">
        <v>2</v>
      </c>
      <c r="F43" t="s">
        <v>13</v>
      </c>
      <c r="G43" t="s">
        <v>28</v>
      </c>
      <c r="H43" t="s">
        <v>15</v>
      </c>
      <c r="I43">
        <v>2</v>
      </c>
      <c r="J43" t="s">
        <v>23</v>
      </c>
      <c r="K43" t="s">
        <v>24</v>
      </c>
      <c r="L43">
        <v>65</v>
      </c>
      <c r="M43" t="s">
        <v>15</v>
      </c>
    </row>
    <row r="44" spans="1:13" x14ac:dyDescent="0.25">
      <c r="A44">
        <v>17703</v>
      </c>
      <c r="B44" t="s">
        <v>34</v>
      </c>
      <c r="C44" t="s">
        <v>33</v>
      </c>
      <c r="D44" s="5">
        <v>10000</v>
      </c>
      <c r="E44">
        <v>1</v>
      </c>
      <c r="F44" t="s">
        <v>31</v>
      </c>
      <c r="G44" t="s">
        <v>25</v>
      </c>
      <c r="H44" t="s">
        <v>15</v>
      </c>
      <c r="I44">
        <v>0</v>
      </c>
      <c r="J44" t="s">
        <v>16</v>
      </c>
      <c r="K44" t="s">
        <v>17</v>
      </c>
      <c r="L44">
        <v>40</v>
      </c>
      <c r="M44" t="s">
        <v>18</v>
      </c>
    </row>
    <row r="45" spans="1:13" x14ac:dyDescent="0.25">
      <c r="A45">
        <v>17185</v>
      </c>
      <c r="B45" t="s">
        <v>34</v>
      </c>
      <c r="C45" t="s">
        <v>33</v>
      </c>
      <c r="D45" s="5">
        <v>170000</v>
      </c>
      <c r="E45">
        <v>4</v>
      </c>
      <c r="F45" t="s">
        <v>19</v>
      </c>
      <c r="G45" t="s">
        <v>21</v>
      </c>
      <c r="H45" t="s">
        <v>18</v>
      </c>
      <c r="I45">
        <v>3</v>
      </c>
      <c r="J45" t="s">
        <v>23</v>
      </c>
      <c r="K45" t="s">
        <v>17</v>
      </c>
      <c r="L45">
        <v>48</v>
      </c>
      <c r="M45" t="s">
        <v>15</v>
      </c>
    </row>
    <row r="46" spans="1:13" x14ac:dyDescent="0.25">
      <c r="A46">
        <v>29380</v>
      </c>
      <c r="B46" t="s">
        <v>34</v>
      </c>
      <c r="C46" t="s">
        <v>33</v>
      </c>
      <c r="D46" s="5">
        <v>20000</v>
      </c>
      <c r="E46">
        <v>3</v>
      </c>
      <c r="F46" t="s">
        <v>27</v>
      </c>
      <c r="G46" t="s">
        <v>25</v>
      </c>
      <c r="H46" t="s">
        <v>15</v>
      </c>
      <c r="I46">
        <v>0</v>
      </c>
      <c r="J46" t="s">
        <v>16</v>
      </c>
      <c r="K46" t="s">
        <v>17</v>
      </c>
      <c r="L46">
        <v>41</v>
      </c>
      <c r="M46" t="s">
        <v>15</v>
      </c>
    </row>
    <row r="47" spans="1:13" x14ac:dyDescent="0.25">
      <c r="A47">
        <v>23986</v>
      </c>
      <c r="B47" t="s">
        <v>34</v>
      </c>
      <c r="C47" t="s">
        <v>33</v>
      </c>
      <c r="D47" s="5">
        <v>20000</v>
      </c>
      <c r="E47">
        <v>1</v>
      </c>
      <c r="F47" t="s">
        <v>13</v>
      </c>
      <c r="G47" t="s">
        <v>20</v>
      </c>
      <c r="H47" t="s">
        <v>15</v>
      </c>
      <c r="I47">
        <v>0</v>
      </c>
      <c r="J47" t="s">
        <v>16</v>
      </c>
      <c r="K47" t="s">
        <v>17</v>
      </c>
      <c r="L47">
        <v>66</v>
      </c>
      <c r="M47" t="s">
        <v>15</v>
      </c>
    </row>
    <row r="48" spans="1:13" x14ac:dyDescent="0.25">
      <c r="A48">
        <v>24466</v>
      </c>
      <c r="B48" t="s">
        <v>34</v>
      </c>
      <c r="C48" t="s">
        <v>33</v>
      </c>
      <c r="D48" s="5">
        <v>60000</v>
      </c>
      <c r="E48">
        <v>1</v>
      </c>
      <c r="F48" t="s">
        <v>19</v>
      </c>
      <c r="G48" t="s">
        <v>14</v>
      </c>
      <c r="H48" t="s">
        <v>15</v>
      </c>
      <c r="I48">
        <v>1</v>
      </c>
      <c r="J48" t="s">
        <v>23</v>
      </c>
      <c r="K48" t="s">
        <v>24</v>
      </c>
      <c r="L48">
        <v>46</v>
      </c>
      <c r="M48" t="s">
        <v>15</v>
      </c>
    </row>
    <row r="49" spans="1:13" x14ac:dyDescent="0.25">
      <c r="A49">
        <v>29097</v>
      </c>
      <c r="B49" t="s">
        <v>35</v>
      </c>
      <c r="C49" t="s">
        <v>33</v>
      </c>
      <c r="D49" s="5">
        <v>40000</v>
      </c>
      <c r="E49">
        <v>2</v>
      </c>
      <c r="F49" t="s">
        <v>19</v>
      </c>
      <c r="G49" t="s">
        <v>14</v>
      </c>
      <c r="H49" t="s">
        <v>15</v>
      </c>
      <c r="I49">
        <v>2</v>
      </c>
      <c r="J49" t="s">
        <v>23</v>
      </c>
      <c r="K49" t="s">
        <v>24</v>
      </c>
      <c r="L49">
        <v>52</v>
      </c>
      <c r="M49" t="s">
        <v>15</v>
      </c>
    </row>
    <row r="50" spans="1:13" x14ac:dyDescent="0.25">
      <c r="A50">
        <v>19487</v>
      </c>
      <c r="B50" t="s">
        <v>34</v>
      </c>
      <c r="C50" t="s">
        <v>34</v>
      </c>
      <c r="D50" s="5">
        <v>30000</v>
      </c>
      <c r="E50">
        <v>2</v>
      </c>
      <c r="F50" t="s">
        <v>19</v>
      </c>
      <c r="G50" t="s">
        <v>20</v>
      </c>
      <c r="H50" t="s">
        <v>18</v>
      </c>
      <c r="I50">
        <v>2</v>
      </c>
      <c r="J50" t="s">
        <v>16</v>
      </c>
      <c r="K50" t="s">
        <v>17</v>
      </c>
      <c r="L50">
        <v>42</v>
      </c>
      <c r="M50" t="s">
        <v>18</v>
      </c>
    </row>
    <row r="51" spans="1:13" x14ac:dyDescent="0.25">
      <c r="A51">
        <v>14939</v>
      </c>
      <c r="B51" t="s">
        <v>35</v>
      </c>
      <c r="C51" t="s">
        <v>34</v>
      </c>
      <c r="D51" s="5">
        <v>40000</v>
      </c>
      <c r="E51">
        <v>0</v>
      </c>
      <c r="F51" t="s">
        <v>13</v>
      </c>
      <c r="G51" t="s">
        <v>20</v>
      </c>
      <c r="H51" t="s">
        <v>15</v>
      </c>
      <c r="I51">
        <v>0</v>
      </c>
      <c r="J51" t="s">
        <v>16</v>
      </c>
      <c r="K51" t="s">
        <v>17</v>
      </c>
      <c r="L51">
        <v>39</v>
      </c>
      <c r="M51" t="s">
        <v>15</v>
      </c>
    </row>
    <row r="52" spans="1:13" x14ac:dyDescent="0.25">
      <c r="A52">
        <v>13826</v>
      </c>
      <c r="B52" t="s">
        <v>35</v>
      </c>
      <c r="C52" t="s">
        <v>33</v>
      </c>
      <c r="D52" s="5">
        <v>30000</v>
      </c>
      <c r="E52">
        <v>0</v>
      </c>
      <c r="F52" t="s">
        <v>19</v>
      </c>
      <c r="G52" t="s">
        <v>20</v>
      </c>
      <c r="H52" t="s">
        <v>18</v>
      </c>
      <c r="I52">
        <v>1</v>
      </c>
      <c r="J52" t="s">
        <v>16</v>
      </c>
      <c r="K52" t="s">
        <v>17</v>
      </c>
      <c r="L52">
        <v>28</v>
      </c>
      <c r="M52" t="s">
        <v>18</v>
      </c>
    </row>
    <row r="53" spans="1:13" x14ac:dyDescent="0.25">
      <c r="A53">
        <v>20619</v>
      </c>
      <c r="B53" t="s">
        <v>35</v>
      </c>
      <c r="C53" t="s">
        <v>34</v>
      </c>
      <c r="D53" s="5">
        <v>80000</v>
      </c>
      <c r="E53">
        <v>0</v>
      </c>
      <c r="F53" t="s">
        <v>13</v>
      </c>
      <c r="G53" t="s">
        <v>21</v>
      </c>
      <c r="H53" t="s">
        <v>18</v>
      </c>
      <c r="I53">
        <v>4</v>
      </c>
      <c r="J53" t="s">
        <v>30</v>
      </c>
      <c r="K53" t="s">
        <v>24</v>
      </c>
      <c r="L53">
        <v>35</v>
      </c>
      <c r="M53" t="s">
        <v>18</v>
      </c>
    </row>
    <row r="54" spans="1:13" x14ac:dyDescent="0.25">
      <c r="A54">
        <v>12558</v>
      </c>
      <c r="B54" t="s">
        <v>34</v>
      </c>
      <c r="C54" t="s">
        <v>33</v>
      </c>
      <c r="D54" s="5">
        <v>20000</v>
      </c>
      <c r="E54">
        <v>1</v>
      </c>
      <c r="F54" t="s">
        <v>13</v>
      </c>
      <c r="G54" t="s">
        <v>20</v>
      </c>
      <c r="H54" t="s">
        <v>15</v>
      </c>
      <c r="I54">
        <v>0</v>
      </c>
      <c r="J54" t="s">
        <v>16</v>
      </c>
      <c r="K54" t="s">
        <v>17</v>
      </c>
      <c r="L54">
        <v>65</v>
      </c>
      <c r="M54" t="s">
        <v>18</v>
      </c>
    </row>
    <row r="55" spans="1:13" x14ac:dyDescent="0.25">
      <c r="A55">
        <v>24871</v>
      </c>
      <c r="B55" t="s">
        <v>35</v>
      </c>
      <c r="C55" t="s">
        <v>33</v>
      </c>
      <c r="D55" s="5">
        <v>90000</v>
      </c>
      <c r="E55">
        <v>4</v>
      </c>
      <c r="F55" t="s">
        <v>27</v>
      </c>
      <c r="G55" t="s">
        <v>28</v>
      </c>
      <c r="H55" t="s">
        <v>18</v>
      </c>
      <c r="I55">
        <v>3</v>
      </c>
      <c r="J55" t="s">
        <v>23</v>
      </c>
      <c r="K55" t="s">
        <v>17</v>
      </c>
      <c r="L55">
        <v>56</v>
      </c>
      <c r="M55" t="s">
        <v>18</v>
      </c>
    </row>
    <row r="56" spans="1:13" x14ac:dyDescent="0.25">
      <c r="A56">
        <v>17319</v>
      </c>
      <c r="B56" t="s">
        <v>35</v>
      </c>
      <c r="C56" t="s">
        <v>33</v>
      </c>
      <c r="D56" s="5">
        <v>70000</v>
      </c>
      <c r="E56">
        <v>0</v>
      </c>
      <c r="F56" t="s">
        <v>13</v>
      </c>
      <c r="G56" t="s">
        <v>21</v>
      </c>
      <c r="H56" t="s">
        <v>18</v>
      </c>
      <c r="I56">
        <v>1</v>
      </c>
      <c r="J56" t="s">
        <v>23</v>
      </c>
      <c r="K56" t="s">
        <v>24</v>
      </c>
      <c r="L56">
        <v>42</v>
      </c>
      <c r="M56" t="s">
        <v>18</v>
      </c>
    </row>
    <row r="57" spans="1:13" x14ac:dyDescent="0.25">
      <c r="A57">
        <v>28906</v>
      </c>
      <c r="B57" t="s">
        <v>34</v>
      </c>
      <c r="C57" t="s">
        <v>34</v>
      </c>
      <c r="D57" s="5">
        <v>80000</v>
      </c>
      <c r="E57">
        <v>4</v>
      </c>
      <c r="F57" t="s">
        <v>27</v>
      </c>
      <c r="G57" t="s">
        <v>21</v>
      </c>
      <c r="H57" t="s">
        <v>15</v>
      </c>
      <c r="I57">
        <v>2</v>
      </c>
      <c r="J57" t="s">
        <v>30</v>
      </c>
      <c r="K57" t="s">
        <v>17</v>
      </c>
      <c r="L57">
        <v>54</v>
      </c>
      <c r="M57" t="s">
        <v>18</v>
      </c>
    </row>
    <row r="58" spans="1:13" x14ac:dyDescent="0.25">
      <c r="A58">
        <v>12808</v>
      </c>
      <c r="B58" t="s">
        <v>34</v>
      </c>
      <c r="C58" t="s">
        <v>34</v>
      </c>
      <c r="D58" s="5">
        <v>40000</v>
      </c>
      <c r="E58">
        <v>0</v>
      </c>
      <c r="F58" t="s">
        <v>13</v>
      </c>
      <c r="G58" t="s">
        <v>20</v>
      </c>
      <c r="H58" t="s">
        <v>15</v>
      </c>
      <c r="I58">
        <v>0</v>
      </c>
      <c r="J58" t="s">
        <v>16</v>
      </c>
      <c r="K58" t="s">
        <v>17</v>
      </c>
      <c r="L58">
        <v>38</v>
      </c>
      <c r="M58" t="s">
        <v>15</v>
      </c>
    </row>
    <row r="59" spans="1:13" x14ac:dyDescent="0.25">
      <c r="A59">
        <v>20567</v>
      </c>
      <c r="B59" t="s">
        <v>34</v>
      </c>
      <c r="C59" t="s">
        <v>34</v>
      </c>
      <c r="D59" s="5">
        <v>130000</v>
      </c>
      <c r="E59">
        <v>4</v>
      </c>
      <c r="F59" t="s">
        <v>19</v>
      </c>
      <c r="G59" t="s">
        <v>21</v>
      </c>
      <c r="H59" t="s">
        <v>18</v>
      </c>
      <c r="I59">
        <v>4</v>
      </c>
      <c r="J59" t="s">
        <v>23</v>
      </c>
      <c r="K59" t="s">
        <v>17</v>
      </c>
      <c r="L59">
        <v>61</v>
      </c>
      <c r="M59" t="s">
        <v>15</v>
      </c>
    </row>
    <row r="60" spans="1:13" x14ac:dyDescent="0.25">
      <c r="A60">
        <v>25502</v>
      </c>
      <c r="B60" t="s">
        <v>34</v>
      </c>
      <c r="C60" t="s">
        <v>33</v>
      </c>
      <c r="D60" s="5">
        <v>40000</v>
      </c>
      <c r="E60">
        <v>1</v>
      </c>
      <c r="F60" t="s">
        <v>13</v>
      </c>
      <c r="G60" t="s">
        <v>14</v>
      </c>
      <c r="H60" t="s">
        <v>15</v>
      </c>
      <c r="I60">
        <v>0</v>
      </c>
      <c r="J60" t="s">
        <v>16</v>
      </c>
      <c r="K60" t="s">
        <v>17</v>
      </c>
      <c r="L60">
        <v>43</v>
      </c>
      <c r="M60" t="s">
        <v>15</v>
      </c>
    </row>
    <row r="61" spans="1:13" x14ac:dyDescent="0.25">
      <c r="A61">
        <v>15580</v>
      </c>
      <c r="B61" t="s">
        <v>34</v>
      </c>
      <c r="C61" t="s">
        <v>34</v>
      </c>
      <c r="D61" s="5">
        <v>60000</v>
      </c>
      <c r="E61">
        <v>2</v>
      </c>
      <c r="F61" t="s">
        <v>13</v>
      </c>
      <c r="G61" t="s">
        <v>21</v>
      </c>
      <c r="H61" t="s">
        <v>15</v>
      </c>
      <c r="I61">
        <v>1</v>
      </c>
      <c r="J61" t="s">
        <v>22</v>
      </c>
      <c r="K61" t="s">
        <v>24</v>
      </c>
      <c r="L61">
        <v>38</v>
      </c>
      <c r="M61" t="s">
        <v>15</v>
      </c>
    </row>
    <row r="62" spans="1:13" x14ac:dyDescent="0.25">
      <c r="A62">
        <v>24185</v>
      </c>
      <c r="B62" t="s">
        <v>35</v>
      </c>
      <c r="C62" t="s">
        <v>33</v>
      </c>
      <c r="D62" s="5">
        <v>10000</v>
      </c>
      <c r="E62">
        <v>1</v>
      </c>
      <c r="F62" t="s">
        <v>27</v>
      </c>
      <c r="G62" t="s">
        <v>25</v>
      </c>
      <c r="H62" t="s">
        <v>18</v>
      </c>
      <c r="I62">
        <v>1</v>
      </c>
      <c r="J62" t="s">
        <v>26</v>
      </c>
      <c r="K62" t="s">
        <v>17</v>
      </c>
      <c r="L62">
        <v>45</v>
      </c>
      <c r="M62" t="s">
        <v>18</v>
      </c>
    </row>
    <row r="63" spans="1:13" x14ac:dyDescent="0.25">
      <c r="A63">
        <v>19291</v>
      </c>
      <c r="B63" t="s">
        <v>35</v>
      </c>
      <c r="C63" t="s">
        <v>33</v>
      </c>
      <c r="D63" s="5">
        <v>10000</v>
      </c>
      <c r="E63">
        <v>2</v>
      </c>
      <c r="F63" t="s">
        <v>27</v>
      </c>
      <c r="G63" t="s">
        <v>25</v>
      </c>
      <c r="H63" t="s">
        <v>15</v>
      </c>
      <c r="I63">
        <v>0</v>
      </c>
      <c r="J63" t="s">
        <v>16</v>
      </c>
      <c r="K63" t="s">
        <v>17</v>
      </c>
      <c r="L63">
        <v>35</v>
      </c>
      <c r="M63" t="s">
        <v>18</v>
      </c>
    </row>
    <row r="64" spans="1:13" x14ac:dyDescent="0.25">
      <c r="A64">
        <v>16713</v>
      </c>
      <c r="B64" t="s">
        <v>34</v>
      </c>
      <c r="C64" t="s">
        <v>34</v>
      </c>
      <c r="D64" s="5">
        <v>40000</v>
      </c>
      <c r="E64">
        <v>2</v>
      </c>
      <c r="F64" t="s">
        <v>13</v>
      </c>
      <c r="G64" t="s">
        <v>28</v>
      </c>
      <c r="H64" t="s">
        <v>15</v>
      </c>
      <c r="I64">
        <v>1</v>
      </c>
      <c r="J64" t="s">
        <v>16</v>
      </c>
      <c r="K64" t="s">
        <v>24</v>
      </c>
      <c r="L64">
        <v>52</v>
      </c>
      <c r="M64" t="s">
        <v>15</v>
      </c>
    </row>
    <row r="65" spans="1:13" x14ac:dyDescent="0.25">
      <c r="A65">
        <v>16185</v>
      </c>
      <c r="B65" t="s">
        <v>35</v>
      </c>
      <c r="C65" t="s">
        <v>34</v>
      </c>
      <c r="D65" s="5">
        <v>60000</v>
      </c>
      <c r="E65">
        <v>4</v>
      </c>
      <c r="F65" t="s">
        <v>13</v>
      </c>
      <c r="G65" t="s">
        <v>21</v>
      </c>
      <c r="H65" t="s">
        <v>15</v>
      </c>
      <c r="I65">
        <v>3</v>
      </c>
      <c r="J65" t="s">
        <v>30</v>
      </c>
      <c r="K65" t="s">
        <v>24</v>
      </c>
      <c r="L65">
        <v>41</v>
      </c>
      <c r="M65" t="s">
        <v>18</v>
      </c>
    </row>
    <row r="66" spans="1:13" x14ac:dyDescent="0.25">
      <c r="A66">
        <v>14927</v>
      </c>
      <c r="B66" t="s">
        <v>34</v>
      </c>
      <c r="C66" t="s">
        <v>33</v>
      </c>
      <c r="D66" s="5">
        <v>30000</v>
      </c>
      <c r="E66">
        <v>1</v>
      </c>
      <c r="F66" t="s">
        <v>13</v>
      </c>
      <c r="G66" t="s">
        <v>20</v>
      </c>
      <c r="H66" t="s">
        <v>15</v>
      </c>
      <c r="I66">
        <v>0</v>
      </c>
      <c r="J66" t="s">
        <v>16</v>
      </c>
      <c r="K66" t="s">
        <v>17</v>
      </c>
      <c r="L66">
        <v>37</v>
      </c>
      <c r="M66" t="s">
        <v>15</v>
      </c>
    </row>
    <row r="67" spans="1:13" x14ac:dyDescent="0.25">
      <c r="A67">
        <v>29337</v>
      </c>
      <c r="B67" t="s">
        <v>35</v>
      </c>
      <c r="C67" t="s">
        <v>34</v>
      </c>
      <c r="D67" s="5">
        <v>30000</v>
      </c>
      <c r="E67">
        <v>2</v>
      </c>
      <c r="F67" t="s">
        <v>19</v>
      </c>
      <c r="G67" t="s">
        <v>20</v>
      </c>
      <c r="H67" t="s">
        <v>15</v>
      </c>
      <c r="I67">
        <v>2</v>
      </c>
      <c r="J67" t="s">
        <v>23</v>
      </c>
      <c r="K67" t="s">
        <v>24</v>
      </c>
      <c r="L67">
        <v>68</v>
      </c>
      <c r="M67" t="s">
        <v>18</v>
      </c>
    </row>
    <row r="68" spans="1:13" x14ac:dyDescent="0.25">
      <c r="A68">
        <v>29355</v>
      </c>
      <c r="B68" t="s">
        <v>34</v>
      </c>
      <c r="C68" t="s">
        <v>33</v>
      </c>
      <c r="D68" s="5">
        <v>40000</v>
      </c>
      <c r="E68">
        <v>0</v>
      </c>
      <c r="F68" t="s">
        <v>31</v>
      </c>
      <c r="G68" t="s">
        <v>20</v>
      </c>
      <c r="H68" t="s">
        <v>15</v>
      </c>
      <c r="I68">
        <v>0</v>
      </c>
      <c r="J68" t="s">
        <v>16</v>
      </c>
      <c r="K68" t="s">
        <v>17</v>
      </c>
      <c r="L68">
        <v>37</v>
      </c>
      <c r="M68" t="s">
        <v>15</v>
      </c>
    </row>
    <row r="69" spans="1:13" x14ac:dyDescent="0.25">
      <c r="A69">
        <v>25303</v>
      </c>
      <c r="B69" t="s">
        <v>35</v>
      </c>
      <c r="C69" t="s">
        <v>34</v>
      </c>
      <c r="D69" s="5">
        <v>30000</v>
      </c>
      <c r="E69">
        <v>0</v>
      </c>
      <c r="F69" t="s">
        <v>27</v>
      </c>
      <c r="G69" t="s">
        <v>25</v>
      </c>
      <c r="H69" t="s">
        <v>15</v>
      </c>
      <c r="I69">
        <v>1</v>
      </c>
      <c r="J69" t="s">
        <v>22</v>
      </c>
      <c r="K69" t="s">
        <v>17</v>
      </c>
      <c r="L69">
        <v>33</v>
      </c>
      <c r="M69" t="s">
        <v>15</v>
      </c>
    </row>
    <row r="70" spans="1:13" x14ac:dyDescent="0.25">
      <c r="A70">
        <v>14813</v>
      </c>
      <c r="B70" t="s">
        <v>35</v>
      </c>
      <c r="C70" t="s">
        <v>33</v>
      </c>
      <c r="D70" s="5">
        <v>20000</v>
      </c>
      <c r="E70">
        <v>4</v>
      </c>
      <c r="F70" t="s">
        <v>27</v>
      </c>
      <c r="G70" t="s">
        <v>25</v>
      </c>
      <c r="H70" t="s">
        <v>15</v>
      </c>
      <c r="I70">
        <v>1</v>
      </c>
      <c r="J70" t="s">
        <v>16</v>
      </c>
      <c r="K70" t="s">
        <v>17</v>
      </c>
      <c r="L70">
        <v>43</v>
      </c>
      <c r="M70" t="s">
        <v>15</v>
      </c>
    </row>
    <row r="71" spans="1:13" x14ac:dyDescent="0.25">
      <c r="A71">
        <v>16438</v>
      </c>
      <c r="B71" t="s">
        <v>34</v>
      </c>
      <c r="C71" t="s">
        <v>33</v>
      </c>
      <c r="D71" s="5">
        <v>10000</v>
      </c>
      <c r="E71">
        <v>0</v>
      </c>
      <c r="F71" t="s">
        <v>29</v>
      </c>
      <c r="G71" t="s">
        <v>25</v>
      </c>
      <c r="H71" t="s">
        <v>18</v>
      </c>
      <c r="I71">
        <v>2</v>
      </c>
      <c r="J71" t="s">
        <v>16</v>
      </c>
      <c r="K71" t="s">
        <v>17</v>
      </c>
      <c r="L71">
        <v>30</v>
      </c>
      <c r="M71" t="s">
        <v>18</v>
      </c>
    </row>
    <row r="72" spans="1:13" x14ac:dyDescent="0.25">
      <c r="A72">
        <v>14238</v>
      </c>
      <c r="B72" t="s">
        <v>34</v>
      </c>
      <c r="C72" t="s">
        <v>34</v>
      </c>
      <c r="D72" s="5">
        <v>120000</v>
      </c>
      <c r="E72">
        <v>0</v>
      </c>
      <c r="F72" t="s">
        <v>29</v>
      </c>
      <c r="G72" t="s">
        <v>21</v>
      </c>
      <c r="H72" t="s">
        <v>15</v>
      </c>
      <c r="I72">
        <v>4</v>
      </c>
      <c r="J72" t="s">
        <v>30</v>
      </c>
      <c r="K72" t="s">
        <v>24</v>
      </c>
      <c r="L72">
        <v>36</v>
      </c>
      <c r="M72" t="s">
        <v>15</v>
      </c>
    </row>
    <row r="73" spans="1:13" x14ac:dyDescent="0.25">
      <c r="A73">
        <v>16200</v>
      </c>
      <c r="B73" t="s">
        <v>35</v>
      </c>
      <c r="C73" t="s">
        <v>33</v>
      </c>
      <c r="D73" s="5">
        <v>10000</v>
      </c>
      <c r="E73">
        <v>0</v>
      </c>
      <c r="F73" t="s">
        <v>29</v>
      </c>
      <c r="G73" t="s">
        <v>25</v>
      </c>
      <c r="H73" t="s">
        <v>18</v>
      </c>
      <c r="I73">
        <v>2</v>
      </c>
      <c r="J73" t="s">
        <v>16</v>
      </c>
      <c r="K73" t="s">
        <v>17</v>
      </c>
      <c r="L73">
        <v>35</v>
      </c>
      <c r="M73" t="s">
        <v>18</v>
      </c>
    </row>
    <row r="74" spans="1:13" x14ac:dyDescent="0.25">
      <c r="A74">
        <v>24857</v>
      </c>
      <c r="B74" t="s">
        <v>34</v>
      </c>
      <c r="C74" t="s">
        <v>33</v>
      </c>
      <c r="D74" s="5">
        <v>130000</v>
      </c>
      <c r="E74">
        <v>3</v>
      </c>
      <c r="F74" t="s">
        <v>27</v>
      </c>
      <c r="G74" t="s">
        <v>21</v>
      </c>
      <c r="H74" t="s">
        <v>15</v>
      </c>
      <c r="I74">
        <v>4</v>
      </c>
      <c r="J74" t="s">
        <v>16</v>
      </c>
      <c r="K74" t="s">
        <v>17</v>
      </c>
      <c r="L74">
        <v>52</v>
      </c>
      <c r="M74" t="s">
        <v>18</v>
      </c>
    </row>
    <row r="75" spans="1:13" x14ac:dyDescent="0.25">
      <c r="A75">
        <v>26956</v>
      </c>
      <c r="B75" t="s">
        <v>35</v>
      </c>
      <c r="C75" t="s">
        <v>33</v>
      </c>
      <c r="D75" s="5">
        <v>20000</v>
      </c>
      <c r="E75">
        <v>0</v>
      </c>
      <c r="F75" t="s">
        <v>19</v>
      </c>
      <c r="G75" t="s">
        <v>25</v>
      </c>
      <c r="H75" t="s">
        <v>18</v>
      </c>
      <c r="I75">
        <v>1</v>
      </c>
      <c r="J75" t="s">
        <v>22</v>
      </c>
      <c r="K75" t="s">
        <v>17</v>
      </c>
      <c r="L75">
        <v>36</v>
      </c>
      <c r="M75" t="s">
        <v>15</v>
      </c>
    </row>
    <row r="76" spans="1:13" x14ac:dyDescent="0.25">
      <c r="A76">
        <v>14517</v>
      </c>
      <c r="B76" t="s">
        <v>34</v>
      </c>
      <c r="C76" t="s">
        <v>33</v>
      </c>
      <c r="D76" s="5">
        <v>20000</v>
      </c>
      <c r="E76">
        <v>3</v>
      </c>
      <c r="F76" t="s">
        <v>27</v>
      </c>
      <c r="G76" t="s">
        <v>14</v>
      </c>
      <c r="H76" t="s">
        <v>18</v>
      </c>
      <c r="I76">
        <v>2</v>
      </c>
      <c r="J76" t="s">
        <v>26</v>
      </c>
      <c r="K76" t="s">
        <v>24</v>
      </c>
      <c r="L76">
        <v>62</v>
      </c>
      <c r="M76" t="s">
        <v>18</v>
      </c>
    </row>
    <row r="77" spans="1:13" x14ac:dyDescent="0.25">
      <c r="A77">
        <v>12678</v>
      </c>
      <c r="B77" t="s">
        <v>35</v>
      </c>
      <c r="C77" t="s">
        <v>33</v>
      </c>
      <c r="D77" s="5">
        <v>130000</v>
      </c>
      <c r="E77">
        <v>4</v>
      </c>
      <c r="F77" t="s">
        <v>27</v>
      </c>
      <c r="G77" t="s">
        <v>28</v>
      </c>
      <c r="H77" t="s">
        <v>15</v>
      </c>
      <c r="I77">
        <v>4</v>
      </c>
      <c r="J77" t="s">
        <v>16</v>
      </c>
      <c r="K77" t="s">
        <v>24</v>
      </c>
      <c r="L77">
        <v>31</v>
      </c>
      <c r="M77" t="s">
        <v>18</v>
      </c>
    </row>
    <row r="78" spans="1:13" x14ac:dyDescent="0.25">
      <c r="A78">
        <v>16188</v>
      </c>
      <c r="B78" t="s">
        <v>35</v>
      </c>
      <c r="C78" t="s">
        <v>33</v>
      </c>
      <c r="D78" s="5">
        <v>20000</v>
      </c>
      <c r="E78">
        <v>0</v>
      </c>
      <c r="F78" t="s">
        <v>29</v>
      </c>
      <c r="G78" t="s">
        <v>25</v>
      </c>
      <c r="H78" t="s">
        <v>18</v>
      </c>
      <c r="I78">
        <v>2</v>
      </c>
      <c r="J78" t="s">
        <v>26</v>
      </c>
      <c r="K78" t="s">
        <v>17</v>
      </c>
      <c r="L78">
        <v>26</v>
      </c>
      <c r="M78" t="s">
        <v>18</v>
      </c>
    </row>
    <row r="79" spans="1:13" x14ac:dyDescent="0.25">
      <c r="A79">
        <v>27969</v>
      </c>
      <c r="B79" t="s">
        <v>34</v>
      </c>
      <c r="C79" t="s">
        <v>34</v>
      </c>
      <c r="D79" s="5">
        <v>80000</v>
      </c>
      <c r="E79">
        <v>0</v>
      </c>
      <c r="F79" t="s">
        <v>13</v>
      </c>
      <c r="G79" t="s">
        <v>21</v>
      </c>
      <c r="H79" t="s">
        <v>15</v>
      </c>
      <c r="I79">
        <v>2</v>
      </c>
      <c r="J79" t="s">
        <v>30</v>
      </c>
      <c r="K79" t="s">
        <v>24</v>
      </c>
      <c r="L79">
        <v>29</v>
      </c>
      <c r="M79" t="s">
        <v>15</v>
      </c>
    </row>
    <row r="80" spans="1:13" x14ac:dyDescent="0.25">
      <c r="A80">
        <v>15752</v>
      </c>
      <c r="B80" t="s">
        <v>34</v>
      </c>
      <c r="C80" t="s">
        <v>34</v>
      </c>
      <c r="D80" s="5">
        <v>80000</v>
      </c>
      <c r="E80">
        <v>2</v>
      </c>
      <c r="F80" t="s">
        <v>27</v>
      </c>
      <c r="G80" t="s">
        <v>14</v>
      </c>
      <c r="H80" t="s">
        <v>18</v>
      </c>
      <c r="I80">
        <v>2</v>
      </c>
      <c r="J80" t="s">
        <v>26</v>
      </c>
      <c r="K80" t="s">
        <v>24</v>
      </c>
      <c r="L80">
        <v>50</v>
      </c>
      <c r="M80" t="s">
        <v>15</v>
      </c>
    </row>
    <row r="81" spans="1:13" x14ac:dyDescent="0.25">
      <c r="A81">
        <v>27745</v>
      </c>
      <c r="B81" t="s">
        <v>35</v>
      </c>
      <c r="C81" t="s">
        <v>34</v>
      </c>
      <c r="D81" s="5">
        <v>40000</v>
      </c>
      <c r="E81">
        <v>2</v>
      </c>
      <c r="F81" t="s">
        <v>13</v>
      </c>
      <c r="G81" t="s">
        <v>28</v>
      </c>
      <c r="H81" t="s">
        <v>15</v>
      </c>
      <c r="I81">
        <v>2</v>
      </c>
      <c r="J81" t="s">
        <v>23</v>
      </c>
      <c r="K81" t="s">
        <v>24</v>
      </c>
      <c r="L81">
        <v>63</v>
      </c>
      <c r="M81" t="s">
        <v>15</v>
      </c>
    </row>
    <row r="82" spans="1:13" x14ac:dyDescent="0.25">
      <c r="A82">
        <v>20828</v>
      </c>
      <c r="B82" t="s">
        <v>34</v>
      </c>
      <c r="C82" t="s">
        <v>33</v>
      </c>
      <c r="D82" s="5">
        <v>30000</v>
      </c>
      <c r="E82">
        <v>4</v>
      </c>
      <c r="F82" t="s">
        <v>31</v>
      </c>
      <c r="G82" t="s">
        <v>20</v>
      </c>
      <c r="H82" t="s">
        <v>15</v>
      </c>
      <c r="I82">
        <v>0</v>
      </c>
      <c r="J82" t="s">
        <v>16</v>
      </c>
      <c r="K82" t="s">
        <v>17</v>
      </c>
      <c r="L82">
        <v>45</v>
      </c>
      <c r="M82" t="s">
        <v>15</v>
      </c>
    </row>
    <row r="83" spans="1:13" x14ac:dyDescent="0.25">
      <c r="A83">
        <v>19461</v>
      </c>
      <c r="B83" t="s">
        <v>35</v>
      </c>
      <c r="C83" t="s">
        <v>33</v>
      </c>
      <c r="D83" s="5">
        <v>10000</v>
      </c>
      <c r="E83">
        <v>4</v>
      </c>
      <c r="F83" t="s">
        <v>29</v>
      </c>
      <c r="G83" t="s">
        <v>25</v>
      </c>
      <c r="H83" t="s">
        <v>15</v>
      </c>
      <c r="I83">
        <v>2</v>
      </c>
      <c r="J83" t="s">
        <v>16</v>
      </c>
      <c r="K83" t="s">
        <v>17</v>
      </c>
      <c r="L83">
        <v>40</v>
      </c>
      <c r="M83" t="s">
        <v>18</v>
      </c>
    </row>
    <row r="84" spans="1:13" x14ac:dyDescent="0.25">
      <c r="A84">
        <v>26941</v>
      </c>
      <c r="B84" t="s">
        <v>34</v>
      </c>
      <c r="C84" t="s">
        <v>34</v>
      </c>
      <c r="D84" s="5">
        <v>30000</v>
      </c>
      <c r="E84">
        <v>0</v>
      </c>
      <c r="F84" t="s">
        <v>13</v>
      </c>
      <c r="G84" t="s">
        <v>20</v>
      </c>
      <c r="H84" t="s">
        <v>15</v>
      </c>
      <c r="I84">
        <v>0</v>
      </c>
      <c r="J84" t="s">
        <v>16</v>
      </c>
      <c r="K84" t="s">
        <v>17</v>
      </c>
      <c r="L84">
        <v>47</v>
      </c>
      <c r="M84" t="s">
        <v>15</v>
      </c>
    </row>
    <row r="85" spans="1:13" x14ac:dyDescent="0.25">
      <c r="A85">
        <v>28412</v>
      </c>
      <c r="B85" t="s">
        <v>35</v>
      </c>
      <c r="C85" t="s">
        <v>34</v>
      </c>
      <c r="D85" s="5">
        <v>20000</v>
      </c>
      <c r="E85">
        <v>0</v>
      </c>
      <c r="F85" t="s">
        <v>27</v>
      </c>
      <c r="G85" t="s">
        <v>25</v>
      </c>
      <c r="H85" t="s">
        <v>18</v>
      </c>
      <c r="I85">
        <v>1</v>
      </c>
      <c r="J85" t="s">
        <v>22</v>
      </c>
      <c r="K85" t="s">
        <v>17</v>
      </c>
      <c r="L85">
        <v>29</v>
      </c>
      <c r="M85" t="s">
        <v>18</v>
      </c>
    </row>
    <row r="86" spans="1:13" x14ac:dyDescent="0.25">
      <c r="A86">
        <v>24485</v>
      </c>
      <c r="B86" t="s">
        <v>35</v>
      </c>
      <c r="C86" t="s">
        <v>34</v>
      </c>
      <c r="D86" s="5">
        <v>40000</v>
      </c>
      <c r="E86">
        <v>2</v>
      </c>
      <c r="F86" t="s">
        <v>13</v>
      </c>
      <c r="G86" t="s">
        <v>28</v>
      </c>
      <c r="H86" t="s">
        <v>18</v>
      </c>
      <c r="I86">
        <v>1</v>
      </c>
      <c r="J86" t="s">
        <v>23</v>
      </c>
      <c r="K86" t="s">
        <v>24</v>
      </c>
      <c r="L86">
        <v>52</v>
      </c>
      <c r="M86" t="s">
        <v>15</v>
      </c>
    </row>
    <row r="87" spans="1:13" x14ac:dyDescent="0.25">
      <c r="A87">
        <v>16514</v>
      </c>
      <c r="B87" t="s">
        <v>35</v>
      </c>
      <c r="C87" t="s">
        <v>34</v>
      </c>
      <c r="D87" s="5">
        <v>10000</v>
      </c>
      <c r="E87">
        <v>0</v>
      </c>
      <c r="F87" t="s">
        <v>19</v>
      </c>
      <c r="G87" t="s">
        <v>25</v>
      </c>
      <c r="H87" t="s">
        <v>15</v>
      </c>
      <c r="I87">
        <v>1</v>
      </c>
      <c r="J87" t="s">
        <v>26</v>
      </c>
      <c r="K87" t="s">
        <v>24</v>
      </c>
      <c r="L87">
        <v>26</v>
      </c>
      <c r="M87" t="s">
        <v>15</v>
      </c>
    </row>
    <row r="88" spans="1:13" x14ac:dyDescent="0.25">
      <c r="A88">
        <v>17191</v>
      </c>
      <c r="B88" t="s">
        <v>35</v>
      </c>
      <c r="C88" t="s">
        <v>34</v>
      </c>
      <c r="D88" s="5">
        <v>130000</v>
      </c>
      <c r="E88">
        <v>3</v>
      </c>
      <c r="F88" t="s">
        <v>19</v>
      </c>
      <c r="G88" t="s">
        <v>21</v>
      </c>
      <c r="H88" t="s">
        <v>18</v>
      </c>
      <c r="I88">
        <v>3</v>
      </c>
      <c r="J88" t="s">
        <v>16</v>
      </c>
      <c r="K88" t="s">
        <v>17</v>
      </c>
      <c r="L88">
        <v>51</v>
      </c>
      <c r="M88" t="s">
        <v>15</v>
      </c>
    </row>
    <row r="89" spans="1:13" x14ac:dyDescent="0.25">
      <c r="A89">
        <v>19608</v>
      </c>
      <c r="B89" t="s">
        <v>34</v>
      </c>
      <c r="C89" t="s">
        <v>34</v>
      </c>
      <c r="D89" s="5">
        <v>80000</v>
      </c>
      <c r="E89">
        <v>5</v>
      </c>
      <c r="F89" t="s">
        <v>13</v>
      </c>
      <c r="G89" t="s">
        <v>21</v>
      </c>
      <c r="H89" t="s">
        <v>15</v>
      </c>
      <c r="I89">
        <v>4</v>
      </c>
      <c r="J89" t="s">
        <v>26</v>
      </c>
      <c r="K89" t="s">
        <v>24</v>
      </c>
      <c r="L89">
        <v>40</v>
      </c>
      <c r="M89" t="s">
        <v>18</v>
      </c>
    </row>
    <row r="90" spans="1:13" x14ac:dyDescent="0.25">
      <c r="A90">
        <v>24119</v>
      </c>
      <c r="B90" t="s">
        <v>35</v>
      </c>
      <c r="C90" t="s">
        <v>34</v>
      </c>
      <c r="D90" s="5">
        <v>30000</v>
      </c>
      <c r="E90">
        <v>0</v>
      </c>
      <c r="F90" t="s">
        <v>19</v>
      </c>
      <c r="G90" t="s">
        <v>20</v>
      </c>
      <c r="H90" t="s">
        <v>18</v>
      </c>
      <c r="I90">
        <v>1</v>
      </c>
      <c r="J90" t="s">
        <v>22</v>
      </c>
      <c r="K90" t="s">
        <v>17</v>
      </c>
      <c r="L90">
        <v>29</v>
      </c>
      <c r="M90" t="s">
        <v>18</v>
      </c>
    </row>
    <row r="91" spans="1:13" x14ac:dyDescent="0.25">
      <c r="A91">
        <v>25458</v>
      </c>
      <c r="B91" t="s">
        <v>34</v>
      </c>
      <c r="C91" t="s">
        <v>34</v>
      </c>
      <c r="D91" s="5">
        <v>20000</v>
      </c>
      <c r="E91">
        <v>1</v>
      </c>
      <c r="F91" t="s">
        <v>27</v>
      </c>
      <c r="G91" t="s">
        <v>25</v>
      </c>
      <c r="H91" t="s">
        <v>18</v>
      </c>
      <c r="I91">
        <v>1</v>
      </c>
      <c r="J91" t="s">
        <v>26</v>
      </c>
      <c r="K91" t="s">
        <v>17</v>
      </c>
      <c r="L91">
        <v>40</v>
      </c>
      <c r="M91" t="s">
        <v>15</v>
      </c>
    </row>
    <row r="92" spans="1:13" x14ac:dyDescent="0.25">
      <c r="A92">
        <v>26886</v>
      </c>
      <c r="B92" t="s">
        <v>35</v>
      </c>
      <c r="C92" t="s">
        <v>33</v>
      </c>
      <c r="D92" s="5">
        <v>30000</v>
      </c>
      <c r="E92">
        <v>0</v>
      </c>
      <c r="F92" t="s">
        <v>19</v>
      </c>
      <c r="G92" t="s">
        <v>20</v>
      </c>
      <c r="H92" t="s">
        <v>18</v>
      </c>
      <c r="I92">
        <v>1</v>
      </c>
      <c r="J92" t="s">
        <v>16</v>
      </c>
      <c r="K92" t="s">
        <v>17</v>
      </c>
      <c r="L92">
        <v>29</v>
      </c>
      <c r="M92" t="s">
        <v>15</v>
      </c>
    </row>
    <row r="93" spans="1:13" x14ac:dyDescent="0.25">
      <c r="A93">
        <v>28436</v>
      </c>
      <c r="B93" t="s">
        <v>35</v>
      </c>
      <c r="C93" t="s">
        <v>34</v>
      </c>
      <c r="D93" s="5">
        <v>30000</v>
      </c>
      <c r="E93">
        <v>0</v>
      </c>
      <c r="F93" t="s">
        <v>19</v>
      </c>
      <c r="G93" t="s">
        <v>20</v>
      </c>
      <c r="H93" t="s">
        <v>18</v>
      </c>
      <c r="I93">
        <v>1</v>
      </c>
      <c r="J93" t="s">
        <v>16</v>
      </c>
      <c r="K93" t="s">
        <v>17</v>
      </c>
      <c r="L93">
        <v>30</v>
      </c>
      <c r="M93" t="s">
        <v>15</v>
      </c>
    </row>
    <row r="94" spans="1:13" x14ac:dyDescent="0.25">
      <c r="A94">
        <v>19562</v>
      </c>
      <c r="B94" t="s">
        <v>35</v>
      </c>
      <c r="C94" t="s">
        <v>33</v>
      </c>
      <c r="D94" s="5">
        <v>60000</v>
      </c>
      <c r="E94">
        <v>2</v>
      </c>
      <c r="F94" t="s">
        <v>13</v>
      </c>
      <c r="G94" t="s">
        <v>21</v>
      </c>
      <c r="H94" t="s">
        <v>15</v>
      </c>
      <c r="I94">
        <v>1</v>
      </c>
      <c r="J94" t="s">
        <v>22</v>
      </c>
      <c r="K94" t="s">
        <v>24</v>
      </c>
      <c r="L94">
        <v>37</v>
      </c>
      <c r="M94" t="s">
        <v>15</v>
      </c>
    </row>
    <row r="95" spans="1:13" x14ac:dyDescent="0.25">
      <c r="A95">
        <v>15608</v>
      </c>
      <c r="B95" t="s">
        <v>35</v>
      </c>
      <c r="C95" t="s">
        <v>33</v>
      </c>
      <c r="D95" s="5">
        <v>30000</v>
      </c>
      <c r="E95">
        <v>0</v>
      </c>
      <c r="F95" t="s">
        <v>19</v>
      </c>
      <c r="G95" t="s">
        <v>20</v>
      </c>
      <c r="H95" t="s">
        <v>18</v>
      </c>
      <c r="I95">
        <v>1</v>
      </c>
      <c r="J95" t="s">
        <v>22</v>
      </c>
      <c r="K95" t="s">
        <v>17</v>
      </c>
      <c r="L95">
        <v>33</v>
      </c>
      <c r="M95" t="s">
        <v>18</v>
      </c>
    </row>
    <row r="96" spans="1:13" x14ac:dyDescent="0.25">
      <c r="A96">
        <v>16487</v>
      </c>
      <c r="B96" t="s">
        <v>35</v>
      </c>
      <c r="C96" t="s">
        <v>33</v>
      </c>
      <c r="D96" s="5">
        <v>30000</v>
      </c>
      <c r="E96">
        <v>3</v>
      </c>
      <c r="F96" t="s">
        <v>27</v>
      </c>
      <c r="G96" t="s">
        <v>14</v>
      </c>
      <c r="H96" t="s">
        <v>15</v>
      </c>
      <c r="I96">
        <v>2</v>
      </c>
      <c r="J96" t="s">
        <v>23</v>
      </c>
      <c r="K96" t="s">
        <v>24</v>
      </c>
      <c r="L96">
        <v>55</v>
      </c>
      <c r="M96" t="s">
        <v>18</v>
      </c>
    </row>
    <row r="97" spans="1:13" x14ac:dyDescent="0.25">
      <c r="A97">
        <v>17197</v>
      </c>
      <c r="B97" t="s">
        <v>35</v>
      </c>
      <c r="C97" t="s">
        <v>33</v>
      </c>
      <c r="D97" s="5">
        <v>90000</v>
      </c>
      <c r="E97">
        <v>5</v>
      </c>
      <c r="F97" t="s">
        <v>19</v>
      </c>
      <c r="G97" t="s">
        <v>21</v>
      </c>
      <c r="H97" t="s">
        <v>15</v>
      </c>
      <c r="I97">
        <v>2</v>
      </c>
      <c r="J97" t="s">
        <v>30</v>
      </c>
      <c r="K97" t="s">
        <v>17</v>
      </c>
      <c r="L97">
        <v>62</v>
      </c>
      <c r="M97" t="s">
        <v>18</v>
      </c>
    </row>
    <row r="98" spans="1:13" x14ac:dyDescent="0.25">
      <c r="A98">
        <v>12507</v>
      </c>
      <c r="B98" t="s">
        <v>34</v>
      </c>
      <c r="C98" t="s">
        <v>34</v>
      </c>
      <c r="D98" s="5">
        <v>30000</v>
      </c>
      <c r="E98">
        <v>1</v>
      </c>
      <c r="F98" t="s">
        <v>19</v>
      </c>
      <c r="G98" t="s">
        <v>20</v>
      </c>
      <c r="H98" t="s">
        <v>15</v>
      </c>
      <c r="I98">
        <v>1</v>
      </c>
      <c r="J98" t="s">
        <v>16</v>
      </c>
      <c r="K98" t="s">
        <v>17</v>
      </c>
      <c r="L98">
        <v>43</v>
      </c>
      <c r="M98" t="s">
        <v>18</v>
      </c>
    </row>
    <row r="99" spans="1:13" x14ac:dyDescent="0.25">
      <c r="A99">
        <v>23940</v>
      </c>
      <c r="B99" t="s">
        <v>34</v>
      </c>
      <c r="C99" t="s">
        <v>34</v>
      </c>
      <c r="D99" s="5">
        <v>40000</v>
      </c>
      <c r="E99">
        <v>1</v>
      </c>
      <c r="F99" t="s">
        <v>13</v>
      </c>
      <c r="G99" t="s">
        <v>14</v>
      </c>
      <c r="H99" t="s">
        <v>15</v>
      </c>
      <c r="I99">
        <v>1</v>
      </c>
      <c r="J99" t="s">
        <v>16</v>
      </c>
      <c r="K99" t="s">
        <v>17</v>
      </c>
      <c r="L99">
        <v>44</v>
      </c>
      <c r="M99" t="s">
        <v>15</v>
      </c>
    </row>
    <row r="100" spans="1:13" x14ac:dyDescent="0.25">
      <c r="A100">
        <v>19441</v>
      </c>
      <c r="B100" t="s">
        <v>34</v>
      </c>
      <c r="C100" t="s">
        <v>34</v>
      </c>
      <c r="D100" s="5">
        <v>40000</v>
      </c>
      <c r="E100">
        <v>0</v>
      </c>
      <c r="F100" t="s">
        <v>31</v>
      </c>
      <c r="G100" t="s">
        <v>20</v>
      </c>
      <c r="H100" t="s">
        <v>15</v>
      </c>
      <c r="I100">
        <v>0</v>
      </c>
      <c r="J100" t="s">
        <v>16</v>
      </c>
      <c r="K100" t="s">
        <v>17</v>
      </c>
      <c r="L100">
        <v>25</v>
      </c>
      <c r="M100" t="s">
        <v>15</v>
      </c>
    </row>
    <row r="101" spans="1:13" x14ac:dyDescent="0.25">
      <c r="A101">
        <v>26852</v>
      </c>
      <c r="B101" t="s">
        <v>34</v>
      </c>
      <c r="C101" t="s">
        <v>33</v>
      </c>
      <c r="D101" s="5">
        <v>20000</v>
      </c>
      <c r="E101">
        <v>3</v>
      </c>
      <c r="F101" t="s">
        <v>27</v>
      </c>
      <c r="G101" t="s">
        <v>25</v>
      </c>
      <c r="H101" t="s">
        <v>15</v>
      </c>
      <c r="I101">
        <v>2</v>
      </c>
      <c r="J101" t="s">
        <v>16</v>
      </c>
      <c r="K101" t="s">
        <v>17</v>
      </c>
      <c r="L101">
        <v>43</v>
      </c>
      <c r="M101" t="s">
        <v>18</v>
      </c>
    </row>
    <row r="102" spans="1:13" x14ac:dyDescent="0.25">
      <c r="A102">
        <v>12274</v>
      </c>
      <c r="B102" t="s">
        <v>35</v>
      </c>
      <c r="C102" t="s">
        <v>34</v>
      </c>
      <c r="D102" s="5">
        <v>10000</v>
      </c>
      <c r="E102">
        <v>2</v>
      </c>
      <c r="F102" t="s">
        <v>27</v>
      </c>
      <c r="G102" t="s">
        <v>25</v>
      </c>
      <c r="H102" t="s">
        <v>15</v>
      </c>
      <c r="I102">
        <v>0</v>
      </c>
      <c r="J102" t="s">
        <v>16</v>
      </c>
      <c r="K102" t="s">
        <v>17</v>
      </c>
      <c r="L102">
        <v>35</v>
      </c>
      <c r="M102" t="s">
        <v>18</v>
      </c>
    </row>
    <row r="103" spans="1:13" x14ac:dyDescent="0.25">
      <c r="A103">
        <v>20236</v>
      </c>
      <c r="B103" t="s">
        <v>35</v>
      </c>
      <c r="C103" t="s">
        <v>34</v>
      </c>
      <c r="D103" s="5">
        <v>60000</v>
      </c>
      <c r="E103">
        <v>3</v>
      </c>
      <c r="F103" t="s">
        <v>13</v>
      </c>
      <c r="G103" t="s">
        <v>21</v>
      </c>
      <c r="H103" t="s">
        <v>18</v>
      </c>
      <c r="I103">
        <v>2</v>
      </c>
      <c r="J103" t="s">
        <v>16</v>
      </c>
      <c r="K103" t="s">
        <v>24</v>
      </c>
      <c r="L103">
        <v>43</v>
      </c>
      <c r="M103" t="s">
        <v>15</v>
      </c>
    </row>
    <row r="104" spans="1:13" x14ac:dyDescent="0.25">
      <c r="A104">
        <v>24149</v>
      </c>
      <c r="B104" t="s">
        <v>34</v>
      </c>
      <c r="C104" t="s">
        <v>34</v>
      </c>
      <c r="D104" s="5">
        <v>10000</v>
      </c>
      <c r="E104">
        <v>2</v>
      </c>
      <c r="F104" t="s">
        <v>19</v>
      </c>
      <c r="G104" t="s">
        <v>25</v>
      </c>
      <c r="H104" t="s">
        <v>15</v>
      </c>
      <c r="I104">
        <v>0</v>
      </c>
      <c r="J104" t="s">
        <v>26</v>
      </c>
      <c r="K104" t="s">
        <v>17</v>
      </c>
      <c r="L104">
        <v>49</v>
      </c>
      <c r="M104" t="s">
        <v>18</v>
      </c>
    </row>
    <row r="105" spans="1:13" x14ac:dyDescent="0.25">
      <c r="A105">
        <v>26139</v>
      </c>
      <c r="B105" t="s">
        <v>35</v>
      </c>
      <c r="C105" t="s">
        <v>34</v>
      </c>
      <c r="D105" s="5">
        <v>60000</v>
      </c>
      <c r="E105">
        <v>1</v>
      </c>
      <c r="F105" t="s">
        <v>19</v>
      </c>
      <c r="G105" t="s">
        <v>14</v>
      </c>
      <c r="H105" t="s">
        <v>15</v>
      </c>
      <c r="I105">
        <v>1</v>
      </c>
      <c r="J105" t="s">
        <v>23</v>
      </c>
      <c r="K105" t="s">
        <v>24</v>
      </c>
      <c r="L105">
        <v>45</v>
      </c>
      <c r="M105" t="s">
        <v>18</v>
      </c>
    </row>
    <row r="106" spans="1:13" x14ac:dyDescent="0.25">
      <c r="A106">
        <v>18491</v>
      </c>
      <c r="B106" t="s">
        <v>35</v>
      </c>
      <c r="C106" t="s">
        <v>33</v>
      </c>
      <c r="D106" s="5">
        <v>70000</v>
      </c>
      <c r="E106">
        <v>2</v>
      </c>
      <c r="F106" t="s">
        <v>27</v>
      </c>
      <c r="G106" t="s">
        <v>21</v>
      </c>
      <c r="H106" t="s">
        <v>15</v>
      </c>
      <c r="I106">
        <v>2</v>
      </c>
      <c r="J106" t="s">
        <v>23</v>
      </c>
      <c r="K106" t="s">
        <v>24</v>
      </c>
      <c r="L106">
        <v>49</v>
      </c>
      <c r="M106" t="s">
        <v>15</v>
      </c>
    </row>
    <row r="107" spans="1:13" x14ac:dyDescent="0.25">
      <c r="A107">
        <v>22707</v>
      </c>
      <c r="B107" t="s">
        <v>35</v>
      </c>
      <c r="C107" t="s">
        <v>33</v>
      </c>
      <c r="D107" s="5">
        <v>30000</v>
      </c>
      <c r="E107">
        <v>0</v>
      </c>
      <c r="F107" t="s">
        <v>19</v>
      </c>
      <c r="G107" t="s">
        <v>20</v>
      </c>
      <c r="H107" t="s">
        <v>18</v>
      </c>
      <c r="I107">
        <v>1</v>
      </c>
      <c r="J107" t="s">
        <v>22</v>
      </c>
      <c r="K107" t="s">
        <v>17</v>
      </c>
      <c r="L107">
        <v>30</v>
      </c>
      <c r="M107" t="s">
        <v>18</v>
      </c>
    </row>
    <row r="108" spans="1:13" x14ac:dyDescent="0.25">
      <c r="A108">
        <v>20430</v>
      </c>
      <c r="B108" t="s">
        <v>34</v>
      </c>
      <c r="C108" t="s">
        <v>34</v>
      </c>
      <c r="D108" s="5">
        <v>70000</v>
      </c>
      <c r="E108">
        <v>2</v>
      </c>
      <c r="F108" t="s">
        <v>19</v>
      </c>
      <c r="G108" t="s">
        <v>14</v>
      </c>
      <c r="H108" t="s">
        <v>15</v>
      </c>
      <c r="I108">
        <v>2</v>
      </c>
      <c r="J108" t="s">
        <v>23</v>
      </c>
      <c r="K108" t="s">
        <v>24</v>
      </c>
      <c r="L108">
        <v>52</v>
      </c>
      <c r="M108" t="s">
        <v>15</v>
      </c>
    </row>
    <row r="109" spans="1:13" x14ac:dyDescent="0.25">
      <c r="A109">
        <v>27494</v>
      </c>
      <c r="B109" t="s">
        <v>35</v>
      </c>
      <c r="C109" t="s">
        <v>33</v>
      </c>
      <c r="D109" s="5">
        <v>40000</v>
      </c>
      <c r="E109">
        <v>2</v>
      </c>
      <c r="F109" t="s">
        <v>19</v>
      </c>
      <c r="G109" t="s">
        <v>14</v>
      </c>
      <c r="H109" t="s">
        <v>18</v>
      </c>
      <c r="I109">
        <v>2</v>
      </c>
      <c r="J109" t="s">
        <v>26</v>
      </c>
      <c r="K109" t="s">
        <v>24</v>
      </c>
      <c r="L109">
        <v>53</v>
      </c>
      <c r="M109" t="s">
        <v>15</v>
      </c>
    </row>
    <row r="110" spans="1:13" x14ac:dyDescent="0.25">
      <c r="A110">
        <v>26829</v>
      </c>
      <c r="B110" t="s">
        <v>34</v>
      </c>
      <c r="C110" t="s">
        <v>33</v>
      </c>
      <c r="D110" s="5">
        <v>40000</v>
      </c>
      <c r="E110">
        <v>0</v>
      </c>
      <c r="F110" t="s">
        <v>13</v>
      </c>
      <c r="G110" t="s">
        <v>20</v>
      </c>
      <c r="H110" t="s">
        <v>15</v>
      </c>
      <c r="I110">
        <v>0</v>
      </c>
      <c r="J110" t="s">
        <v>16</v>
      </c>
      <c r="K110" t="s">
        <v>17</v>
      </c>
      <c r="L110">
        <v>38</v>
      </c>
      <c r="M110" t="s">
        <v>15</v>
      </c>
    </row>
    <row r="111" spans="1:13" x14ac:dyDescent="0.25">
      <c r="A111">
        <v>28395</v>
      </c>
      <c r="B111" t="s">
        <v>35</v>
      </c>
      <c r="C111" t="s">
        <v>34</v>
      </c>
      <c r="D111" s="5">
        <v>40000</v>
      </c>
      <c r="E111">
        <v>0</v>
      </c>
      <c r="F111" t="s">
        <v>13</v>
      </c>
      <c r="G111" t="s">
        <v>21</v>
      </c>
      <c r="H111" t="s">
        <v>18</v>
      </c>
      <c r="I111">
        <v>0</v>
      </c>
      <c r="J111" t="s">
        <v>16</v>
      </c>
      <c r="K111" t="s">
        <v>17</v>
      </c>
      <c r="L111">
        <v>39</v>
      </c>
      <c r="M111" t="s">
        <v>15</v>
      </c>
    </row>
    <row r="112" spans="1:13" x14ac:dyDescent="0.25">
      <c r="A112">
        <v>21006</v>
      </c>
      <c r="B112" t="s">
        <v>35</v>
      </c>
      <c r="C112" t="s">
        <v>33</v>
      </c>
      <c r="D112" s="5">
        <v>30000</v>
      </c>
      <c r="E112">
        <v>1</v>
      </c>
      <c r="F112" t="s">
        <v>19</v>
      </c>
      <c r="G112" t="s">
        <v>25</v>
      </c>
      <c r="H112" t="s">
        <v>18</v>
      </c>
      <c r="I112">
        <v>0</v>
      </c>
      <c r="J112" t="s">
        <v>16</v>
      </c>
      <c r="K112" t="s">
        <v>17</v>
      </c>
      <c r="L112">
        <v>46</v>
      </c>
      <c r="M112" t="s">
        <v>15</v>
      </c>
    </row>
    <row r="113" spans="1:13" x14ac:dyDescent="0.25">
      <c r="A113">
        <v>14682</v>
      </c>
      <c r="B113" t="s">
        <v>35</v>
      </c>
      <c r="C113" t="s">
        <v>33</v>
      </c>
      <c r="D113" s="5">
        <v>70000</v>
      </c>
      <c r="E113">
        <v>0</v>
      </c>
      <c r="F113" t="s">
        <v>13</v>
      </c>
      <c r="G113" t="s">
        <v>21</v>
      </c>
      <c r="H113" t="s">
        <v>18</v>
      </c>
      <c r="I113">
        <v>1</v>
      </c>
      <c r="J113" t="s">
        <v>23</v>
      </c>
      <c r="K113" t="s">
        <v>24</v>
      </c>
      <c r="L113">
        <v>38</v>
      </c>
      <c r="M113" t="s">
        <v>18</v>
      </c>
    </row>
    <row r="114" spans="1:13" x14ac:dyDescent="0.25">
      <c r="A114">
        <v>17650</v>
      </c>
      <c r="B114" t="s">
        <v>35</v>
      </c>
      <c r="C114" t="s">
        <v>33</v>
      </c>
      <c r="D114" s="5">
        <v>40000</v>
      </c>
      <c r="E114">
        <v>2</v>
      </c>
      <c r="F114" t="s">
        <v>19</v>
      </c>
      <c r="G114" t="s">
        <v>20</v>
      </c>
      <c r="H114" t="s">
        <v>15</v>
      </c>
      <c r="I114">
        <v>2</v>
      </c>
      <c r="J114" t="s">
        <v>26</v>
      </c>
      <c r="K114" t="s">
        <v>17</v>
      </c>
      <c r="L114">
        <v>35</v>
      </c>
      <c r="M114" t="s">
        <v>18</v>
      </c>
    </row>
    <row r="115" spans="1:13" x14ac:dyDescent="0.25">
      <c r="A115">
        <v>29191</v>
      </c>
      <c r="B115" t="s">
        <v>35</v>
      </c>
      <c r="C115" t="s">
        <v>33</v>
      </c>
      <c r="D115" s="5">
        <v>130000</v>
      </c>
      <c r="E115">
        <v>1</v>
      </c>
      <c r="F115" t="s">
        <v>31</v>
      </c>
      <c r="G115" t="s">
        <v>28</v>
      </c>
      <c r="H115" t="s">
        <v>18</v>
      </c>
      <c r="I115">
        <v>1</v>
      </c>
      <c r="J115" t="s">
        <v>16</v>
      </c>
      <c r="K115" t="s">
        <v>24</v>
      </c>
      <c r="L115">
        <v>36</v>
      </c>
      <c r="M115" t="s">
        <v>15</v>
      </c>
    </row>
    <row r="116" spans="1:13" x14ac:dyDescent="0.25">
      <c r="A116">
        <v>15030</v>
      </c>
      <c r="B116" t="s">
        <v>34</v>
      </c>
      <c r="C116" t="s">
        <v>34</v>
      </c>
      <c r="D116" s="5">
        <v>20000</v>
      </c>
      <c r="E116">
        <v>0</v>
      </c>
      <c r="F116" t="s">
        <v>13</v>
      </c>
      <c r="G116" t="s">
        <v>20</v>
      </c>
      <c r="H116" t="s">
        <v>15</v>
      </c>
      <c r="I116">
        <v>0</v>
      </c>
      <c r="J116" t="s">
        <v>16</v>
      </c>
      <c r="K116" t="s">
        <v>24</v>
      </c>
      <c r="L116">
        <v>26</v>
      </c>
      <c r="M116" t="s">
        <v>15</v>
      </c>
    </row>
    <row r="117" spans="1:13" x14ac:dyDescent="0.25">
      <c r="A117">
        <v>24140</v>
      </c>
      <c r="B117" t="s">
        <v>35</v>
      </c>
      <c r="C117" t="s">
        <v>34</v>
      </c>
      <c r="D117" s="5">
        <v>10000</v>
      </c>
      <c r="E117">
        <v>0</v>
      </c>
      <c r="F117" t="s">
        <v>31</v>
      </c>
      <c r="G117" t="s">
        <v>25</v>
      </c>
      <c r="H117" t="s">
        <v>18</v>
      </c>
      <c r="I117">
        <v>0</v>
      </c>
      <c r="J117" t="s">
        <v>16</v>
      </c>
      <c r="K117" t="s">
        <v>17</v>
      </c>
      <c r="L117">
        <v>30</v>
      </c>
      <c r="M117" t="s">
        <v>15</v>
      </c>
    </row>
    <row r="118" spans="1:13" x14ac:dyDescent="0.25">
      <c r="A118">
        <v>22496</v>
      </c>
      <c r="B118" t="s">
        <v>34</v>
      </c>
      <c r="C118" t="s">
        <v>33</v>
      </c>
      <c r="D118" s="5">
        <v>30000</v>
      </c>
      <c r="E118">
        <v>1</v>
      </c>
      <c r="F118" t="s">
        <v>13</v>
      </c>
      <c r="G118" t="s">
        <v>14</v>
      </c>
      <c r="H118" t="s">
        <v>15</v>
      </c>
      <c r="I118">
        <v>2</v>
      </c>
      <c r="J118" t="s">
        <v>16</v>
      </c>
      <c r="K118" t="s">
        <v>17</v>
      </c>
      <c r="L118">
        <v>42</v>
      </c>
      <c r="M118" t="s">
        <v>18</v>
      </c>
    </row>
    <row r="119" spans="1:13" x14ac:dyDescent="0.25">
      <c r="A119">
        <v>24065</v>
      </c>
      <c r="B119" t="s">
        <v>35</v>
      </c>
      <c r="C119" t="s">
        <v>33</v>
      </c>
      <c r="D119" s="5">
        <v>20000</v>
      </c>
      <c r="E119">
        <v>0</v>
      </c>
      <c r="F119" t="s">
        <v>27</v>
      </c>
      <c r="G119" t="s">
        <v>25</v>
      </c>
      <c r="H119" t="s">
        <v>15</v>
      </c>
      <c r="I119">
        <v>0</v>
      </c>
      <c r="J119" t="s">
        <v>16</v>
      </c>
      <c r="K119" t="s">
        <v>17</v>
      </c>
      <c r="L119">
        <v>40</v>
      </c>
      <c r="M119" t="s">
        <v>15</v>
      </c>
    </row>
    <row r="120" spans="1:13" x14ac:dyDescent="0.25">
      <c r="A120">
        <v>19914</v>
      </c>
      <c r="B120" t="s">
        <v>34</v>
      </c>
      <c r="C120" t="s">
        <v>34</v>
      </c>
      <c r="D120" s="5">
        <v>80000</v>
      </c>
      <c r="E120">
        <v>5</v>
      </c>
      <c r="F120" t="s">
        <v>13</v>
      </c>
      <c r="G120" t="s">
        <v>28</v>
      </c>
      <c r="H120" t="s">
        <v>15</v>
      </c>
      <c r="I120">
        <v>2</v>
      </c>
      <c r="J120" t="s">
        <v>22</v>
      </c>
      <c r="K120" t="s">
        <v>17</v>
      </c>
      <c r="L120">
        <v>62</v>
      </c>
      <c r="M120" t="s">
        <v>18</v>
      </c>
    </row>
    <row r="121" spans="1:13" x14ac:dyDescent="0.25">
      <c r="A121">
        <v>12871</v>
      </c>
      <c r="B121" t="s">
        <v>35</v>
      </c>
      <c r="C121" t="s">
        <v>33</v>
      </c>
      <c r="D121" s="5">
        <v>30000</v>
      </c>
      <c r="E121">
        <v>0</v>
      </c>
      <c r="F121" t="s">
        <v>19</v>
      </c>
      <c r="G121" t="s">
        <v>20</v>
      </c>
      <c r="H121" t="s">
        <v>18</v>
      </c>
      <c r="I121">
        <v>1</v>
      </c>
      <c r="J121" t="s">
        <v>22</v>
      </c>
      <c r="K121" t="s">
        <v>17</v>
      </c>
      <c r="L121">
        <v>29</v>
      </c>
      <c r="M121" t="s">
        <v>18</v>
      </c>
    </row>
    <row r="122" spans="1:13" x14ac:dyDescent="0.25">
      <c r="A122">
        <v>22988</v>
      </c>
      <c r="B122" t="s">
        <v>34</v>
      </c>
      <c r="C122" t="s">
        <v>33</v>
      </c>
      <c r="D122" s="5">
        <v>40000</v>
      </c>
      <c r="E122">
        <v>2</v>
      </c>
      <c r="F122" t="s">
        <v>13</v>
      </c>
      <c r="G122" t="s">
        <v>28</v>
      </c>
      <c r="H122" t="s">
        <v>15</v>
      </c>
      <c r="I122">
        <v>2</v>
      </c>
      <c r="J122" t="s">
        <v>23</v>
      </c>
      <c r="K122" t="s">
        <v>24</v>
      </c>
      <c r="L122">
        <v>66</v>
      </c>
      <c r="M122" t="s">
        <v>15</v>
      </c>
    </row>
    <row r="123" spans="1:13" x14ac:dyDescent="0.25">
      <c r="A123">
        <v>15922</v>
      </c>
      <c r="B123" t="s">
        <v>34</v>
      </c>
      <c r="C123" t="s">
        <v>34</v>
      </c>
      <c r="D123" s="5">
        <v>150000</v>
      </c>
      <c r="E123">
        <v>2</v>
      </c>
      <c r="F123" t="s">
        <v>27</v>
      </c>
      <c r="G123" t="s">
        <v>21</v>
      </c>
      <c r="H123" t="s">
        <v>15</v>
      </c>
      <c r="I123">
        <v>4</v>
      </c>
      <c r="J123" t="s">
        <v>16</v>
      </c>
      <c r="K123" t="s">
        <v>17</v>
      </c>
      <c r="L123">
        <v>48</v>
      </c>
      <c r="M123" t="s">
        <v>18</v>
      </c>
    </row>
    <row r="124" spans="1:13" x14ac:dyDescent="0.25">
      <c r="A124">
        <v>12344</v>
      </c>
      <c r="B124" t="s">
        <v>35</v>
      </c>
      <c r="C124" t="s">
        <v>33</v>
      </c>
      <c r="D124" s="5">
        <v>80000</v>
      </c>
      <c r="E124">
        <v>0</v>
      </c>
      <c r="F124" t="s">
        <v>13</v>
      </c>
      <c r="G124" t="s">
        <v>21</v>
      </c>
      <c r="H124" t="s">
        <v>18</v>
      </c>
      <c r="I124">
        <v>3</v>
      </c>
      <c r="J124" t="s">
        <v>30</v>
      </c>
      <c r="K124" t="s">
        <v>24</v>
      </c>
      <c r="L124">
        <v>31</v>
      </c>
      <c r="M124" t="s">
        <v>18</v>
      </c>
    </row>
    <row r="125" spans="1:13" x14ac:dyDescent="0.25">
      <c r="A125">
        <v>23627</v>
      </c>
      <c r="B125" t="s">
        <v>35</v>
      </c>
      <c r="C125" t="s">
        <v>33</v>
      </c>
      <c r="D125" s="5">
        <v>100000</v>
      </c>
      <c r="E125">
        <v>3</v>
      </c>
      <c r="F125" t="s">
        <v>19</v>
      </c>
      <c r="G125" t="s">
        <v>28</v>
      </c>
      <c r="H125" t="s">
        <v>18</v>
      </c>
      <c r="I125">
        <v>4</v>
      </c>
      <c r="J125" t="s">
        <v>23</v>
      </c>
      <c r="K125" t="s">
        <v>17</v>
      </c>
      <c r="L125">
        <v>56</v>
      </c>
      <c r="M125" t="s">
        <v>18</v>
      </c>
    </row>
    <row r="126" spans="1:13" x14ac:dyDescent="0.25">
      <c r="A126">
        <v>27775</v>
      </c>
      <c r="B126" t="s">
        <v>35</v>
      </c>
      <c r="C126" t="s">
        <v>33</v>
      </c>
      <c r="D126" s="5">
        <v>40000</v>
      </c>
      <c r="E126">
        <v>0</v>
      </c>
      <c r="F126" t="s">
        <v>13</v>
      </c>
      <c r="G126" t="s">
        <v>20</v>
      </c>
      <c r="H126" t="s">
        <v>18</v>
      </c>
      <c r="I126">
        <v>0</v>
      </c>
      <c r="J126" t="s">
        <v>16</v>
      </c>
      <c r="K126" t="s">
        <v>17</v>
      </c>
      <c r="L126">
        <v>38</v>
      </c>
      <c r="M126" t="s">
        <v>15</v>
      </c>
    </row>
    <row r="127" spans="1:13" x14ac:dyDescent="0.25">
      <c r="A127">
        <v>29301</v>
      </c>
      <c r="B127" t="s">
        <v>34</v>
      </c>
      <c r="C127" t="s">
        <v>34</v>
      </c>
      <c r="D127" s="5">
        <v>80000</v>
      </c>
      <c r="E127">
        <v>5</v>
      </c>
      <c r="F127" t="s">
        <v>13</v>
      </c>
      <c r="G127" t="s">
        <v>21</v>
      </c>
      <c r="H127" t="s">
        <v>15</v>
      </c>
      <c r="I127">
        <v>4</v>
      </c>
      <c r="J127" t="s">
        <v>26</v>
      </c>
      <c r="K127" t="s">
        <v>24</v>
      </c>
      <c r="L127">
        <v>40</v>
      </c>
      <c r="M127" t="s">
        <v>18</v>
      </c>
    </row>
    <row r="128" spans="1:13" x14ac:dyDescent="0.25">
      <c r="A128">
        <v>12716</v>
      </c>
      <c r="B128" t="s">
        <v>35</v>
      </c>
      <c r="C128" t="s">
        <v>34</v>
      </c>
      <c r="D128" s="5">
        <v>30000</v>
      </c>
      <c r="E128">
        <v>0</v>
      </c>
      <c r="F128" t="s">
        <v>19</v>
      </c>
      <c r="G128" t="s">
        <v>20</v>
      </c>
      <c r="H128" t="s">
        <v>15</v>
      </c>
      <c r="I128">
        <v>1</v>
      </c>
      <c r="J128" t="s">
        <v>22</v>
      </c>
      <c r="K128" t="s">
        <v>17</v>
      </c>
      <c r="L128">
        <v>32</v>
      </c>
      <c r="M128" t="s">
        <v>18</v>
      </c>
    </row>
    <row r="129" spans="1:13" x14ac:dyDescent="0.25">
      <c r="A129">
        <v>12472</v>
      </c>
      <c r="B129" t="s">
        <v>34</v>
      </c>
      <c r="C129" t="s">
        <v>34</v>
      </c>
      <c r="D129" s="5">
        <v>30000</v>
      </c>
      <c r="E129">
        <v>1</v>
      </c>
      <c r="F129" t="s">
        <v>13</v>
      </c>
      <c r="G129" t="s">
        <v>20</v>
      </c>
      <c r="H129" t="s">
        <v>15</v>
      </c>
      <c r="I129">
        <v>1</v>
      </c>
      <c r="J129" t="s">
        <v>22</v>
      </c>
      <c r="K129" t="s">
        <v>17</v>
      </c>
      <c r="L129">
        <v>39</v>
      </c>
      <c r="M129" t="s">
        <v>18</v>
      </c>
    </row>
    <row r="130" spans="1:13" x14ac:dyDescent="0.25">
      <c r="A130">
        <v>20970</v>
      </c>
      <c r="B130" t="s">
        <v>35</v>
      </c>
      <c r="C130" t="s">
        <v>34</v>
      </c>
      <c r="D130" s="5">
        <v>10000</v>
      </c>
      <c r="E130">
        <v>2</v>
      </c>
      <c r="F130" t="s">
        <v>19</v>
      </c>
      <c r="G130" t="s">
        <v>25</v>
      </c>
      <c r="H130" t="s">
        <v>15</v>
      </c>
      <c r="I130">
        <v>1</v>
      </c>
      <c r="J130" t="s">
        <v>16</v>
      </c>
      <c r="K130" t="s">
        <v>17</v>
      </c>
      <c r="L130">
        <v>52</v>
      </c>
      <c r="M130" t="s">
        <v>15</v>
      </c>
    </row>
    <row r="131" spans="1:13" x14ac:dyDescent="0.25">
      <c r="A131">
        <v>26818</v>
      </c>
      <c r="B131" t="s">
        <v>35</v>
      </c>
      <c r="C131" t="s">
        <v>34</v>
      </c>
      <c r="D131" s="5">
        <v>10000</v>
      </c>
      <c r="E131">
        <v>3</v>
      </c>
      <c r="F131" t="s">
        <v>27</v>
      </c>
      <c r="G131" t="s">
        <v>25</v>
      </c>
      <c r="H131" t="s">
        <v>15</v>
      </c>
      <c r="I131">
        <v>1</v>
      </c>
      <c r="J131" t="s">
        <v>16</v>
      </c>
      <c r="K131" t="s">
        <v>17</v>
      </c>
      <c r="L131">
        <v>39</v>
      </c>
      <c r="M131" t="s">
        <v>15</v>
      </c>
    </row>
    <row r="132" spans="1:13" x14ac:dyDescent="0.25">
      <c r="A132">
        <v>12993</v>
      </c>
      <c r="B132" t="s">
        <v>34</v>
      </c>
      <c r="C132" t="s">
        <v>34</v>
      </c>
      <c r="D132" s="5">
        <v>60000</v>
      </c>
      <c r="E132">
        <v>2</v>
      </c>
      <c r="F132" t="s">
        <v>13</v>
      </c>
      <c r="G132" t="s">
        <v>21</v>
      </c>
      <c r="H132" t="s">
        <v>15</v>
      </c>
      <c r="I132">
        <v>1</v>
      </c>
      <c r="J132" t="s">
        <v>22</v>
      </c>
      <c r="K132" t="s">
        <v>24</v>
      </c>
      <c r="L132">
        <v>37</v>
      </c>
      <c r="M132" t="s">
        <v>18</v>
      </c>
    </row>
    <row r="133" spans="1:13" x14ac:dyDescent="0.25">
      <c r="A133">
        <v>14192</v>
      </c>
      <c r="B133" t="s">
        <v>34</v>
      </c>
      <c r="C133" t="s">
        <v>34</v>
      </c>
      <c r="D133" s="5">
        <v>90000</v>
      </c>
      <c r="E133">
        <v>4</v>
      </c>
      <c r="F133" t="s">
        <v>27</v>
      </c>
      <c r="G133" t="s">
        <v>28</v>
      </c>
      <c r="H133" t="s">
        <v>15</v>
      </c>
      <c r="I133">
        <v>3</v>
      </c>
      <c r="J133" t="s">
        <v>23</v>
      </c>
      <c r="K133" t="s">
        <v>17</v>
      </c>
      <c r="L133">
        <v>56</v>
      </c>
      <c r="M133" t="s">
        <v>15</v>
      </c>
    </row>
    <row r="134" spans="1:13" x14ac:dyDescent="0.25">
      <c r="A134">
        <v>19477</v>
      </c>
      <c r="B134" t="s">
        <v>34</v>
      </c>
      <c r="C134" t="s">
        <v>34</v>
      </c>
      <c r="D134" s="5">
        <v>40000</v>
      </c>
      <c r="E134">
        <v>0</v>
      </c>
      <c r="F134" t="s">
        <v>13</v>
      </c>
      <c r="G134" t="s">
        <v>21</v>
      </c>
      <c r="H134" t="s">
        <v>15</v>
      </c>
      <c r="I134">
        <v>0</v>
      </c>
      <c r="J134" t="s">
        <v>16</v>
      </c>
      <c r="K134" t="s">
        <v>17</v>
      </c>
      <c r="L134">
        <v>40</v>
      </c>
      <c r="M134" t="s">
        <v>15</v>
      </c>
    </row>
    <row r="135" spans="1:13" x14ac:dyDescent="0.25">
      <c r="A135">
        <v>26796</v>
      </c>
      <c r="B135" t="s">
        <v>35</v>
      </c>
      <c r="C135" t="s">
        <v>34</v>
      </c>
      <c r="D135" s="5">
        <v>40000</v>
      </c>
      <c r="E135">
        <v>2</v>
      </c>
      <c r="F135" t="s">
        <v>13</v>
      </c>
      <c r="G135" t="s">
        <v>28</v>
      </c>
      <c r="H135" t="s">
        <v>15</v>
      </c>
      <c r="I135">
        <v>2</v>
      </c>
      <c r="J135" t="s">
        <v>23</v>
      </c>
      <c r="K135" t="s">
        <v>24</v>
      </c>
      <c r="L135">
        <v>65</v>
      </c>
      <c r="M135" t="s">
        <v>15</v>
      </c>
    </row>
    <row r="136" spans="1:13" x14ac:dyDescent="0.25">
      <c r="A136">
        <v>21094</v>
      </c>
      <c r="B136" t="s">
        <v>35</v>
      </c>
      <c r="C136" t="s">
        <v>33</v>
      </c>
      <c r="D136" s="5">
        <v>30000</v>
      </c>
      <c r="E136">
        <v>2</v>
      </c>
      <c r="F136" t="s">
        <v>19</v>
      </c>
      <c r="G136" t="s">
        <v>20</v>
      </c>
      <c r="H136" t="s">
        <v>15</v>
      </c>
      <c r="I136">
        <v>2</v>
      </c>
      <c r="J136" t="s">
        <v>16</v>
      </c>
      <c r="K136" t="s">
        <v>17</v>
      </c>
      <c r="L136">
        <v>42</v>
      </c>
      <c r="M136" t="s">
        <v>18</v>
      </c>
    </row>
    <row r="137" spans="1:13" x14ac:dyDescent="0.25">
      <c r="A137">
        <v>12234</v>
      </c>
      <c r="B137" t="s">
        <v>34</v>
      </c>
      <c r="C137" t="s">
        <v>34</v>
      </c>
      <c r="D137" s="5">
        <v>10000</v>
      </c>
      <c r="E137">
        <v>2</v>
      </c>
      <c r="F137" t="s">
        <v>19</v>
      </c>
      <c r="G137" t="s">
        <v>25</v>
      </c>
      <c r="H137" t="s">
        <v>15</v>
      </c>
      <c r="I137">
        <v>1</v>
      </c>
      <c r="J137" t="s">
        <v>22</v>
      </c>
      <c r="K137" t="s">
        <v>17</v>
      </c>
      <c r="L137">
        <v>52</v>
      </c>
      <c r="M137" t="s">
        <v>18</v>
      </c>
    </row>
    <row r="138" spans="1:13" x14ac:dyDescent="0.25">
      <c r="A138">
        <v>28683</v>
      </c>
      <c r="B138" t="s">
        <v>35</v>
      </c>
      <c r="C138" t="s">
        <v>33</v>
      </c>
      <c r="D138" s="5">
        <v>10000</v>
      </c>
      <c r="E138">
        <v>1</v>
      </c>
      <c r="F138" t="s">
        <v>27</v>
      </c>
      <c r="G138" t="s">
        <v>25</v>
      </c>
      <c r="H138" t="s">
        <v>18</v>
      </c>
      <c r="I138">
        <v>1</v>
      </c>
      <c r="J138" t="s">
        <v>23</v>
      </c>
      <c r="K138" t="s">
        <v>17</v>
      </c>
      <c r="L138">
        <v>35</v>
      </c>
      <c r="M138" t="s">
        <v>15</v>
      </c>
    </row>
    <row r="139" spans="1:13" x14ac:dyDescent="0.25">
      <c r="A139">
        <v>17994</v>
      </c>
      <c r="B139" t="s">
        <v>35</v>
      </c>
      <c r="C139" t="s">
        <v>34</v>
      </c>
      <c r="D139" s="5">
        <v>20000</v>
      </c>
      <c r="E139">
        <v>2</v>
      </c>
      <c r="F139" t="s">
        <v>27</v>
      </c>
      <c r="G139" t="s">
        <v>25</v>
      </c>
      <c r="H139" t="s">
        <v>15</v>
      </c>
      <c r="I139">
        <v>2</v>
      </c>
      <c r="J139" t="s">
        <v>16</v>
      </c>
      <c r="K139" t="s">
        <v>17</v>
      </c>
      <c r="L139">
        <v>42</v>
      </c>
      <c r="M139" t="s">
        <v>18</v>
      </c>
    </row>
    <row r="140" spans="1:13" x14ac:dyDescent="0.25">
      <c r="A140">
        <v>24273</v>
      </c>
      <c r="B140" t="s">
        <v>34</v>
      </c>
      <c r="C140" t="s">
        <v>33</v>
      </c>
      <c r="D140" s="5">
        <v>20000</v>
      </c>
      <c r="E140">
        <v>2</v>
      </c>
      <c r="F140" t="s">
        <v>29</v>
      </c>
      <c r="G140" t="s">
        <v>20</v>
      </c>
      <c r="H140" t="s">
        <v>15</v>
      </c>
      <c r="I140">
        <v>2</v>
      </c>
      <c r="J140" t="s">
        <v>23</v>
      </c>
      <c r="K140" t="s">
        <v>24</v>
      </c>
      <c r="L140">
        <v>55</v>
      </c>
      <c r="M140" t="s">
        <v>15</v>
      </c>
    </row>
    <row r="141" spans="1:13" x14ac:dyDescent="0.25">
      <c r="A141">
        <v>26547</v>
      </c>
      <c r="B141" t="s">
        <v>35</v>
      </c>
      <c r="C141" t="s">
        <v>33</v>
      </c>
      <c r="D141" s="5">
        <v>30000</v>
      </c>
      <c r="E141">
        <v>2</v>
      </c>
      <c r="F141" t="s">
        <v>19</v>
      </c>
      <c r="G141" t="s">
        <v>20</v>
      </c>
      <c r="H141" t="s">
        <v>18</v>
      </c>
      <c r="I141">
        <v>2</v>
      </c>
      <c r="J141" t="s">
        <v>23</v>
      </c>
      <c r="K141" t="s">
        <v>24</v>
      </c>
      <c r="L141">
        <v>60</v>
      </c>
      <c r="M141" t="s">
        <v>15</v>
      </c>
    </row>
    <row r="142" spans="1:13" x14ac:dyDescent="0.25">
      <c r="A142">
        <v>22500</v>
      </c>
      <c r="B142" t="s">
        <v>35</v>
      </c>
      <c r="C142" t="s">
        <v>34</v>
      </c>
      <c r="D142" s="5">
        <v>40000</v>
      </c>
      <c r="E142">
        <v>0</v>
      </c>
      <c r="F142" t="s">
        <v>13</v>
      </c>
      <c r="G142" t="s">
        <v>21</v>
      </c>
      <c r="H142" t="s">
        <v>18</v>
      </c>
      <c r="I142">
        <v>0</v>
      </c>
      <c r="J142" t="s">
        <v>16</v>
      </c>
      <c r="K142" t="s">
        <v>17</v>
      </c>
      <c r="L142">
        <v>40</v>
      </c>
      <c r="M142" t="s">
        <v>15</v>
      </c>
    </row>
    <row r="143" spans="1:13" x14ac:dyDescent="0.25">
      <c r="A143">
        <v>23993</v>
      </c>
      <c r="B143" t="s">
        <v>35</v>
      </c>
      <c r="C143" t="s">
        <v>33</v>
      </c>
      <c r="D143" s="5">
        <v>10000</v>
      </c>
      <c r="E143">
        <v>0</v>
      </c>
      <c r="F143" t="s">
        <v>19</v>
      </c>
      <c r="G143" t="s">
        <v>25</v>
      </c>
      <c r="H143" t="s">
        <v>18</v>
      </c>
      <c r="I143">
        <v>1</v>
      </c>
      <c r="J143" t="s">
        <v>16</v>
      </c>
      <c r="K143" t="s">
        <v>24</v>
      </c>
      <c r="L143">
        <v>26</v>
      </c>
      <c r="M143" t="s">
        <v>15</v>
      </c>
    </row>
    <row r="144" spans="1:13" x14ac:dyDescent="0.25">
      <c r="A144">
        <v>14832</v>
      </c>
      <c r="B144" t="s">
        <v>34</v>
      </c>
      <c r="C144" t="s">
        <v>34</v>
      </c>
      <c r="D144" s="5">
        <v>40000</v>
      </c>
      <c r="E144">
        <v>1</v>
      </c>
      <c r="F144" t="s">
        <v>13</v>
      </c>
      <c r="G144" t="s">
        <v>14</v>
      </c>
      <c r="H144" t="s">
        <v>15</v>
      </c>
      <c r="I144">
        <v>0</v>
      </c>
      <c r="J144" t="s">
        <v>16</v>
      </c>
      <c r="K144" t="s">
        <v>17</v>
      </c>
      <c r="L144">
        <v>42</v>
      </c>
      <c r="M144" t="s">
        <v>15</v>
      </c>
    </row>
    <row r="145" spans="1:13" x14ac:dyDescent="0.25">
      <c r="A145">
        <v>16614</v>
      </c>
      <c r="B145" t="s">
        <v>34</v>
      </c>
      <c r="C145" t="s">
        <v>33</v>
      </c>
      <c r="D145" s="5">
        <v>80000</v>
      </c>
      <c r="E145">
        <v>0</v>
      </c>
      <c r="F145" t="s">
        <v>13</v>
      </c>
      <c r="G145" t="s">
        <v>21</v>
      </c>
      <c r="H145" t="s">
        <v>15</v>
      </c>
      <c r="I145">
        <v>3</v>
      </c>
      <c r="J145" t="s">
        <v>30</v>
      </c>
      <c r="K145" t="s">
        <v>24</v>
      </c>
      <c r="L145">
        <v>32</v>
      </c>
      <c r="M145" t="s">
        <v>18</v>
      </c>
    </row>
    <row r="146" spans="1:13" x14ac:dyDescent="0.25">
      <c r="A146">
        <v>20877</v>
      </c>
      <c r="B146" t="s">
        <v>35</v>
      </c>
      <c r="C146" t="s">
        <v>34</v>
      </c>
      <c r="D146" s="5">
        <v>30000</v>
      </c>
      <c r="E146">
        <v>1</v>
      </c>
      <c r="F146" t="s">
        <v>13</v>
      </c>
      <c r="G146" t="s">
        <v>20</v>
      </c>
      <c r="H146" t="s">
        <v>15</v>
      </c>
      <c r="I146">
        <v>0</v>
      </c>
      <c r="J146" t="s">
        <v>26</v>
      </c>
      <c r="K146" t="s">
        <v>17</v>
      </c>
      <c r="L146">
        <v>37</v>
      </c>
      <c r="M146" t="s">
        <v>15</v>
      </c>
    </row>
    <row r="147" spans="1:13" x14ac:dyDescent="0.25">
      <c r="A147">
        <v>20729</v>
      </c>
      <c r="B147" t="s">
        <v>34</v>
      </c>
      <c r="C147" t="s">
        <v>33</v>
      </c>
      <c r="D147" s="5">
        <v>40000</v>
      </c>
      <c r="E147">
        <v>2</v>
      </c>
      <c r="F147" t="s">
        <v>19</v>
      </c>
      <c r="G147" t="s">
        <v>20</v>
      </c>
      <c r="H147" t="s">
        <v>18</v>
      </c>
      <c r="I147">
        <v>1</v>
      </c>
      <c r="J147" t="s">
        <v>16</v>
      </c>
      <c r="K147" t="s">
        <v>17</v>
      </c>
      <c r="L147">
        <v>34</v>
      </c>
      <c r="M147" t="s">
        <v>18</v>
      </c>
    </row>
    <row r="148" spans="1:13" x14ac:dyDescent="0.25">
      <c r="A148">
        <v>22464</v>
      </c>
      <c r="B148" t="s">
        <v>34</v>
      </c>
      <c r="C148" t="s">
        <v>34</v>
      </c>
      <c r="D148" s="5">
        <v>40000</v>
      </c>
      <c r="E148">
        <v>0</v>
      </c>
      <c r="F148" t="s">
        <v>31</v>
      </c>
      <c r="G148" t="s">
        <v>20</v>
      </c>
      <c r="H148" t="s">
        <v>15</v>
      </c>
      <c r="I148">
        <v>0</v>
      </c>
      <c r="J148" t="s">
        <v>16</v>
      </c>
      <c r="K148" t="s">
        <v>17</v>
      </c>
      <c r="L148">
        <v>37</v>
      </c>
      <c r="M148" t="s">
        <v>15</v>
      </c>
    </row>
    <row r="149" spans="1:13" x14ac:dyDescent="0.25">
      <c r="A149">
        <v>19475</v>
      </c>
      <c r="B149" t="s">
        <v>34</v>
      </c>
      <c r="C149" t="s">
        <v>33</v>
      </c>
      <c r="D149" s="5">
        <v>40000</v>
      </c>
      <c r="E149">
        <v>0</v>
      </c>
      <c r="F149" t="s">
        <v>13</v>
      </c>
      <c r="G149" t="s">
        <v>21</v>
      </c>
      <c r="H149" t="s">
        <v>18</v>
      </c>
      <c r="I149">
        <v>0</v>
      </c>
      <c r="J149" t="s">
        <v>16</v>
      </c>
      <c r="K149" t="s">
        <v>17</v>
      </c>
      <c r="L149">
        <v>40</v>
      </c>
      <c r="M149" t="s">
        <v>15</v>
      </c>
    </row>
    <row r="150" spans="1:13" x14ac:dyDescent="0.25">
      <c r="A150">
        <v>19675</v>
      </c>
      <c r="B150" t="s">
        <v>34</v>
      </c>
      <c r="C150" t="s">
        <v>34</v>
      </c>
      <c r="D150" s="5">
        <v>20000</v>
      </c>
      <c r="E150">
        <v>4</v>
      </c>
      <c r="F150" t="s">
        <v>27</v>
      </c>
      <c r="G150" t="s">
        <v>14</v>
      </c>
      <c r="H150" t="s">
        <v>15</v>
      </c>
      <c r="I150">
        <v>2</v>
      </c>
      <c r="J150" t="s">
        <v>23</v>
      </c>
      <c r="K150" t="s">
        <v>24</v>
      </c>
      <c r="L150">
        <v>60</v>
      </c>
      <c r="M150" t="s">
        <v>18</v>
      </c>
    </row>
    <row r="151" spans="1:13" x14ac:dyDescent="0.25">
      <c r="A151">
        <v>12728</v>
      </c>
      <c r="B151" t="s">
        <v>35</v>
      </c>
      <c r="C151" t="s">
        <v>34</v>
      </c>
      <c r="D151" s="5">
        <v>30000</v>
      </c>
      <c r="E151">
        <v>0</v>
      </c>
      <c r="F151" t="s">
        <v>19</v>
      </c>
      <c r="G151" t="s">
        <v>20</v>
      </c>
      <c r="H151" t="s">
        <v>18</v>
      </c>
      <c r="I151">
        <v>1</v>
      </c>
      <c r="J151" t="s">
        <v>26</v>
      </c>
      <c r="K151" t="s">
        <v>17</v>
      </c>
      <c r="L151">
        <v>27</v>
      </c>
      <c r="M151" t="s">
        <v>18</v>
      </c>
    </row>
    <row r="152" spans="1:13" x14ac:dyDescent="0.25">
      <c r="A152">
        <v>26154</v>
      </c>
      <c r="B152" t="s">
        <v>34</v>
      </c>
      <c r="C152" t="s">
        <v>34</v>
      </c>
      <c r="D152" s="5">
        <v>60000</v>
      </c>
      <c r="E152">
        <v>1</v>
      </c>
      <c r="F152" t="s">
        <v>19</v>
      </c>
      <c r="G152" t="s">
        <v>14</v>
      </c>
      <c r="H152" t="s">
        <v>15</v>
      </c>
      <c r="I152">
        <v>1</v>
      </c>
      <c r="J152" t="s">
        <v>23</v>
      </c>
      <c r="K152" t="s">
        <v>24</v>
      </c>
      <c r="L152">
        <v>43</v>
      </c>
      <c r="M152" t="s">
        <v>15</v>
      </c>
    </row>
    <row r="153" spans="1:13" x14ac:dyDescent="0.25">
      <c r="A153">
        <v>29117</v>
      </c>
      <c r="B153" t="s">
        <v>35</v>
      </c>
      <c r="C153" t="s">
        <v>34</v>
      </c>
      <c r="D153" s="5">
        <v>100000</v>
      </c>
      <c r="E153">
        <v>1</v>
      </c>
      <c r="F153" t="s">
        <v>13</v>
      </c>
      <c r="G153" t="s">
        <v>28</v>
      </c>
      <c r="H153" t="s">
        <v>18</v>
      </c>
      <c r="I153">
        <v>3</v>
      </c>
      <c r="J153" t="s">
        <v>16</v>
      </c>
      <c r="K153" t="s">
        <v>24</v>
      </c>
      <c r="L153">
        <v>48</v>
      </c>
      <c r="M153" t="s">
        <v>18</v>
      </c>
    </row>
    <row r="154" spans="1:13" x14ac:dyDescent="0.25">
      <c r="A154">
        <v>17845</v>
      </c>
      <c r="B154" t="s">
        <v>35</v>
      </c>
      <c r="C154" t="s">
        <v>33</v>
      </c>
      <c r="D154" s="5">
        <v>20000</v>
      </c>
      <c r="E154">
        <v>0</v>
      </c>
      <c r="F154" t="s">
        <v>29</v>
      </c>
      <c r="G154" t="s">
        <v>25</v>
      </c>
      <c r="H154" t="s">
        <v>18</v>
      </c>
      <c r="I154">
        <v>2</v>
      </c>
      <c r="J154" t="s">
        <v>26</v>
      </c>
      <c r="K154" t="s">
        <v>17</v>
      </c>
      <c r="L154">
        <v>32</v>
      </c>
      <c r="M154" t="s">
        <v>18</v>
      </c>
    </row>
    <row r="155" spans="1:13" x14ac:dyDescent="0.25">
      <c r="A155">
        <v>25058</v>
      </c>
      <c r="B155" t="s">
        <v>34</v>
      </c>
      <c r="C155" t="s">
        <v>34</v>
      </c>
      <c r="D155" s="5">
        <v>100000</v>
      </c>
      <c r="E155">
        <v>1</v>
      </c>
      <c r="F155" t="s">
        <v>13</v>
      </c>
      <c r="G155" t="s">
        <v>28</v>
      </c>
      <c r="H155" t="s">
        <v>15</v>
      </c>
      <c r="I155">
        <v>3</v>
      </c>
      <c r="J155" t="s">
        <v>22</v>
      </c>
      <c r="K155" t="s">
        <v>24</v>
      </c>
      <c r="L155">
        <v>47</v>
      </c>
      <c r="M155" t="s">
        <v>18</v>
      </c>
    </row>
    <row r="156" spans="1:13" x14ac:dyDescent="0.25">
      <c r="A156">
        <v>23426</v>
      </c>
      <c r="B156" t="s">
        <v>35</v>
      </c>
      <c r="C156" t="s">
        <v>34</v>
      </c>
      <c r="D156" s="5">
        <v>80000</v>
      </c>
      <c r="E156">
        <v>5</v>
      </c>
      <c r="F156" t="s">
        <v>31</v>
      </c>
      <c r="G156" t="s">
        <v>28</v>
      </c>
      <c r="H156" t="s">
        <v>15</v>
      </c>
      <c r="I156">
        <v>3</v>
      </c>
      <c r="J156" t="s">
        <v>16</v>
      </c>
      <c r="K156" t="s">
        <v>24</v>
      </c>
      <c r="L156">
        <v>40</v>
      </c>
      <c r="M156" t="s">
        <v>18</v>
      </c>
    </row>
    <row r="157" spans="1:13" x14ac:dyDescent="0.25">
      <c r="A157">
        <v>14798</v>
      </c>
      <c r="B157" t="s">
        <v>35</v>
      </c>
      <c r="C157" t="s">
        <v>33</v>
      </c>
      <c r="D157" s="5">
        <v>10000</v>
      </c>
      <c r="E157">
        <v>4</v>
      </c>
      <c r="F157" t="s">
        <v>29</v>
      </c>
      <c r="G157" t="s">
        <v>25</v>
      </c>
      <c r="H157" t="s">
        <v>15</v>
      </c>
      <c r="I157">
        <v>2</v>
      </c>
      <c r="J157" t="s">
        <v>16</v>
      </c>
      <c r="K157" t="s">
        <v>17</v>
      </c>
      <c r="L157">
        <v>41</v>
      </c>
      <c r="M157" t="s">
        <v>15</v>
      </c>
    </row>
    <row r="158" spans="1:13" x14ac:dyDescent="0.25">
      <c r="A158">
        <v>12664</v>
      </c>
      <c r="B158" t="s">
        <v>34</v>
      </c>
      <c r="C158" t="s">
        <v>33</v>
      </c>
      <c r="D158" s="5">
        <v>130000</v>
      </c>
      <c r="E158">
        <v>5</v>
      </c>
      <c r="F158" t="s">
        <v>19</v>
      </c>
      <c r="G158" t="s">
        <v>21</v>
      </c>
      <c r="H158" t="s">
        <v>15</v>
      </c>
      <c r="I158">
        <v>4</v>
      </c>
      <c r="J158" t="s">
        <v>16</v>
      </c>
      <c r="K158" t="s">
        <v>17</v>
      </c>
      <c r="L158">
        <v>59</v>
      </c>
      <c r="M158" t="s">
        <v>18</v>
      </c>
    </row>
    <row r="159" spans="1:13" x14ac:dyDescent="0.25">
      <c r="A159">
        <v>23979</v>
      </c>
      <c r="B159" t="s">
        <v>35</v>
      </c>
      <c r="C159" t="s">
        <v>34</v>
      </c>
      <c r="D159" s="5">
        <v>10000</v>
      </c>
      <c r="E159">
        <v>2</v>
      </c>
      <c r="F159" t="s">
        <v>19</v>
      </c>
      <c r="G159" t="s">
        <v>25</v>
      </c>
      <c r="H159" t="s">
        <v>18</v>
      </c>
      <c r="I159">
        <v>0</v>
      </c>
      <c r="J159" t="s">
        <v>16</v>
      </c>
      <c r="K159" t="s">
        <v>17</v>
      </c>
      <c r="L159">
        <v>50</v>
      </c>
      <c r="M159" t="s">
        <v>18</v>
      </c>
    </row>
    <row r="160" spans="1:13" x14ac:dyDescent="0.25">
      <c r="A160">
        <v>25605</v>
      </c>
      <c r="B160" t="s">
        <v>35</v>
      </c>
      <c r="C160" t="s">
        <v>33</v>
      </c>
      <c r="D160" s="5">
        <v>20000</v>
      </c>
      <c r="E160">
        <v>2</v>
      </c>
      <c r="F160" t="s">
        <v>19</v>
      </c>
      <c r="G160" t="s">
        <v>25</v>
      </c>
      <c r="H160" t="s">
        <v>18</v>
      </c>
      <c r="I160">
        <v>1</v>
      </c>
      <c r="J160" t="s">
        <v>16</v>
      </c>
      <c r="K160" t="s">
        <v>17</v>
      </c>
      <c r="L160">
        <v>54</v>
      </c>
      <c r="M160" t="s">
        <v>15</v>
      </c>
    </row>
    <row r="161" spans="1:13" x14ac:dyDescent="0.25">
      <c r="A161">
        <v>20797</v>
      </c>
      <c r="B161" t="s">
        <v>34</v>
      </c>
      <c r="C161" t="s">
        <v>33</v>
      </c>
      <c r="D161" s="5">
        <v>10000</v>
      </c>
      <c r="E161">
        <v>1</v>
      </c>
      <c r="F161" t="s">
        <v>13</v>
      </c>
      <c r="G161" t="s">
        <v>25</v>
      </c>
      <c r="H161" t="s">
        <v>15</v>
      </c>
      <c r="I161">
        <v>0</v>
      </c>
      <c r="J161" t="s">
        <v>16</v>
      </c>
      <c r="K161" t="s">
        <v>17</v>
      </c>
      <c r="L161">
        <v>48</v>
      </c>
      <c r="M161" t="s">
        <v>18</v>
      </c>
    </row>
    <row r="162" spans="1:13" x14ac:dyDescent="0.25">
      <c r="A162">
        <v>21980</v>
      </c>
      <c r="B162" t="s">
        <v>35</v>
      </c>
      <c r="C162" t="s">
        <v>33</v>
      </c>
      <c r="D162" s="5">
        <v>60000</v>
      </c>
      <c r="E162">
        <v>1</v>
      </c>
      <c r="F162" t="s">
        <v>13</v>
      </c>
      <c r="G162" t="s">
        <v>21</v>
      </c>
      <c r="H162" t="s">
        <v>15</v>
      </c>
      <c r="I162">
        <v>1</v>
      </c>
      <c r="J162" t="s">
        <v>23</v>
      </c>
      <c r="K162" t="s">
        <v>24</v>
      </c>
      <c r="L162">
        <v>44</v>
      </c>
      <c r="M162" t="s">
        <v>15</v>
      </c>
    </row>
    <row r="163" spans="1:13" x14ac:dyDescent="0.25">
      <c r="A163">
        <v>25460</v>
      </c>
      <c r="B163" t="s">
        <v>34</v>
      </c>
      <c r="C163" t="s">
        <v>33</v>
      </c>
      <c r="D163" s="5">
        <v>20000</v>
      </c>
      <c r="E163">
        <v>2</v>
      </c>
      <c r="F163" t="s">
        <v>27</v>
      </c>
      <c r="G163" t="s">
        <v>25</v>
      </c>
      <c r="H163" t="s">
        <v>15</v>
      </c>
      <c r="I163">
        <v>0</v>
      </c>
      <c r="J163" t="s">
        <v>16</v>
      </c>
      <c r="K163" t="s">
        <v>17</v>
      </c>
      <c r="L163">
        <v>40</v>
      </c>
      <c r="M163" t="s">
        <v>15</v>
      </c>
    </row>
    <row r="164" spans="1:13" x14ac:dyDescent="0.25">
      <c r="A164">
        <v>29181</v>
      </c>
      <c r="B164" t="s">
        <v>35</v>
      </c>
      <c r="C164" t="s">
        <v>33</v>
      </c>
      <c r="D164" s="5">
        <v>60000</v>
      </c>
      <c r="E164">
        <v>2</v>
      </c>
      <c r="F164" t="s">
        <v>13</v>
      </c>
      <c r="G164" t="s">
        <v>21</v>
      </c>
      <c r="H164" t="s">
        <v>18</v>
      </c>
      <c r="I164">
        <v>1</v>
      </c>
      <c r="J164" t="s">
        <v>16</v>
      </c>
      <c r="K164" t="s">
        <v>24</v>
      </c>
      <c r="L164">
        <v>38</v>
      </c>
      <c r="M164" t="s">
        <v>15</v>
      </c>
    </row>
    <row r="165" spans="1:13" x14ac:dyDescent="0.25">
      <c r="A165">
        <v>24279</v>
      </c>
      <c r="B165" t="s">
        <v>35</v>
      </c>
      <c r="C165" t="s">
        <v>34</v>
      </c>
      <c r="D165" s="5">
        <v>40000</v>
      </c>
      <c r="E165">
        <v>2</v>
      </c>
      <c r="F165" t="s">
        <v>19</v>
      </c>
      <c r="G165" t="s">
        <v>14</v>
      </c>
      <c r="H165" t="s">
        <v>18</v>
      </c>
      <c r="I165">
        <v>2</v>
      </c>
      <c r="J165" t="s">
        <v>26</v>
      </c>
      <c r="K165" t="s">
        <v>24</v>
      </c>
      <c r="L165">
        <v>52</v>
      </c>
      <c r="M165" t="s">
        <v>18</v>
      </c>
    </row>
    <row r="166" spans="1:13" x14ac:dyDescent="0.25">
      <c r="A166">
        <v>22402</v>
      </c>
      <c r="B166" t="s">
        <v>34</v>
      </c>
      <c r="C166" t="s">
        <v>34</v>
      </c>
      <c r="D166" s="5">
        <v>10000</v>
      </c>
      <c r="E166">
        <v>0</v>
      </c>
      <c r="F166" t="s">
        <v>19</v>
      </c>
      <c r="G166" t="s">
        <v>25</v>
      </c>
      <c r="H166" t="s">
        <v>15</v>
      </c>
      <c r="I166">
        <v>1</v>
      </c>
      <c r="J166" t="s">
        <v>22</v>
      </c>
      <c r="K166" t="s">
        <v>24</v>
      </c>
      <c r="L166">
        <v>25</v>
      </c>
      <c r="M166" t="s">
        <v>15</v>
      </c>
    </row>
    <row r="167" spans="1:13" x14ac:dyDescent="0.25">
      <c r="A167">
        <v>15465</v>
      </c>
      <c r="B167" t="s">
        <v>34</v>
      </c>
      <c r="C167" t="s">
        <v>33</v>
      </c>
      <c r="D167" s="5">
        <v>10000</v>
      </c>
      <c r="E167">
        <v>0</v>
      </c>
      <c r="F167" t="s">
        <v>19</v>
      </c>
      <c r="G167" t="s">
        <v>25</v>
      </c>
      <c r="H167" t="s">
        <v>18</v>
      </c>
      <c r="I167">
        <v>1</v>
      </c>
      <c r="J167" t="s">
        <v>16</v>
      </c>
      <c r="K167" t="s">
        <v>24</v>
      </c>
      <c r="L167">
        <v>25</v>
      </c>
      <c r="M167" t="s">
        <v>18</v>
      </c>
    </row>
    <row r="168" spans="1:13" x14ac:dyDescent="0.25">
      <c r="A168">
        <v>26757</v>
      </c>
      <c r="B168" t="s">
        <v>35</v>
      </c>
      <c r="C168" t="s">
        <v>34</v>
      </c>
      <c r="D168" s="5">
        <v>90000</v>
      </c>
      <c r="E168">
        <v>1</v>
      </c>
      <c r="F168" t="s">
        <v>13</v>
      </c>
      <c r="G168" t="s">
        <v>21</v>
      </c>
      <c r="H168" t="s">
        <v>15</v>
      </c>
      <c r="I168">
        <v>1</v>
      </c>
      <c r="J168" t="s">
        <v>22</v>
      </c>
      <c r="K168" t="s">
        <v>24</v>
      </c>
      <c r="L168">
        <v>47</v>
      </c>
      <c r="M168" t="s">
        <v>15</v>
      </c>
    </row>
    <row r="169" spans="1:13" x14ac:dyDescent="0.25">
      <c r="A169">
        <v>14233</v>
      </c>
      <c r="B169" t="s">
        <v>35</v>
      </c>
      <c r="C169" t="s">
        <v>34</v>
      </c>
      <c r="D169" s="5">
        <v>100000</v>
      </c>
      <c r="E169">
        <v>0</v>
      </c>
      <c r="F169" t="s">
        <v>27</v>
      </c>
      <c r="G169" t="s">
        <v>28</v>
      </c>
      <c r="H169" t="s">
        <v>15</v>
      </c>
      <c r="I169">
        <v>3</v>
      </c>
      <c r="J169" t="s">
        <v>30</v>
      </c>
      <c r="K169" t="s">
        <v>24</v>
      </c>
      <c r="L169">
        <v>35</v>
      </c>
      <c r="M169" t="s">
        <v>18</v>
      </c>
    </row>
    <row r="170" spans="1:13" x14ac:dyDescent="0.25">
      <c r="A170">
        <v>14058</v>
      </c>
      <c r="B170" t="s">
        <v>35</v>
      </c>
      <c r="C170" t="s">
        <v>34</v>
      </c>
      <c r="D170" s="5">
        <v>70000</v>
      </c>
      <c r="E170">
        <v>0</v>
      </c>
      <c r="F170" t="s">
        <v>13</v>
      </c>
      <c r="G170" t="s">
        <v>21</v>
      </c>
      <c r="H170" t="s">
        <v>18</v>
      </c>
      <c r="I170">
        <v>1</v>
      </c>
      <c r="J170" t="s">
        <v>23</v>
      </c>
      <c r="K170" t="s">
        <v>24</v>
      </c>
      <c r="L170">
        <v>41</v>
      </c>
      <c r="M170" t="s">
        <v>15</v>
      </c>
    </row>
    <row r="171" spans="1:13" x14ac:dyDescent="0.25">
      <c r="A171">
        <v>12273</v>
      </c>
      <c r="B171" t="s">
        <v>34</v>
      </c>
      <c r="C171" t="s">
        <v>34</v>
      </c>
      <c r="D171" s="5">
        <v>30000</v>
      </c>
      <c r="E171">
        <v>1</v>
      </c>
      <c r="F171" t="s">
        <v>13</v>
      </c>
      <c r="G171" t="s">
        <v>20</v>
      </c>
      <c r="H171" t="s">
        <v>15</v>
      </c>
      <c r="I171">
        <v>0</v>
      </c>
      <c r="J171" t="s">
        <v>16</v>
      </c>
      <c r="K171" t="s">
        <v>17</v>
      </c>
      <c r="L171">
        <v>47</v>
      </c>
      <c r="M171" t="s">
        <v>18</v>
      </c>
    </row>
    <row r="172" spans="1:13" x14ac:dyDescent="0.25">
      <c r="A172">
        <v>17203</v>
      </c>
      <c r="B172" t="s">
        <v>34</v>
      </c>
      <c r="C172" t="s">
        <v>33</v>
      </c>
      <c r="D172" s="5">
        <v>130000</v>
      </c>
      <c r="E172">
        <v>4</v>
      </c>
      <c r="F172" t="s">
        <v>19</v>
      </c>
      <c r="G172" t="s">
        <v>21</v>
      </c>
      <c r="H172" t="s">
        <v>15</v>
      </c>
      <c r="I172">
        <v>4</v>
      </c>
      <c r="J172" t="s">
        <v>23</v>
      </c>
      <c r="K172" t="s">
        <v>17</v>
      </c>
      <c r="L172">
        <v>61</v>
      </c>
      <c r="M172" t="s">
        <v>15</v>
      </c>
    </row>
    <row r="173" spans="1:13" x14ac:dyDescent="0.25">
      <c r="A173">
        <v>18144</v>
      </c>
      <c r="B173" t="s">
        <v>34</v>
      </c>
      <c r="C173" t="s">
        <v>33</v>
      </c>
      <c r="D173" s="5">
        <v>80000</v>
      </c>
      <c r="E173">
        <v>5</v>
      </c>
      <c r="F173" t="s">
        <v>13</v>
      </c>
      <c r="G173" t="s">
        <v>28</v>
      </c>
      <c r="H173" t="s">
        <v>15</v>
      </c>
      <c r="I173">
        <v>2</v>
      </c>
      <c r="J173" t="s">
        <v>22</v>
      </c>
      <c r="K173" t="s">
        <v>17</v>
      </c>
      <c r="L173">
        <v>61</v>
      </c>
      <c r="M173" t="s">
        <v>18</v>
      </c>
    </row>
    <row r="174" spans="1:13" x14ac:dyDescent="0.25">
      <c r="A174">
        <v>23963</v>
      </c>
      <c r="B174" t="s">
        <v>34</v>
      </c>
      <c r="C174" t="s">
        <v>34</v>
      </c>
      <c r="D174" s="5">
        <v>10000</v>
      </c>
      <c r="E174">
        <v>0</v>
      </c>
      <c r="F174" t="s">
        <v>29</v>
      </c>
      <c r="G174" t="s">
        <v>25</v>
      </c>
      <c r="H174" t="s">
        <v>18</v>
      </c>
      <c r="I174">
        <v>2</v>
      </c>
      <c r="J174" t="s">
        <v>16</v>
      </c>
      <c r="K174" t="s">
        <v>17</v>
      </c>
      <c r="L174">
        <v>33</v>
      </c>
      <c r="M174" t="s">
        <v>18</v>
      </c>
    </row>
    <row r="175" spans="1:13" x14ac:dyDescent="0.25">
      <c r="A175">
        <v>17907</v>
      </c>
      <c r="B175" t="s">
        <v>34</v>
      </c>
      <c r="C175" t="s">
        <v>33</v>
      </c>
      <c r="D175" s="5">
        <v>10000</v>
      </c>
      <c r="E175">
        <v>0</v>
      </c>
      <c r="F175" t="s">
        <v>19</v>
      </c>
      <c r="G175" t="s">
        <v>25</v>
      </c>
      <c r="H175" t="s">
        <v>15</v>
      </c>
      <c r="I175">
        <v>1</v>
      </c>
      <c r="J175" t="s">
        <v>22</v>
      </c>
      <c r="K175" t="s">
        <v>24</v>
      </c>
      <c r="L175">
        <v>27</v>
      </c>
      <c r="M175" t="s">
        <v>18</v>
      </c>
    </row>
    <row r="176" spans="1:13" x14ac:dyDescent="0.25">
      <c r="A176">
        <v>19442</v>
      </c>
      <c r="B176" t="s">
        <v>35</v>
      </c>
      <c r="C176" t="s">
        <v>34</v>
      </c>
      <c r="D176" s="5">
        <v>50000</v>
      </c>
      <c r="E176">
        <v>0</v>
      </c>
      <c r="F176" t="s">
        <v>31</v>
      </c>
      <c r="G176" t="s">
        <v>14</v>
      </c>
      <c r="H176" t="s">
        <v>15</v>
      </c>
      <c r="I176">
        <v>0</v>
      </c>
      <c r="J176" t="s">
        <v>16</v>
      </c>
      <c r="K176" t="s">
        <v>17</v>
      </c>
      <c r="L176">
        <v>37</v>
      </c>
      <c r="M176" t="s">
        <v>15</v>
      </c>
    </row>
    <row r="177" spans="1:13" x14ac:dyDescent="0.25">
      <c r="A177">
        <v>17504</v>
      </c>
      <c r="B177" t="s">
        <v>35</v>
      </c>
      <c r="C177" t="s">
        <v>33</v>
      </c>
      <c r="D177" s="5">
        <v>80000</v>
      </c>
      <c r="E177">
        <v>2</v>
      </c>
      <c r="F177" t="s">
        <v>19</v>
      </c>
      <c r="G177" t="s">
        <v>14</v>
      </c>
      <c r="H177" t="s">
        <v>15</v>
      </c>
      <c r="I177">
        <v>2</v>
      </c>
      <c r="J177" t="s">
        <v>23</v>
      </c>
      <c r="K177" t="s">
        <v>24</v>
      </c>
      <c r="L177">
        <v>52</v>
      </c>
      <c r="M177" t="s">
        <v>15</v>
      </c>
    </row>
    <row r="178" spans="1:13" x14ac:dyDescent="0.25">
      <c r="A178">
        <v>12253</v>
      </c>
      <c r="B178" t="s">
        <v>35</v>
      </c>
      <c r="C178" t="s">
        <v>33</v>
      </c>
      <c r="D178" s="5">
        <v>20000</v>
      </c>
      <c r="E178">
        <v>0</v>
      </c>
      <c r="F178" t="s">
        <v>19</v>
      </c>
      <c r="G178" t="s">
        <v>25</v>
      </c>
      <c r="H178" t="s">
        <v>15</v>
      </c>
      <c r="I178">
        <v>0</v>
      </c>
      <c r="J178" t="s">
        <v>16</v>
      </c>
      <c r="K178" t="s">
        <v>24</v>
      </c>
      <c r="L178">
        <v>29</v>
      </c>
      <c r="M178" t="s">
        <v>15</v>
      </c>
    </row>
    <row r="179" spans="1:13" x14ac:dyDescent="0.25">
      <c r="A179">
        <v>27304</v>
      </c>
      <c r="B179" t="s">
        <v>35</v>
      </c>
      <c r="C179" t="s">
        <v>33</v>
      </c>
      <c r="D179" s="5">
        <v>110000</v>
      </c>
      <c r="E179">
        <v>2</v>
      </c>
      <c r="F179" t="s">
        <v>19</v>
      </c>
      <c r="G179" t="s">
        <v>21</v>
      </c>
      <c r="H179" t="s">
        <v>18</v>
      </c>
      <c r="I179">
        <v>3</v>
      </c>
      <c r="J179" t="s">
        <v>23</v>
      </c>
      <c r="K179" t="s">
        <v>17</v>
      </c>
      <c r="L179">
        <v>48</v>
      </c>
      <c r="M179" t="s">
        <v>18</v>
      </c>
    </row>
    <row r="180" spans="1:13" x14ac:dyDescent="0.25">
      <c r="A180">
        <v>14191</v>
      </c>
      <c r="B180" t="s">
        <v>34</v>
      </c>
      <c r="C180" t="s">
        <v>34</v>
      </c>
      <c r="D180" s="5">
        <v>160000</v>
      </c>
      <c r="E180">
        <v>4</v>
      </c>
      <c r="F180" t="s">
        <v>19</v>
      </c>
      <c r="G180" t="s">
        <v>21</v>
      </c>
      <c r="H180" t="s">
        <v>18</v>
      </c>
      <c r="I180">
        <v>2</v>
      </c>
      <c r="J180" t="s">
        <v>30</v>
      </c>
      <c r="K180" t="s">
        <v>17</v>
      </c>
      <c r="L180">
        <v>55</v>
      </c>
      <c r="M180" t="s">
        <v>15</v>
      </c>
    </row>
    <row r="181" spans="1:13" x14ac:dyDescent="0.25">
      <c r="A181">
        <v>12212</v>
      </c>
      <c r="B181" t="s">
        <v>34</v>
      </c>
      <c r="C181" t="s">
        <v>33</v>
      </c>
      <c r="D181" s="5">
        <v>10000</v>
      </c>
      <c r="E181">
        <v>0</v>
      </c>
      <c r="F181" t="s">
        <v>31</v>
      </c>
      <c r="G181" t="s">
        <v>25</v>
      </c>
      <c r="H181" t="s">
        <v>15</v>
      </c>
      <c r="I181">
        <v>0</v>
      </c>
      <c r="J181" t="s">
        <v>16</v>
      </c>
      <c r="K181" t="s">
        <v>17</v>
      </c>
      <c r="L181">
        <v>37</v>
      </c>
      <c r="M181" t="s">
        <v>15</v>
      </c>
    </row>
    <row r="182" spans="1:13" x14ac:dyDescent="0.25">
      <c r="A182">
        <v>25529</v>
      </c>
      <c r="B182" t="s">
        <v>35</v>
      </c>
      <c r="C182" t="s">
        <v>34</v>
      </c>
      <c r="D182" s="5">
        <v>10000</v>
      </c>
      <c r="E182">
        <v>1</v>
      </c>
      <c r="F182" t="s">
        <v>31</v>
      </c>
      <c r="G182" t="s">
        <v>25</v>
      </c>
      <c r="H182" t="s">
        <v>15</v>
      </c>
      <c r="I182">
        <v>0</v>
      </c>
      <c r="J182" t="s">
        <v>16</v>
      </c>
      <c r="K182" t="s">
        <v>17</v>
      </c>
      <c r="L182">
        <v>44</v>
      </c>
      <c r="M182" t="s">
        <v>18</v>
      </c>
    </row>
    <row r="183" spans="1:13" x14ac:dyDescent="0.25">
      <c r="A183">
        <v>22170</v>
      </c>
      <c r="B183" t="s">
        <v>34</v>
      </c>
      <c r="C183" t="s">
        <v>33</v>
      </c>
      <c r="D183" s="5">
        <v>30000</v>
      </c>
      <c r="E183">
        <v>3</v>
      </c>
      <c r="F183" t="s">
        <v>19</v>
      </c>
      <c r="G183" t="s">
        <v>20</v>
      </c>
      <c r="H183" t="s">
        <v>18</v>
      </c>
      <c r="I183">
        <v>2</v>
      </c>
      <c r="J183" t="s">
        <v>26</v>
      </c>
      <c r="K183" t="s">
        <v>24</v>
      </c>
      <c r="L183">
        <v>55</v>
      </c>
      <c r="M183" t="s">
        <v>15</v>
      </c>
    </row>
    <row r="184" spans="1:13" x14ac:dyDescent="0.25">
      <c r="A184">
        <v>19445</v>
      </c>
      <c r="B184" t="s">
        <v>34</v>
      </c>
      <c r="C184" t="s">
        <v>33</v>
      </c>
      <c r="D184" s="5">
        <v>10000</v>
      </c>
      <c r="E184">
        <v>2</v>
      </c>
      <c r="F184" t="s">
        <v>27</v>
      </c>
      <c r="G184" t="s">
        <v>25</v>
      </c>
      <c r="H184" t="s">
        <v>18</v>
      </c>
      <c r="I184">
        <v>1</v>
      </c>
      <c r="J184" t="s">
        <v>16</v>
      </c>
      <c r="K184" t="s">
        <v>17</v>
      </c>
      <c r="L184">
        <v>38</v>
      </c>
      <c r="M184" t="s">
        <v>18</v>
      </c>
    </row>
    <row r="185" spans="1:13" x14ac:dyDescent="0.25">
      <c r="A185">
        <v>15265</v>
      </c>
      <c r="B185" t="s">
        <v>35</v>
      </c>
      <c r="C185" t="s">
        <v>34</v>
      </c>
      <c r="D185" s="5">
        <v>40000</v>
      </c>
      <c r="E185">
        <v>2</v>
      </c>
      <c r="F185" t="s">
        <v>13</v>
      </c>
      <c r="G185" t="s">
        <v>28</v>
      </c>
      <c r="H185" t="s">
        <v>15</v>
      </c>
      <c r="I185">
        <v>2</v>
      </c>
      <c r="J185" t="s">
        <v>23</v>
      </c>
      <c r="K185" t="s">
        <v>24</v>
      </c>
      <c r="L185">
        <v>66</v>
      </c>
      <c r="M185" t="s">
        <v>15</v>
      </c>
    </row>
    <row r="186" spans="1:13" x14ac:dyDescent="0.25">
      <c r="A186">
        <v>28918</v>
      </c>
      <c r="B186" t="s">
        <v>34</v>
      </c>
      <c r="C186" t="s">
        <v>33</v>
      </c>
      <c r="D186" s="5">
        <v>130000</v>
      </c>
      <c r="E186">
        <v>4</v>
      </c>
      <c r="F186" t="s">
        <v>27</v>
      </c>
      <c r="G186" t="s">
        <v>28</v>
      </c>
      <c r="H186" t="s">
        <v>18</v>
      </c>
      <c r="I186">
        <v>4</v>
      </c>
      <c r="J186" t="s">
        <v>30</v>
      </c>
      <c r="K186" t="s">
        <v>17</v>
      </c>
      <c r="L186">
        <v>58</v>
      </c>
      <c r="M186" t="s">
        <v>18</v>
      </c>
    </row>
    <row r="187" spans="1:13" x14ac:dyDescent="0.25">
      <c r="A187">
        <v>15799</v>
      </c>
      <c r="B187" t="s">
        <v>34</v>
      </c>
      <c r="C187" t="s">
        <v>33</v>
      </c>
      <c r="D187" s="5">
        <v>90000</v>
      </c>
      <c r="E187">
        <v>1</v>
      </c>
      <c r="F187" t="s">
        <v>13</v>
      </c>
      <c r="G187" t="s">
        <v>21</v>
      </c>
      <c r="H187" t="s">
        <v>15</v>
      </c>
      <c r="I187">
        <v>1</v>
      </c>
      <c r="J187" t="s">
        <v>22</v>
      </c>
      <c r="K187" t="s">
        <v>24</v>
      </c>
      <c r="L187">
        <v>47</v>
      </c>
      <c r="M187" t="s">
        <v>15</v>
      </c>
    </row>
    <row r="188" spans="1:13" x14ac:dyDescent="0.25">
      <c r="A188">
        <v>11047</v>
      </c>
      <c r="B188" t="s">
        <v>34</v>
      </c>
      <c r="C188" t="s">
        <v>33</v>
      </c>
      <c r="D188" s="5">
        <v>30000</v>
      </c>
      <c r="E188">
        <v>3</v>
      </c>
      <c r="F188" t="s">
        <v>27</v>
      </c>
      <c r="G188" t="s">
        <v>14</v>
      </c>
      <c r="H188" t="s">
        <v>18</v>
      </c>
      <c r="I188">
        <v>2</v>
      </c>
      <c r="J188" t="s">
        <v>26</v>
      </c>
      <c r="K188" t="s">
        <v>24</v>
      </c>
      <c r="L188">
        <v>56</v>
      </c>
      <c r="M188" t="s">
        <v>15</v>
      </c>
    </row>
    <row r="189" spans="1:13" x14ac:dyDescent="0.25">
      <c r="A189">
        <v>18151</v>
      </c>
      <c r="B189" t="s">
        <v>35</v>
      </c>
      <c r="C189" t="s">
        <v>34</v>
      </c>
      <c r="D189" s="5">
        <v>80000</v>
      </c>
      <c r="E189">
        <v>5</v>
      </c>
      <c r="F189" t="s">
        <v>19</v>
      </c>
      <c r="G189" t="s">
        <v>21</v>
      </c>
      <c r="H189" t="s">
        <v>18</v>
      </c>
      <c r="I189">
        <v>2</v>
      </c>
      <c r="J189" t="s">
        <v>30</v>
      </c>
      <c r="K189" t="s">
        <v>17</v>
      </c>
      <c r="L189">
        <v>59</v>
      </c>
      <c r="M189" t="s">
        <v>18</v>
      </c>
    </row>
    <row r="190" spans="1:13" x14ac:dyDescent="0.25">
      <c r="A190">
        <v>20606</v>
      </c>
      <c r="B190" t="s">
        <v>34</v>
      </c>
      <c r="C190" t="s">
        <v>33</v>
      </c>
      <c r="D190" s="5">
        <v>70000</v>
      </c>
      <c r="E190">
        <v>0</v>
      </c>
      <c r="F190" t="s">
        <v>13</v>
      </c>
      <c r="G190" t="s">
        <v>21</v>
      </c>
      <c r="H190" t="s">
        <v>15</v>
      </c>
      <c r="I190">
        <v>4</v>
      </c>
      <c r="J190" t="s">
        <v>30</v>
      </c>
      <c r="K190" t="s">
        <v>24</v>
      </c>
      <c r="L190">
        <v>32</v>
      </c>
      <c r="M190" t="s">
        <v>15</v>
      </c>
    </row>
    <row r="191" spans="1:13" x14ac:dyDescent="0.25">
      <c r="A191">
        <v>19482</v>
      </c>
      <c r="B191" t="s">
        <v>34</v>
      </c>
      <c r="C191" t="s">
        <v>34</v>
      </c>
      <c r="D191" s="5">
        <v>30000</v>
      </c>
      <c r="E191">
        <v>1</v>
      </c>
      <c r="F191" t="s">
        <v>19</v>
      </c>
      <c r="G191" t="s">
        <v>20</v>
      </c>
      <c r="H191" t="s">
        <v>15</v>
      </c>
      <c r="I191">
        <v>1</v>
      </c>
      <c r="J191" t="s">
        <v>16</v>
      </c>
      <c r="K191" t="s">
        <v>17</v>
      </c>
      <c r="L191">
        <v>44</v>
      </c>
      <c r="M191" t="s">
        <v>15</v>
      </c>
    </row>
    <row r="192" spans="1:13" x14ac:dyDescent="0.25">
      <c r="A192">
        <v>16489</v>
      </c>
      <c r="B192" t="s">
        <v>34</v>
      </c>
      <c r="C192" t="s">
        <v>34</v>
      </c>
      <c r="D192" s="5">
        <v>30000</v>
      </c>
      <c r="E192">
        <v>3</v>
      </c>
      <c r="F192" t="s">
        <v>27</v>
      </c>
      <c r="G192" t="s">
        <v>14</v>
      </c>
      <c r="H192" t="s">
        <v>15</v>
      </c>
      <c r="I192">
        <v>2</v>
      </c>
      <c r="J192" t="s">
        <v>23</v>
      </c>
      <c r="K192" t="s">
        <v>24</v>
      </c>
      <c r="L192">
        <v>55</v>
      </c>
      <c r="M192" t="s">
        <v>18</v>
      </c>
    </row>
    <row r="193" spans="1:13" x14ac:dyDescent="0.25">
      <c r="A193">
        <v>26944</v>
      </c>
      <c r="B193" t="s">
        <v>35</v>
      </c>
      <c r="C193" t="s">
        <v>34</v>
      </c>
      <c r="D193" s="5">
        <v>90000</v>
      </c>
      <c r="E193">
        <v>2</v>
      </c>
      <c r="F193" t="s">
        <v>27</v>
      </c>
      <c r="G193" t="s">
        <v>25</v>
      </c>
      <c r="H193" t="s">
        <v>15</v>
      </c>
      <c r="I193">
        <v>0</v>
      </c>
      <c r="J193" t="s">
        <v>16</v>
      </c>
      <c r="K193" t="s">
        <v>17</v>
      </c>
      <c r="L193">
        <v>36</v>
      </c>
      <c r="M193" t="s">
        <v>15</v>
      </c>
    </row>
    <row r="194" spans="1:13" x14ac:dyDescent="0.25">
      <c r="A194">
        <v>15682</v>
      </c>
      <c r="B194" t="s">
        <v>35</v>
      </c>
      <c r="C194" t="s">
        <v>33</v>
      </c>
      <c r="D194" s="5">
        <v>80000</v>
      </c>
      <c r="E194">
        <v>5</v>
      </c>
      <c r="F194" t="s">
        <v>13</v>
      </c>
      <c r="G194" t="s">
        <v>28</v>
      </c>
      <c r="H194" t="s">
        <v>15</v>
      </c>
      <c r="I194">
        <v>2</v>
      </c>
      <c r="J194" t="s">
        <v>30</v>
      </c>
      <c r="K194" t="s">
        <v>17</v>
      </c>
      <c r="L194">
        <v>62</v>
      </c>
      <c r="M194" t="s">
        <v>18</v>
      </c>
    </row>
    <row r="195" spans="1:13" x14ac:dyDescent="0.25">
      <c r="A195">
        <v>26032</v>
      </c>
      <c r="B195" t="s">
        <v>34</v>
      </c>
      <c r="C195" t="s">
        <v>33</v>
      </c>
      <c r="D195" s="5">
        <v>70000</v>
      </c>
      <c r="E195">
        <v>5</v>
      </c>
      <c r="F195" t="s">
        <v>13</v>
      </c>
      <c r="G195" t="s">
        <v>21</v>
      </c>
      <c r="H195" t="s">
        <v>15</v>
      </c>
      <c r="I195">
        <v>4</v>
      </c>
      <c r="J195" t="s">
        <v>30</v>
      </c>
      <c r="K195" t="s">
        <v>24</v>
      </c>
      <c r="L195">
        <v>41</v>
      </c>
      <c r="M195" t="s">
        <v>18</v>
      </c>
    </row>
    <row r="196" spans="1:13" x14ac:dyDescent="0.25">
      <c r="A196">
        <v>17843</v>
      </c>
      <c r="B196" t="s">
        <v>35</v>
      </c>
      <c r="C196" t="s">
        <v>33</v>
      </c>
      <c r="D196" s="5">
        <v>10000</v>
      </c>
      <c r="E196">
        <v>0</v>
      </c>
      <c r="F196" t="s">
        <v>29</v>
      </c>
      <c r="G196" t="s">
        <v>25</v>
      </c>
      <c r="H196" t="s">
        <v>18</v>
      </c>
      <c r="I196">
        <v>2</v>
      </c>
      <c r="J196" t="s">
        <v>16</v>
      </c>
      <c r="K196" t="s">
        <v>17</v>
      </c>
      <c r="L196">
        <v>32</v>
      </c>
      <c r="M196" t="s">
        <v>18</v>
      </c>
    </row>
    <row r="197" spans="1:13" x14ac:dyDescent="0.25">
      <c r="A197">
        <v>25559</v>
      </c>
      <c r="B197" t="s">
        <v>35</v>
      </c>
      <c r="C197" t="s">
        <v>34</v>
      </c>
      <c r="D197" s="5">
        <v>20000</v>
      </c>
      <c r="E197">
        <v>0</v>
      </c>
      <c r="F197" t="s">
        <v>13</v>
      </c>
      <c r="G197" t="s">
        <v>20</v>
      </c>
      <c r="H197" t="s">
        <v>15</v>
      </c>
      <c r="I197">
        <v>0</v>
      </c>
      <c r="J197" t="s">
        <v>16</v>
      </c>
      <c r="K197" t="s">
        <v>24</v>
      </c>
      <c r="L197">
        <v>25</v>
      </c>
      <c r="M197" t="s">
        <v>15</v>
      </c>
    </row>
    <row r="198" spans="1:13" x14ac:dyDescent="0.25">
      <c r="A198">
        <v>16209</v>
      </c>
      <c r="B198" t="s">
        <v>35</v>
      </c>
      <c r="C198" t="s">
        <v>33</v>
      </c>
      <c r="D198" s="5">
        <v>50000</v>
      </c>
      <c r="E198">
        <v>0</v>
      </c>
      <c r="F198" t="s">
        <v>31</v>
      </c>
      <c r="G198" t="s">
        <v>14</v>
      </c>
      <c r="H198" t="s">
        <v>15</v>
      </c>
      <c r="I198">
        <v>0</v>
      </c>
      <c r="J198" t="s">
        <v>26</v>
      </c>
      <c r="K198" t="s">
        <v>17</v>
      </c>
      <c r="L198">
        <v>36</v>
      </c>
      <c r="M198" t="s">
        <v>18</v>
      </c>
    </row>
    <row r="199" spans="1:13" x14ac:dyDescent="0.25">
      <c r="A199">
        <v>11147</v>
      </c>
      <c r="B199" t="s">
        <v>34</v>
      </c>
      <c r="C199" t="s">
        <v>34</v>
      </c>
      <c r="D199" s="5">
        <v>60000</v>
      </c>
      <c r="E199">
        <v>2</v>
      </c>
      <c r="F199" t="s">
        <v>31</v>
      </c>
      <c r="G199" t="s">
        <v>28</v>
      </c>
      <c r="H199" t="s">
        <v>15</v>
      </c>
      <c r="I199">
        <v>1</v>
      </c>
      <c r="J199" t="s">
        <v>16</v>
      </c>
      <c r="K199" t="s">
        <v>24</v>
      </c>
      <c r="L199">
        <v>67</v>
      </c>
      <c r="M199" t="s">
        <v>15</v>
      </c>
    </row>
    <row r="200" spans="1:13" x14ac:dyDescent="0.25">
      <c r="A200">
        <v>15214</v>
      </c>
      <c r="B200" t="s">
        <v>35</v>
      </c>
      <c r="C200" t="s">
        <v>33</v>
      </c>
      <c r="D200" s="5">
        <v>100000</v>
      </c>
      <c r="E200">
        <v>0</v>
      </c>
      <c r="F200" t="s">
        <v>31</v>
      </c>
      <c r="G200" t="s">
        <v>28</v>
      </c>
      <c r="H200" t="s">
        <v>18</v>
      </c>
      <c r="I200">
        <v>1</v>
      </c>
      <c r="J200" t="s">
        <v>26</v>
      </c>
      <c r="K200" t="s">
        <v>24</v>
      </c>
      <c r="L200">
        <v>39</v>
      </c>
      <c r="M200" t="s">
        <v>15</v>
      </c>
    </row>
    <row r="201" spans="1:13" x14ac:dyDescent="0.25">
      <c r="A201">
        <v>11453</v>
      </c>
      <c r="B201" t="s">
        <v>35</v>
      </c>
      <c r="C201" t="s">
        <v>34</v>
      </c>
      <c r="D201" s="5">
        <v>80000</v>
      </c>
      <c r="E201">
        <v>0</v>
      </c>
      <c r="F201" t="s">
        <v>13</v>
      </c>
      <c r="G201" t="s">
        <v>21</v>
      </c>
      <c r="H201" t="s">
        <v>18</v>
      </c>
      <c r="I201">
        <v>3</v>
      </c>
      <c r="J201" t="s">
        <v>30</v>
      </c>
      <c r="K201" t="s">
        <v>24</v>
      </c>
      <c r="L201">
        <v>33</v>
      </c>
      <c r="M201" t="s">
        <v>15</v>
      </c>
    </row>
    <row r="202" spans="1:13" x14ac:dyDescent="0.25">
      <c r="A202">
        <v>24584</v>
      </c>
      <c r="B202" t="s">
        <v>35</v>
      </c>
      <c r="C202" t="s">
        <v>34</v>
      </c>
      <c r="D202" s="5">
        <v>60000</v>
      </c>
      <c r="E202">
        <v>0</v>
      </c>
      <c r="F202" t="s">
        <v>13</v>
      </c>
      <c r="G202" t="s">
        <v>21</v>
      </c>
      <c r="H202" t="s">
        <v>18</v>
      </c>
      <c r="I202">
        <v>3</v>
      </c>
      <c r="J202" t="s">
        <v>22</v>
      </c>
      <c r="K202" t="s">
        <v>24</v>
      </c>
      <c r="L202">
        <v>31</v>
      </c>
      <c r="M202" t="s">
        <v>18</v>
      </c>
    </row>
    <row r="203" spans="1:13" x14ac:dyDescent="0.25">
      <c r="A203">
        <v>12585</v>
      </c>
      <c r="B203" t="s">
        <v>34</v>
      </c>
      <c r="C203" t="s">
        <v>34</v>
      </c>
      <c r="D203" s="5">
        <v>10000</v>
      </c>
      <c r="E203">
        <v>1</v>
      </c>
      <c r="F203" t="s">
        <v>27</v>
      </c>
      <c r="G203" t="s">
        <v>25</v>
      </c>
      <c r="H203" t="s">
        <v>15</v>
      </c>
      <c r="I203">
        <v>0</v>
      </c>
      <c r="J203" t="s">
        <v>22</v>
      </c>
      <c r="K203" t="s">
        <v>24</v>
      </c>
      <c r="L203">
        <v>27</v>
      </c>
      <c r="M203" t="s">
        <v>15</v>
      </c>
    </row>
    <row r="204" spans="1:13" x14ac:dyDescent="0.25">
      <c r="A204">
        <v>18626</v>
      </c>
      <c r="B204" t="s">
        <v>35</v>
      </c>
      <c r="C204" t="s">
        <v>34</v>
      </c>
      <c r="D204" s="5">
        <v>40000</v>
      </c>
      <c r="E204">
        <v>2</v>
      </c>
      <c r="F204" t="s">
        <v>19</v>
      </c>
      <c r="G204" t="s">
        <v>20</v>
      </c>
      <c r="H204" t="s">
        <v>15</v>
      </c>
      <c r="I204">
        <v>0</v>
      </c>
      <c r="J204" t="s">
        <v>26</v>
      </c>
      <c r="K204" t="s">
        <v>17</v>
      </c>
      <c r="L204">
        <v>33</v>
      </c>
      <c r="M204" t="s">
        <v>15</v>
      </c>
    </row>
    <row r="205" spans="1:13" x14ac:dyDescent="0.25">
      <c r="A205">
        <v>29298</v>
      </c>
      <c r="B205" t="s">
        <v>35</v>
      </c>
      <c r="C205" t="s">
        <v>33</v>
      </c>
      <c r="D205" s="5">
        <v>60000</v>
      </c>
      <c r="E205">
        <v>1</v>
      </c>
      <c r="F205" t="s">
        <v>19</v>
      </c>
      <c r="G205" t="s">
        <v>14</v>
      </c>
      <c r="H205" t="s">
        <v>15</v>
      </c>
      <c r="I205">
        <v>1</v>
      </c>
      <c r="J205" t="s">
        <v>23</v>
      </c>
      <c r="K205" t="s">
        <v>24</v>
      </c>
      <c r="L205">
        <v>46</v>
      </c>
      <c r="M205" t="s">
        <v>15</v>
      </c>
    </row>
    <row r="206" spans="1:13" x14ac:dyDescent="0.25">
      <c r="A206">
        <v>24842</v>
      </c>
      <c r="B206" t="s">
        <v>35</v>
      </c>
      <c r="C206" t="s">
        <v>33</v>
      </c>
      <c r="D206" s="5">
        <v>90000</v>
      </c>
      <c r="E206">
        <v>3</v>
      </c>
      <c r="F206" t="s">
        <v>27</v>
      </c>
      <c r="G206" t="s">
        <v>21</v>
      </c>
      <c r="H206" t="s">
        <v>18</v>
      </c>
      <c r="I206">
        <v>1</v>
      </c>
      <c r="J206" t="s">
        <v>22</v>
      </c>
      <c r="K206" t="s">
        <v>17</v>
      </c>
      <c r="L206">
        <v>51</v>
      </c>
      <c r="M206" t="s">
        <v>18</v>
      </c>
    </row>
    <row r="207" spans="1:13" x14ac:dyDescent="0.25">
      <c r="A207">
        <v>15657</v>
      </c>
      <c r="B207" t="s">
        <v>34</v>
      </c>
      <c r="C207" t="s">
        <v>34</v>
      </c>
      <c r="D207" s="5">
        <v>30000</v>
      </c>
      <c r="E207">
        <v>3</v>
      </c>
      <c r="F207" t="s">
        <v>31</v>
      </c>
      <c r="G207" t="s">
        <v>20</v>
      </c>
      <c r="H207" t="s">
        <v>15</v>
      </c>
      <c r="I207">
        <v>0</v>
      </c>
      <c r="J207" t="s">
        <v>16</v>
      </c>
      <c r="K207" t="s">
        <v>17</v>
      </c>
      <c r="L207">
        <v>46</v>
      </c>
      <c r="M207" t="s">
        <v>15</v>
      </c>
    </row>
    <row r="208" spans="1:13" x14ac:dyDescent="0.25">
      <c r="A208">
        <v>11415</v>
      </c>
      <c r="B208" t="s">
        <v>35</v>
      </c>
      <c r="C208" t="s">
        <v>34</v>
      </c>
      <c r="D208" s="5">
        <v>90000</v>
      </c>
      <c r="E208">
        <v>5</v>
      </c>
      <c r="F208" t="s">
        <v>19</v>
      </c>
      <c r="G208" t="s">
        <v>21</v>
      </c>
      <c r="H208" t="s">
        <v>18</v>
      </c>
      <c r="I208">
        <v>2</v>
      </c>
      <c r="J208" t="s">
        <v>30</v>
      </c>
      <c r="K208" t="s">
        <v>17</v>
      </c>
      <c r="L208">
        <v>62</v>
      </c>
      <c r="M208" t="s">
        <v>18</v>
      </c>
    </row>
    <row r="209" spans="1:13" x14ac:dyDescent="0.25">
      <c r="A209">
        <v>28729</v>
      </c>
      <c r="B209" t="s">
        <v>35</v>
      </c>
      <c r="C209" t="s">
        <v>33</v>
      </c>
      <c r="D209" s="5">
        <v>20000</v>
      </c>
      <c r="E209">
        <v>0</v>
      </c>
      <c r="F209" t="s">
        <v>29</v>
      </c>
      <c r="G209" t="s">
        <v>25</v>
      </c>
      <c r="H209" t="s">
        <v>15</v>
      </c>
      <c r="I209">
        <v>2</v>
      </c>
      <c r="J209" t="s">
        <v>26</v>
      </c>
      <c r="K209" t="s">
        <v>17</v>
      </c>
      <c r="L209">
        <v>26</v>
      </c>
      <c r="M209" t="s">
        <v>15</v>
      </c>
    </row>
    <row r="210" spans="1:13" x14ac:dyDescent="0.25">
      <c r="A210">
        <v>22633</v>
      </c>
      <c r="B210" t="s">
        <v>35</v>
      </c>
      <c r="C210" t="s">
        <v>33</v>
      </c>
      <c r="D210" s="5">
        <v>40000</v>
      </c>
      <c r="E210">
        <v>0</v>
      </c>
      <c r="F210" t="s">
        <v>31</v>
      </c>
      <c r="G210" t="s">
        <v>20</v>
      </c>
      <c r="H210" t="s">
        <v>15</v>
      </c>
      <c r="I210">
        <v>0</v>
      </c>
      <c r="J210" t="s">
        <v>16</v>
      </c>
      <c r="K210" t="s">
        <v>17</v>
      </c>
      <c r="L210">
        <v>37</v>
      </c>
      <c r="M210" t="s">
        <v>15</v>
      </c>
    </row>
    <row r="211" spans="1:13" x14ac:dyDescent="0.25">
      <c r="A211">
        <v>25649</v>
      </c>
      <c r="B211" t="s">
        <v>35</v>
      </c>
      <c r="C211" t="s">
        <v>33</v>
      </c>
      <c r="D211" s="5">
        <v>30000</v>
      </c>
      <c r="E211">
        <v>3</v>
      </c>
      <c r="F211" t="s">
        <v>19</v>
      </c>
      <c r="G211" t="s">
        <v>20</v>
      </c>
      <c r="H211" t="s">
        <v>15</v>
      </c>
      <c r="I211">
        <v>0</v>
      </c>
      <c r="J211" t="s">
        <v>16</v>
      </c>
      <c r="K211" t="s">
        <v>17</v>
      </c>
      <c r="L211">
        <v>42</v>
      </c>
      <c r="M211" t="s">
        <v>15</v>
      </c>
    </row>
    <row r="212" spans="1:13" x14ac:dyDescent="0.25">
      <c r="A212">
        <v>14669</v>
      </c>
      <c r="B212" t="s">
        <v>34</v>
      </c>
      <c r="C212" t="s">
        <v>33</v>
      </c>
      <c r="D212" s="5">
        <v>80000</v>
      </c>
      <c r="E212">
        <v>4</v>
      </c>
      <c r="F212" t="s">
        <v>31</v>
      </c>
      <c r="G212" t="s">
        <v>28</v>
      </c>
      <c r="H212" t="s">
        <v>15</v>
      </c>
      <c r="I212">
        <v>1</v>
      </c>
      <c r="J212" t="s">
        <v>16</v>
      </c>
      <c r="K212" t="s">
        <v>24</v>
      </c>
      <c r="L212">
        <v>36</v>
      </c>
      <c r="M212" t="s">
        <v>18</v>
      </c>
    </row>
    <row r="213" spans="1:13" x14ac:dyDescent="0.25">
      <c r="A213">
        <v>19299</v>
      </c>
      <c r="B213" t="s">
        <v>34</v>
      </c>
      <c r="C213" t="s">
        <v>33</v>
      </c>
      <c r="D213" s="5">
        <v>50000</v>
      </c>
      <c r="E213">
        <v>0</v>
      </c>
      <c r="F213" t="s">
        <v>31</v>
      </c>
      <c r="G213" t="s">
        <v>14</v>
      </c>
      <c r="H213" t="s">
        <v>15</v>
      </c>
      <c r="I213">
        <v>0</v>
      </c>
      <c r="J213" t="s">
        <v>16</v>
      </c>
      <c r="K213" t="s">
        <v>17</v>
      </c>
      <c r="L213">
        <v>36</v>
      </c>
      <c r="M213" t="s">
        <v>15</v>
      </c>
    </row>
    <row r="214" spans="1:13" x14ac:dyDescent="0.25">
      <c r="A214">
        <v>20946</v>
      </c>
      <c r="B214" t="s">
        <v>35</v>
      </c>
      <c r="C214" t="s">
        <v>33</v>
      </c>
      <c r="D214" s="5">
        <v>30000</v>
      </c>
      <c r="E214">
        <v>0</v>
      </c>
      <c r="F214" t="s">
        <v>19</v>
      </c>
      <c r="G214" t="s">
        <v>20</v>
      </c>
      <c r="H214" t="s">
        <v>18</v>
      </c>
      <c r="I214">
        <v>1</v>
      </c>
      <c r="J214" t="s">
        <v>22</v>
      </c>
      <c r="K214" t="s">
        <v>17</v>
      </c>
      <c r="L214">
        <v>30</v>
      </c>
      <c r="M214" t="s">
        <v>18</v>
      </c>
    </row>
    <row r="215" spans="1:13" x14ac:dyDescent="0.25">
      <c r="A215">
        <v>11451</v>
      </c>
      <c r="B215" t="s">
        <v>35</v>
      </c>
      <c r="C215" t="s">
        <v>34</v>
      </c>
      <c r="D215" s="5">
        <v>70000</v>
      </c>
      <c r="E215">
        <v>0</v>
      </c>
      <c r="F215" t="s">
        <v>13</v>
      </c>
      <c r="G215" t="s">
        <v>21</v>
      </c>
      <c r="H215" t="s">
        <v>18</v>
      </c>
      <c r="I215">
        <v>4</v>
      </c>
      <c r="J215" t="s">
        <v>30</v>
      </c>
      <c r="K215" t="s">
        <v>24</v>
      </c>
      <c r="L215">
        <v>31</v>
      </c>
      <c r="M215" t="s">
        <v>15</v>
      </c>
    </row>
    <row r="216" spans="1:13" x14ac:dyDescent="0.25">
      <c r="A216">
        <v>25553</v>
      </c>
      <c r="B216" t="s">
        <v>34</v>
      </c>
      <c r="C216" t="s">
        <v>34</v>
      </c>
      <c r="D216" s="5">
        <v>30000</v>
      </c>
      <c r="E216">
        <v>1</v>
      </c>
      <c r="F216" t="s">
        <v>13</v>
      </c>
      <c r="G216" t="s">
        <v>20</v>
      </c>
      <c r="H216" t="s">
        <v>15</v>
      </c>
      <c r="I216">
        <v>0</v>
      </c>
      <c r="J216" t="s">
        <v>16</v>
      </c>
      <c r="K216" t="s">
        <v>17</v>
      </c>
      <c r="L216">
        <v>65</v>
      </c>
      <c r="M216" t="s">
        <v>15</v>
      </c>
    </row>
    <row r="217" spans="1:13" x14ac:dyDescent="0.25">
      <c r="A217">
        <v>27951</v>
      </c>
      <c r="B217" t="s">
        <v>35</v>
      </c>
      <c r="C217" t="s">
        <v>34</v>
      </c>
      <c r="D217" s="5">
        <v>80000</v>
      </c>
      <c r="E217">
        <v>4</v>
      </c>
      <c r="F217" t="s">
        <v>19</v>
      </c>
      <c r="G217" t="s">
        <v>21</v>
      </c>
      <c r="H217" t="s">
        <v>18</v>
      </c>
      <c r="I217">
        <v>2</v>
      </c>
      <c r="J217" t="s">
        <v>22</v>
      </c>
      <c r="K217" t="s">
        <v>17</v>
      </c>
      <c r="L217">
        <v>54</v>
      </c>
      <c r="M217" t="s">
        <v>15</v>
      </c>
    </row>
    <row r="218" spans="1:13" x14ac:dyDescent="0.25">
      <c r="A218">
        <v>25026</v>
      </c>
      <c r="B218" t="s">
        <v>34</v>
      </c>
      <c r="C218" t="s">
        <v>34</v>
      </c>
      <c r="D218" s="5">
        <v>20000</v>
      </c>
      <c r="E218">
        <v>2</v>
      </c>
      <c r="F218" t="s">
        <v>29</v>
      </c>
      <c r="G218" t="s">
        <v>20</v>
      </c>
      <c r="H218" t="s">
        <v>15</v>
      </c>
      <c r="I218">
        <v>3</v>
      </c>
      <c r="J218" t="s">
        <v>23</v>
      </c>
      <c r="K218" t="s">
        <v>24</v>
      </c>
      <c r="L218">
        <v>54</v>
      </c>
      <c r="M218" t="s">
        <v>18</v>
      </c>
    </row>
    <row r="219" spans="1:13" x14ac:dyDescent="0.25">
      <c r="A219">
        <v>13673</v>
      </c>
      <c r="B219" t="s">
        <v>35</v>
      </c>
      <c r="C219" t="s">
        <v>33</v>
      </c>
      <c r="D219" s="5">
        <v>20000</v>
      </c>
      <c r="E219">
        <v>0</v>
      </c>
      <c r="F219" t="s">
        <v>29</v>
      </c>
      <c r="G219" t="s">
        <v>25</v>
      </c>
      <c r="H219" t="s">
        <v>18</v>
      </c>
      <c r="I219">
        <v>2</v>
      </c>
      <c r="J219" t="s">
        <v>16</v>
      </c>
      <c r="K219" t="s">
        <v>17</v>
      </c>
      <c r="L219">
        <v>25</v>
      </c>
      <c r="M219" t="s">
        <v>18</v>
      </c>
    </row>
    <row r="220" spans="1:13" x14ac:dyDescent="0.25">
      <c r="A220">
        <v>16043</v>
      </c>
      <c r="B220" t="s">
        <v>35</v>
      </c>
      <c r="C220" t="s">
        <v>34</v>
      </c>
      <c r="D220" s="5">
        <v>10000</v>
      </c>
      <c r="E220">
        <v>1</v>
      </c>
      <c r="F220" t="s">
        <v>13</v>
      </c>
      <c r="G220" t="s">
        <v>25</v>
      </c>
      <c r="H220" t="s">
        <v>15</v>
      </c>
      <c r="I220">
        <v>0</v>
      </c>
      <c r="J220" t="s">
        <v>16</v>
      </c>
      <c r="K220" t="s">
        <v>17</v>
      </c>
      <c r="L220">
        <v>48</v>
      </c>
      <c r="M220" t="s">
        <v>18</v>
      </c>
    </row>
    <row r="221" spans="1:13" x14ac:dyDescent="0.25">
      <c r="A221">
        <v>22399</v>
      </c>
      <c r="B221" t="s">
        <v>35</v>
      </c>
      <c r="C221" t="s">
        <v>34</v>
      </c>
      <c r="D221" s="5">
        <v>10000</v>
      </c>
      <c r="E221">
        <v>0</v>
      </c>
      <c r="F221" t="s">
        <v>19</v>
      </c>
      <c r="G221" t="s">
        <v>25</v>
      </c>
      <c r="H221" t="s">
        <v>15</v>
      </c>
      <c r="I221">
        <v>1</v>
      </c>
      <c r="J221" t="s">
        <v>26</v>
      </c>
      <c r="K221" t="s">
        <v>24</v>
      </c>
      <c r="L221">
        <v>26</v>
      </c>
      <c r="M221" t="s">
        <v>15</v>
      </c>
    </row>
    <row r="222" spans="1:13" x14ac:dyDescent="0.25">
      <c r="A222">
        <v>27696</v>
      </c>
      <c r="B222" t="s">
        <v>34</v>
      </c>
      <c r="C222" t="s">
        <v>34</v>
      </c>
      <c r="D222" s="5">
        <v>60000</v>
      </c>
      <c r="E222">
        <v>1</v>
      </c>
      <c r="F222" t="s">
        <v>13</v>
      </c>
      <c r="G222" t="s">
        <v>21</v>
      </c>
      <c r="H222" t="s">
        <v>15</v>
      </c>
      <c r="I222">
        <v>1</v>
      </c>
      <c r="J222" t="s">
        <v>23</v>
      </c>
      <c r="K222" t="s">
        <v>24</v>
      </c>
      <c r="L222">
        <v>43</v>
      </c>
      <c r="M222" t="s">
        <v>15</v>
      </c>
    </row>
    <row r="223" spans="1:13" x14ac:dyDescent="0.25">
      <c r="A223">
        <v>25313</v>
      </c>
      <c r="B223" t="s">
        <v>35</v>
      </c>
      <c r="C223" t="s">
        <v>34</v>
      </c>
      <c r="D223" s="5">
        <v>10000</v>
      </c>
      <c r="E223">
        <v>0</v>
      </c>
      <c r="F223" t="s">
        <v>29</v>
      </c>
      <c r="G223" t="s">
        <v>25</v>
      </c>
      <c r="H223" t="s">
        <v>18</v>
      </c>
      <c r="I223">
        <v>2</v>
      </c>
      <c r="J223" t="s">
        <v>26</v>
      </c>
      <c r="K223" t="s">
        <v>17</v>
      </c>
      <c r="L223">
        <v>35</v>
      </c>
      <c r="M223" t="s">
        <v>18</v>
      </c>
    </row>
    <row r="224" spans="1:13" x14ac:dyDescent="0.25">
      <c r="A224">
        <v>13813</v>
      </c>
      <c r="B224" t="s">
        <v>34</v>
      </c>
      <c r="C224" t="s">
        <v>33</v>
      </c>
      <c r="D224" s="5">
        <v>30000</v>
      </c>
      <c r="E224">
        <v>3</v>
      </c>
      <c r="F224" t="s">
        <v>19</v>
      </c>
      <c r="G224" t="s">
        <v>20</v>
      </c>
      <c r="H224" t="s">
        <v>18</v>
      </c>
      <c r="I224">
        <v>0</v>
      </c>
      <c r="J224" t="s">
        <v>16</v>
      </c>
      <c r="K224" t="s">
        <v>17</v>
      </c>
      <c r="L224">
        <v>42</v>
      </c>
      <c r="M224" t="s">
        <v>18</v>
      </c>
    </row>
    <row r="225" spans="1:13" x14ac:dyDescent="0.25">
      <c r="A225">
        <v>18711</v>
      </c>
      <c r="B225" t="s">
        <v>35</v>
      </c>
      <c r="C225" t="s">
        <v>33</v>
      </c>
      <c r="D225" s="5">
        <v>70000</v>
      </c>
      <c r="E225">
        <v>5</v>
      </c>
      <c r="F225" t="s">
        <v>13</v>
      </c>
      <c r="G225" t="s">
        <v>21</v>
      </c>
      <c r="H225" t="s">
        <v>15</v>
      </c>
      <c r="I225">
        <v>4</v>
      </c>
      <c r="J225" t="s">
        <v>30</v>
      </c>
      <c r="K225" t="s">
        <v>24</v>
      </c>
      <c r="L225">
        <v>39</v>
      </c>
      <c r="M225" t="s">
        <v>18</v>
      </c>
    </row>
    <row r="226" spans="1:13" x14ac:dyDescent="0.25">
      <c r="A226">
        <v>19650</v>
      </c>
      <c r="B226" t="s">
        <v>34</v>
      </c>
      <c r="C226" t="s">
        <v>33</v>
      </c>
      <c r="D226" s="5">
        <v>30000</v>
      </c>
      <c r="E226">
        <v>2</v>
      </c>
      <c r="F226" t="s">
        <v>19</v>
      </c>
      <c r="G226" t="s">
        <v>20</v>
      </c>
      <c r="H226" t="s">
        <v>18</v>
      </c>
      <c r="I226">
        <v>2</v>
      </c>
      <c r="J226" t="s">
        <v>16</v>
      </c>
      <c r="K226" t="s">
        <v>24</v>
      </c>
      <c r="L226">
        <v>67</v>
      </c>
      <c r="M226" t="s">
        <v>18</v>
      </c>
    </row>
    <row r="227" spans="1:13" x14ac:dyDescent="0.25">
      <c r="A227">
        <v>14135</v>
      </c>
      <c r="B227" t="s">
        <v>34</v>
      </c>
      <c r="C227" t="s">
        <v>34</v>
      </c>
      <c r="D227" s="5">
        <v>20000</v>
      </c>
      <c r="E227">
        <v>1</v>
      </c>
      <c r="F227" t="s">
        <v>19</v>
      </c>
      <c r="G227" t="s">
        <v>25</v>
      </c>
      <c r="H227" t="s">
        <v>15</v>
      </c>
      <c r="I227">
        <v>0</v>
      </c>
      <c r="J227" t="s">
        <v>26</v>
      </c>
      <c r="K227" t="s">
        <v>17</v>
      </c>
      <c r="L227">
        <v>35</v>
      </c>
      <c r="M227" t="s">
        <v>18</v>
      </c>
    </row>
    <row r="228" spans="1:13" x14ac:dyDescent="0.25">
      <c r="A228">
        <v>12833</v>
      </c>
      <c r="B228" t="s">
        <v>35</v>
      </c>
      <c r="C228" t="s">
        <v>33</v>
      </c>
      <c r="D228" s="5">
        <v>20000</v>
      </c>
      <c r="E228">
        <v>3</v>
      </c>
      <c r="F228" t="s">
        <v>27</v>
      </c>
      <c r="G228" t="s">
        <v>25</v>
      </c>
      <c r="H228" t="s">
        <v>15</v>
      </c>
      <c r="I228">
        <v>1</v>
      </c>
      <c r="J228" t="s">
        <v>16</v>
      </c>
      <c r="K228" t="s">
        <v>17</v>
      </c>
      <c r="L228">
        <v>42</v>
      </c>
      <c r="M228" t="s">
        <v>15</v>
      </c>
    </row>
    <row r="229" spans="1:13" x14ac:dyDescent="0.25">
      <c r="A229">
        <v>26849</v>
      </c>
      <c r="B229" t="s">
        <v>34</v>
      </c>
      <c r="C229" t="s">
        <v>34</v>
      </c>
      <c r="D229" s="5">
        <v>10000</v>
      </c>
      <c r="E229">
        <v>3</v>
      </c>
      <c r="F229" t="s">
        <v>29</v>
      </c>
      <c r="G229" t="s">
        <v>25</v>
      </c>
      <c r="H229" t="s">
        <v>15</v>
      </c>
      <c r="I229">
        <v>2</v>
      </c>
      <c r="J229" t="s">
        <v>16</v>
      </c>
      <c r="K229" t="s">
        <v>17</v>
      </c>
      <c r="L229">
        <v>43</v>
      </c>
      <c r="M229" t="s">
        <v>18</v>
      </c>
    </row>
    <row r="230" spans="1:13" x14ac:dyDescent="0.25">
      <c r="A230">
        <v>20962</v>
      </c>
      <c r="B230" t="s">
        <v>34</v>
      </c>
      <c r="C230" t="s">
        <v>33</v>
      </c>
      <c r="D230" s="5">
        <v>20000</v>
      </c>
      <c r="E230">
        <v>1</v>
      </c>
      <c r="F230" t="s">
        <v>31</v>
      </c>
      <c r="G230" t="s">
        <v>20</v>
      </c>
      <c r="H230" t="s">
        <v>15</v>
      </c>
      <c r="I230">
        <v>0</v>
      </c>
      <c r="J230" t="s">
        <v>16</v>
      </c>
      <c r="K230" t="s">
        <v>17</v>
      </c>
      <c r="L230">
        <v>45</v>
      </c>
      <c r="M230" t="s">
        <v>18</v>
      </c>
    </row>
    <row r="231" spans="1:13" x14ac:dyDescent="0.25">
      <c r="A231">
        <v>28915</v>
      </c>
      <c r="B231" t="s">
        <v>35</v>
      </c>
      <c r="C231" t="s">
        <v>34</v>
      </c>
      <c r="D231" s="5">
        <v>80000</v>
      </c>
      <c r="E231">
        <v>5</v>
      </c>
      <c r="F231" t="s">
        <v>27</v>
      </c>
      <c r="G231" t="s">
        <v>28</v>
      </c>
      <c r="H231" t="s">
        <v>15</v>
      </c>
      <c r="I231">
        <v>3</v>
      </c>
      <c r="J231" t="s">
        <v>30</v>
      </c>
      <c r="K231" t="s">
        <v>17</v>
      </c>
      <c r="L231">
        <v>57</v>
      </c>
      <c r="M231" t="s">
        <v>18</v>
      </c>
    </row>
    <row r="232" spans="1:13" x14ac:dyDescent="0.25">
      <c r="A232">
        <v>22830</v>
      </c>
      <c r="B232" t="s">
        <v>34</v>
      </c>
      <c r="C232" t="s">
        <v>34</v>
      </c>
      <c r="D232" s="5">
        <v>120000</v>
      </c>
      <c r="E232">
        <v>4</v>
      </c>
      <c r="F232" t="s">
        <v>19</v>
      </c>
      <c r="G232" t="s">
        <v>28</v>
      </c>
      <c r="H232" t="s">
        <v>15</v>
      </c>
      <c r="I232">
        <v>3</v>
      </c>
      <c r="J232" t="s">
        <v>30</v>
      </c>
      <c r="K232" t="s">
        <v>17</v>
      </c>
      <c r="L232">
        <v>56</v>
      </c>
      <c r="M232" t="s">
        <v>18</v>
      </c>
    </row>
    <row r="233" spans="1:13" x14ac:dyDescent="0.25">
      <c r="A233">
        <v>14777</v>
      </c>
      <c r="B233" t="s">
        <v>34</v>
      </c>
      <c r="C233" t="s">
        <v>33</v>
      </c>
      <c r="D233" s="5">
        <v>40000</v>
      </c>
      <c r="E233">
        <v>0</v>
      </c>
      <c r="F233" t="s">
        <v>13</v>
      </c>
      <c r="G233" t="s">
        <v>20</v>
      </c>
      <c r="H233" t="s">
        <v>15</v>
      </c>
      <c r="I233">
        <v>0</v>
      </c>
      <c r="J233" t="s">
        <v>16</v>
      </c>
      <c r="K233" t="s">
        <v>17</v>
      </c>
      <c r="L233">
        <v>38</v>
      </c>
      <c r="M233" t="s">
        <v>15</v>
      </c>
    </row>
    <row r="234" spans="1:13" x14ac:dyDescent="0.25">
      <c r="A234">
        <v>12591</v>
      </c>
      <c r="B234" t="s">
        <v>34</v>
      </c>
      <c r="C234" t="s">
        <v>33</v>
      </c>
      <c r="D234" s="5">
        <v>30000</v>
      </c>
      <c r="E234">
        <v>4</v>
      </c>
      <c r="F234" t="s">
        <v>31</v>
      </c>
      <c r="G234" t="s">
        <v>20</v>
      </c>
      <c r="H234" t="s">
        <v>15</v>
      </c>
      <c r="I234">
        <v>0</v>
      </c>
      <c r="J234" t="s">
        <v>16</v>
      </c>
      <c r="K234" t="s">
        <v>17</v>
      </c>
      <c r="L234">
        <v>45</v>
      </c>
      <c r="M234" t="s">
        <v>18</v>
      </c>
    </row>
    <row r="235" spans="1:13" x14ac:dyDescent="0.25">
      <c r="A235">
        <v>24174</v>
      </c>
      <c r="B235" t="s">
        <v>34</v>
      </c>
      <c r="C235" t="s">
        <v>34</v>
      </c>
      <c r="D235" s="5">
        <v>20000</v>
      </c>
      <c r="E235">
        <v>0</v>
      </c>
      <c r="F235" t="s">
        <v>13</v>
      </c>
      <c r="G235" t="s">
        <v>20</v>
      </c>
      <c r="H235" t="s">
        <v>15</v>
      </c>
      <c r="I235">
        <v>0</v>
      </c>
      <c r="J235" t="s">
        <v>16</v>
      </c>
      <c r="K235" t="s">
        <v>24</v>
      </c>
      <c r="L235">
        <v>27</v>
      </c>
      <c r="M235" t="s">
        <v>15</v>
      </c>
    </row>
    <row r="236" spans="1:13" x14ac:dyDescent="0.25">
      <c r="A236">
        <v>24611</v>
      </c>
      <c r="B236" t="s">
        <v>35</v>
      </c>
      <c r="C236" t="s">
        <v>34</v>
      </c>
      <c r="D236" s="5">
        <v>90000</v>
      </c>
      <c r="E236">
        <v>0</v>
      </c>
      <c r="F236" t="s">
        <v>13</v>
      </c>
      <c r="G236" t="s">
        <v>21</v>
      </c>
      <c r="H236" t="s">
        <v>18</v>
      </c>
      <c r="I236">
        <v>4</v>
      </c>
      <c r="J236" t="s">
        <v>30</v>
      </c>
      <c r="K236" t="s">
        <v>24</v>
      </c>
      <c r="L236">
        <v>35</v>
      </c>
      <c r="M236" t="s">
        <v>15</v>
      </c>
    </row>
    <row r="237" spans="1:13" x14ac:dyDescent="0.25">
      <c r="A237">
        <v>11340</v>
      </c>
      <c r="B237" t="s">
        <v>34</v>
      </c>
      <c r="C237" t="s">
        <v>33</v>
      </c>
      <c r="D237" s="5">
        <v>10000</v>
      </c>
      <c r="E237">
        <v>1</v>
      </c>
      <c r="F237" t="s">
        <v>31</v>
      </c>
      <c r="G237" t="s">
        <v>20</v>
      </c>
      <c r="H237" t="s">
        <v>15</v>
      </c>
      <c r="I237">
        <v>0</v>
      </c>
      <c r="J237" t="s">
        <v>16</v>
      </c>
      <c r="K237" t="s">
        <v>17</v>
      </c>
      <c r="L237">
        <v>70</v>
      </c>
      <c r="M237" t="s">
        <v>15</v>
      </c>
    </row>
    <row r="238" spans="1:13" x14ac:dyDescent="0.25">
      <c r="A238">
        <v>25693</v>
      </c>
      <c r="B238" t="s">
        <v>35</v>
      </c>
      <c r="C238" t="s">
        <v>33</v>
      </c>
      <c r="D238" s="5">
        <v>30000</v>
      </c>
      <c r="E238">
        <v>5</v>
      </c>
      <c r="F238" t="s">
        <v>31</v>
      </c>
      <c r="G238" t="s">
        <v>20</v>
      </c>
      <c r="H238" t="s">
        <v>15</v>
      </c>
      <c r="I238">
        <v>0</v>
      </c>
      <c r="J238" t="s">
        <v>16</v>
      </c>
      <c r="K238" t="s">
        <v>17</v>
      </c>
      <c r="L238">
        <v>44</v>
      </c>
      <c r="M238" t="s">
        <v>15</v>
      </c>
    </row>
    <row r="239" spans="1:13" x14ac:dyDescent="0.25">
      <c r="A239">
        <v>25555</v>
      </c>
      <c r="B239" t="s">
        <v>34</v>
      </c>
      <c r="C239" t="s">
        <v>33</v>
      </c>
      <c r="D239" s="5">
        <v>10000</v>
      </c>
      <c r="E239">
        <v>0</v>
      </c>
      <c r="F239" t="s">
        <v>19</v>
      </c>
      <c r="G239" t="s">
        <v>25</v>
      </c>
      <c r="H239" t="s">
        <v>18</v>
      </c>
      <c r="I239">
        <v>1</v>
      </c>
      <c r="J239" t="s">
        <v>16</v>
      </c>
      <c r="K239" t="s">
        <v>24</v>
      </c>
      <c r="L239">
        <v>26</v>
      </c>
      <c r="M239" t="s">
        <v>15</v>
      </c>
    </row>
    <row r="240" spans="1:13" x14ac:dyDescent="0.25">
      <c r="A240">
        <v>22006</v>
      </c>
      <c r="B240" t="s">
        <v>34</v>
      </c>
      <c r="C240" t="s">
        <v>34</v>
      </c>
      <c r="D240" s="5">
        <v>70000</v>
      </c>
      <c r="E240">
        <v>5</v>
      </c>
      <c r="F240" t="s">
        <v>19</v>
      </c>
      <c r="G240" t="s">
        <v>14</v>
      </c>
      <c r="H240" t="s">
        <v>15</v>
      </c>
      <c r="I240">
        <v>3</v>
      </c>
      <c r="J240" t="s">
        <v>23</v>
      </c>
      <c r="K240" t="s">
        <v>24</v>
      </c>
      <c r="L240">
        <v>46</v>
      </c>
      <c r="M240" t="s">
        <v>18</v>
      </c>
    </row>
    <row r="241" spans="1:13" x14ac:dyDescent="0.25">
      <c r="A241">
        <v>20060</v>
      </c>
      <c r="B241" t="s">
        <v>35</v>
      </c>
      <c r="C241" t="s">
        <v>33</v>
      </c>
      <c r="D241" s="5">
        <v>30000</v>
      </c>
      <c r="E241">
        <v>0</v>
      </c>
      <c r="F241" t="s">
        <v>27</v>
      </c>
      <c r="G241" t="s">
        <v>25</v>
      </c>
      <c r="H241" t="s">
        <v>18</v>
      </c>
      <c r="I241">
        <v>1</v>
      </c>
      <c r="J241" t="s">
        <v>22</v>
      </c>
      <c r="K241" t="s">
        <v>17</v>
      </c>
      <c r="L241">
        <v>34</v>
      </c>
      <c r="M241" t="s">
        <v>15</v>
      </c>
    </row>
    <row r="242" spans="1:13" x14ac:dyDescent="0.25">
      <c r="A242">
        <v>17702</v>
      </c>
      <c r="B242" t="s">
        <v>34</v>
      </c>
      <c r="C242" t="s">
        <v>34</v>
      </c>
      <c r="D242" s="5">
        <v>10000</v>
      </c>
      <c r="E242">
        <v>1</v>
      </c>
      <c r="F242" t="s">
        <v>31</v>
      </c>
      <c r="G242" t="s">
        <v>25</v>
      </c>
      <c r="H242" t="s">
        <v>15</v>
      </c>
      <c r="I242">
        <v>0</v>
      </c>
      <c r="J242" t="s">
        <v>16</v>
      </c>
      <c r="K242" t="s">
        <v>17</v>
      </c>
      <c r="L242">
        <v>37</v>
      </c>
      <c r="M242" t="s">
        <v>18</v>
      </c>
    </row>
    <row r="243" spans="1:13" x14ac:dyDescent="0.25">
      <c r="A243">
        <v>12503</v>
      </c>
      <c r="B243" t="s">
        <v>35</v>
      </c>
      <c r="C243" t="s">
        <v>33</v>
      </c>
      <c r="D243" s="5">
        <v>30000</v>
      </c>
      <c r="E243">
        <v>3</v>
      </c>
      <c r="F243" t="s">
        <v>19</v>
      </c>
      <c r="G243" t="s">
        <v>20</v>
      </c>
      <c r="H243" t="s">
        <v>15</v>
      </c>
      <c r="I243">
        <v>2</v>
      </c>
      <c r="J243" t="s">
        <v>16</v>
      </c>
      <c r="K243" t="s">
        <v>17</v>
      </c>
      <c r="L243">
        <v>27</v>
      </c>
      <c r="M243" t="s">
        <v>18</v>
      </c>
    </row>
    <row r="244" spans="1:13" x14ac:dyDescent="0.25">
      <c r="A244">
        <v>23908</v>
      </c>
      <c r="B244" t="s">
        <v>35</v>
      </c>
      <c r="C244" t="s">
        <v>34</v>
      </c>
      <c r="D244" s="5">
        <v>30000</v>
      </c>
      <c r="E244">
        <v>1</v>
      </c>
      <c r="F244" t="s">
        <v>13</v>
      </c>
      <c r="G244" t="s">
        <v>20</v>
      </c>
      <c r="H244" t="s">
        <v>18</v>
      </c>
      <c r="I244">
        <v>1</v>
      </c>
      <c r="J244" t="s">
        <v>16</v>
      </c>
      <c r="K244" t="s">
        <v>17</v>
      </c>
      <c r="L244">
        <v>39</v>
      </c>
      <c r="M244" t="s">
        <v>15</v>
      </c>
    </row>
    <row r="245" spans="1:13" x14ac:dyDescent="0.25">
      <c r="A245">
        <v>22527</v>
      </c>
      <c r="B245" t="s">
        <v>35</v>
      </c>
      <c r="C245" t="s">
        <v>33</v>
      </c>
      <c r="D245" s="5">
        <v>20000</v>
      </c>
      <c r="E245">
        <v>0</v>
      </c>
      <c r="F245" t="s">
        <v>27</v>
      </c>
      <c r="G245" t="s">
        <v>25</v>
      </c>
      <c r="H245" t="s">
        <v>18</v>
      </c>
      <c r="I245">
        <v>1</v>
      </c>
      <c r="J245" t="s">
        <v>22</v>
      </c>
      <c r="K245" t="s">
        <v>17</v>
      </c>
      <c r="L245">
        <v>29</v>
      </c>
      <c r="M245" t="s">
        <v>18</v>
      </c>
    </row>
    <row r="246" spans="1:13" x14ac:dyDescent="0.25">
      <c r="A246">
        <v>19057</v>
      </c>
      <c r="B246" t="s">
        <v>34</v>
      </c>
      <c r="C246" t="s">
        <v>33</v>
      </c>
      <c r="D246" s="5">
        <v>120000</v>
      </c>
      <c r="E246">
        <v>3</v>
      </c>
      <c r="F246" t="s">
        <v>13</v>
      </c>
      <c r="G246" t="s">
        <v>28</v>
      </c>
      <c r="H246" t="s">
        <v>18</v>
      </c>
      <c r="I246">
        <v>2</v>
      </c>
      <c r="J246" t="s">
        <v>30</v>
      </c>
      <c r="K246" t="s">
        <v>17</v>
      </c>
      <c r="L246">
        <v>52</v>
      </c>
      <c r="M246" t="s">
        <v>15</v>
      </c>
    </row>
    <row r="247" spans="1:13" x14ac:dyDescent="0.25">
      <c r="A247">
        <v>18494</v>
      </c>
      <c r="B247" t="s">
        <v>34</v>
      </c>
      <c r="C247" t="s">
        <v>34</v>
      </c>
      <c r="D247" s="5">
        <v>110000</v>
      </c>
      <c r="E247">
        <v>5</v>
      </c>
      <c r="F247" t="s">
        <v>13</v>
      </c>
      <c r="G247" t="s">
        <v>28</v>
      </c>
      <c r="H247" t="s">
        <v>15</v>
      </c>
      <c r="I247">
        <v>4</v>
      </c>
      <c r="J247" t="s">
        <v>22</v>
      </c>
      <c r="K247" t="s">
        <v>24</v>
      </c>
      <c r="L247">
        <v>48</v>
      </c>
      <c r="M247" t="s">
        <v>15</v>
      </c>
    </row>
    <row r="248" spans="1:13" x14ac:dyDescent="0.25">
      <c r="A248">
        <v>11249</v>
      </c>
      <c r="B248" t="s">
        <v>34</v>
      </c>
      <c r="C248" t="s">
        <v>33</v>
      </c>
      <c r="D248" s="5">
        <v>130000</v>
      </c>
      <c r="E248">
        <v>3</v>
      </c>
      <c r="F248" t="s">
        <v>19</v>
      </c>
      <c r="G248" t="s">
        <v>21</v>
      </c>
      <c r="H248" t="s">
        <v>15</v>
      </c>
      <c r="I248">
        <v>3</v>
      </c>
      <c r="J248" t="s">
        <v>16</v>
      </c>
      <c r="K248" t="s">
        <v>17</v>
      </c>
      <c r="L248">
        <v>51</v>
      </c>
      <c r="M248" t="s">
        <v>15</v>
      </c>
    </row>
    <row r="249" spans="1:13" x14ac:dyDescent="0.25">
      <c r="A249">
        <v>21568</v>
      </c>
      <c r="B249" t="s">
        <v>34</v>
      </c>
      <c r="C249" t="s">
        <v>33</v>
      </c>
      <c r="D249" s="5">
        <v>100000</v>
      </c>
      <c r="E249">
        <v>0</v>
      </c>
      <c r="F249" t="s">
        <v>27</v>
      </c>
      <c r="G249" t="s">
        <v>28</v>
      </c>
      <c r="H249" t="s">
        <v>15</v>
      </c>
      <c r="I249">
        <v>4</v>
      </c>
      <c r="J249" t="s">
        <v>30</v>
      </c>
      <c r="K249" t="s">
        <v>24</v>
      </c>
      <c r="L249">
        <v>34</v>
      </c>
      <c r="M249" t="s">
        <v>15</v>
      </c>
    </row>
    <row r="250" spans="1:13" x14ac:dyDescent="0.25">
      <c r="A250">
        <v>13981</v>
      </c>
      <c r="B250" t="s">
        <v>34</v>
      </c>
      <c r="C250" t="s">
        <v>33</v>
      </c>
      <c r="D250" s="5">
        <v>10000</v>
      </c>
      <c r="E250">
        <v>5</v>
      </c>
      <c r="F250" t="s">
        <v>27</v>
      </c>
      <c r="G250" t="s">
        <v>14</v>
      </c>
      <c r="H250" t="s">
        <v>18</v>
      </c>
      <c r="I250">
        <v>3</v>
      </c>
      <c r="J250" t="s">
        <v>26</v>
      </c>
      <c r="K250" t="s">
        <v>24</v>
      </c>
      <c r="L250">
        <v>62</v>
      </c>
      <c r="M250" t="s">
        <v>18</v>
      </c>
    </row>
    <row r="251" spans="1:13" x14ac:dyDescent="0.25">
      <c r="A251">
        <v>23432</v>
      </c>
      <c r="B251" t="s">
        <v>35</v>
      </c>
      <c r="C251" t="s">
        <v>34</v>
      </c>
      <c r="D251" s="5">
        <v>70000</v>
      </c>
      <c r="E251">
        <v>0</v>
      </c>
      <c r="F251" t="s">
        <v>13</v>
      </c>
      <c r="G251" t="s">
        <v>21</v>
      </c>
      <c r="H251" t="s">
        <v>15</v>
      </c>
      <c r="I251">
        <v>1</v>
      </c>
      <c r="J251" t="s">
        <v>23</v>
      </c>
      <c r="K251" t="s">
        <v>24</v>
      </c>
      <c r="L251">
        <v>37</v>
      </c>
      <c r="M251" t="s">
        <v>15</v>
      </c>
    </row>
    <row r="252" spans="1:13" x14ac:dyDescent="0.25">
      <c r="A252">
        <v>22931</v>
      </c>
      <c r="B252" t="s">
        <v>34</v>
      </c>
      <c r="C252" t="s">
        <v>34</v>
      </c>
      <c r="D252" s="5">
        <v>100000</v>
      </c>
      <c r="E252">
        <v>5</v>
      </c>
      <c r="F252" t="s">
        <v>31</v>
      </c>
      <c r="G252" t="s">
        <v>28</v>
      </c>
      <c r="H252" t="s">
        <v>18</v>
      </c>
      <c r="I252">
        <v>1</v>
      </c>
      <c r="J252" t="s">
        <v>26</v>
      </c>
      <c r="K252" t="s">
        <v>24</v>
      </c>
      <c r="L252">
        <v>78</v>
      </c>
      <c r="M252" t="s">
        <v>15</v>
      </c>
    </row>
    <row r="253" spans="1:13" x14ac:dyDescent="0.25">
      <c r="A253">
        <v>18172</v>
      </c>
      <c r="B253" t="s">
        <v>34</v>
      </c>
      <c r="C253" t="s">
        <v>34</v>
      </c>
      <c r="D253" s="5">
        <v>130000</v>
      </c>
      <c r="E253">
        <v>4</v>
      </c>
      <c r="F253" t="s">
        <v>27</v>
      </c>
      <c r="G253" t="s">
        <v>21</v>
      </c>
      <c r="H253" t="s">
        <v>15</v>
      </c>
      <c r="I253">
        <v>3</v>
      </c>
      <c r="J253" t="s">
        <v>16</v>
      </c>
      <c r="K253" t="s">
        <v>17</v>
      </c>
      <c r="L253">
        <v>55</v>
      </c>
      <c r="M253" t="s">
        <v>18</v>
      </c>
    </row>
    <row r="254" spans="1:13" x14ac:dyDescent="0.25">
      <c r="A254">
        <v>12666</v>
      </c>
      <c r="B254" t="s">
        <v>35</v>
      </c>
      <c r="C254" t="s">
        <v>34</v>
      </c>
      <c r="D254" s="5">
        <v>60000</v>
      </c>
      <c r="E254">
        <v>0</v>
      </c>
      <c r="F254" t="s">
        <v>13</v>
      </c>
      <c r="G254" t="s">
        <v>21</v>
      </c>
      <c r="H254" t="s">
        <v>18</v>
      </c>
      <c r="I254">
        <v>4</v>
      </c>
      <c r="J254" t="s">
        <v>22</v>
      </c>
      <c r="K254" t="s">
        <v>24</v>
      </c>
      <c r="L254">
        <v>31</v>
      </c>
      <c r="M254" t="s">
        <v>18</v>
      </c>
    </row>
    <row r="255" spans="1:13" x14ac:dyDescent="0.25">
      <c r="A255">
        <v>20598</v>
      </c>
      <c r="B255" t="s">
        <v>34</v>
      </c>
      <c r="C255" t="s">
        <v>34</v>
      </c>
      <c r="D255" s="5">
        <v>100000</v>
      </c>
      <c r="E255">
        <v>3</v>
      </c>
      <c r="F255" t="s">
        <v>29</v>
      </c>
      <c r="G255" t="s">
        <v>21</v>
      </c>
      <c r="H255" t="s">
        <v>15</v>
      </c>
      <c r="I255">
        <v>0</v>
      </c>
      <c r="J255" t="s">
        <v>30</v>
      </c>
      <c r="K255" t="s">
        <v>17</v>
      </c>
      <c r="L255">
        <v>59</v>
      </c>
      <c r="M255" t="s">
        <v>15</v>
      </c>
    </row>
    <row r="256" spans="1:13" x14ac:dyDescent="0.25">
      <c r="A256">
        <v>21375</v>
      </c>
      <c r="B256" t="s">
        <v>35</v>
      </c>
      <c r="C256" t="s">
        <v>34</v>
      </c>
      <c r="D256" s="5">
        <v>20000</v>
      </c>
      <c r="E256">
        <v>2</v>
      </c>
      <c r="F256" t="s">
        <v>29</v>
      </c>
      <c r="G256" t="s">
        <v>20</v>
      </c>
      <c r="H256" t="s">
        <v>15</v>
      </c>
      <c r="I256">
        <v>2</v>
      </c>
      <c r="J256" t="s">
        <v>23</v>
      </c>
      <c r="K256" t="s">
        <v>24</v>
      </c>
      <c r="L256">
        <v>57</v>
      </c>
      <c r="M256" t="s">
        <v>18</v>
      </c>
    </row>
    <row r="257" spans="1:13" x14ac:dyDescent="0.25">
      <c r="A257">
        <v>20839</v>
      </c>
      <c r="B257" t="s">
        <v>35</v>
      </c>
      <c r="C257" t="s">
        <v>33</v>
      </c>
      <c r="D257" s="5">
        <v>30000</v>
      </c>
      <c r="E257">
        <v>3</v>
      </c>
      <c r="F257" t="s">
        <v>31</v>
      </c>
      <c r="G257" t="s">
        <v>20</v>
      </c>
      <c r="H257" t="s">
        <v>15</v>
      </c>
      <c r="I257">
        <v>0</v>
      </c>
      <c r="J257" t="s">
        <v>16</v>
      </c>
      <c r="K257" t="s">
        <v>17</v>
      </c>
      <c r="L257">
        <v>47</v>
      </c>
      <c r="M257" t="s">
        <v>15</v>
      </c>
    </row>
    <row r="258" spans="1:13" x14ac:dyDescent="0.25">
      <c r="A258">
        <v>21738</v>
      </c>
      <c r="B258" t="s">
        <v>34</v>
      </c>
      <c r="C258" t="s">
        <v>34</v>
      </c>
      <c r="D258" s="5">
        <v>20000</v>
      </c>
      <c r="E258">
        <v>1</v>
      </c>
      <c r="F258" t="s">
        <v>31</v>
      </c>
      <c r="G258" t="s">
        <v>20</v>
      </c>
      <c r="H258" t="s">
        <v>15</v>
      </c>
      <c r="I258">
        <v>0</v>
      </c>
      <c r="J258" t="s">
        <v>16</v>
      </c>
      <c r="K258" t="s">
        <v>17</v>
      </c>
      <c r="L258">
        <v>43</v>
      </c>
      <c r="M258" t="s">
        <v>18</v>
      </c>
    </row>
    <row r="259" spans="1:13" x14ac:dyDescent="0.25">
      <c r="A259">
        <v>14164</v>
      </c>
      <c r="B259" t="s">
        <v>35</v>
      </c>
      <c r="C259" t="s">
        <v>33</v>
      </c>
      <c r="D259" s="5">
        <v>50000</v>
      </c>
      <c r="E259">
        <v>0</v>
      </c>
      <c r="F259" t="s">
        <v>31</v>
      </c>
      <c r="G259" t="s">
        <v>14</v>
      </c>
      <c r="H259" t="s">
        <v>15</v>
      </c>
      <c r="I259">
        <v>0</v>
      </c>
      <c r="J259" t="s">
        <v>16</v>
      </c>
      <c r="K259" t="s">
        <v>17</v>
      </c>
      <c r="L259">
        <v>36</v>
      </c>
      <c r="M259" t="s">
        <v>15</v>
      </c>
    </row>
    <row r="260" spans="1:13" x14ac:dyDescent="0.25">
      <c r="A260">
        <v>14193</v>
      </c>
      <c r="B260" t="s">
        <v>35</v>
      </c>
      <c r="C260" t="s">
        <v>33</v>
      </c>
      <c r="D260" s="5">
        <v>100000</v>
      </c>
      <c r="E260">
        <v>3</v>
      </c>
      <c r="F260" t="s">
        <v>19</v>
      </c>
      <c r="G260" t="s">
        <v>28</v>
      </c>
      <c r="H260" t="s">
        <v>15</v>
      </c>
      <c r="I260">
        <v>4</v>
      </c>
      <c r="J260" t="s">
        <v>30</v>
      </c>
      <c r="K260" t="s">
        <v>17</v>
      </c>
      <c r="L260">
        <v>56</v>
      </c>
      <c r="M260" t="s">
        <v>18</v>
      </c>
    </row>
    <row r="261" spans="1:13" x14ac:dyDescent="0.25">
      <c r="A261">
        <v>12705</v>
      </c>
      <c r="B261" t="s">
        <v>34</v>
      </c>
      <c r="C261" t="s">
        <v>34</v>
      </c>
      <c r="D261" s="5">
        <v>150000</v>
      </c>
      <c r="E261">
        <v>0</v>
      </c>
      <c r="F261" t="s">
        <v>13</v>
      </c>
      <c r="G261" t="s">
        <v>28</v>
      </c>
      <c r="H261" t="s">
        <v>15</v>
      </c>
      <c r="I261">
        <v>4</v>
      </c>
      <c r="J261" t="s">
        <v>16</v>
      </c>
      <c r="K261" t="s">
        <v>24</v>
      </c>
      <c r="L261">
        <v>37</v>
      </c>
      <c r="M261" t="s">
        <v>15</v>
      </c>
    </row>
    <row r="262" spans="1:13" x14ac:dyDescent="0.25">
      <c r="A262">
        <v>22672</v>
      </c>
      <c r="B262" t="s">
        <v>35</v>
      </c>
      <c r="C262" t="s">
        <v>33</v>
      </c>
      <c r="D262" s="5">
        <v>30000</v>
      </c>
      <c r="E262">
        <v>2</v>
      </c>
      <c r="F262" t="s">
        <v>19</v>
      </c>
      <c r="G262" t="s">
        <v>20</v>
      </c>
      <c r="H262" t="s">
        <v>15</v>
      </c>
      <c r="I262">
        <v>0</v>
      </c>
      <c r="J262" t="s">
        <v>16</v>
      </c>
      <c r="K262" t="s">
        <v>17</v>
      </c>
      <c r="L262">
        <v>43</v>
      </c>
      <c r="M262" t="s">
        <v>18</v>
      </c>
    </row>
    <row r="263" spans="1:13" x14ac:dyDescent="0.25">
      <c r="A263">
        <v>26219</v>
      </c>
      <c r="B263" t="s">
        <v>34</v>
      </c>
      <c r="C263" t="s">
        <v>33</v>
      </c>
      <c r="D263" s="5">
        <v>40000</v>
      </c>
      <c r="E263">
        <v>1</v>
      </c>
      <c r="F263" t="s">
        <v>13</v>
      </c>
      <c r="G263" t="s">
        <v>14</v>
      </c>
      <c r="H263" t="s">
        <v>15</v>
      </c>
      <c r="I263">
        <v>1</v>
      </c>
      <c r="J263" t="s">
        <v>26</v>
      </c>
      <c r="K263" t="s">
        <v>17</v>
      </c>
      <c r="L263">
        <v>33</v>
      </c>
      <c r="M263" t="s">
        <v>15</v>
      </c>
    </row>
    <row r="264" spans="1:13" x14ac:dyDescent="0.25">
      <c r="A264">
        <v>28468</v>
      </c>
      <c r="B264" t="s">
        <v>34</v>
      </c>
      <c r="C264" t="s">
        <v>33</v>
      </c>
      <c r="D264" s="5">
        <v>10000</v>
      </c>
      <c r="E264">
        <v>2</v>
      </c>
      <c r="F264" t="s">
        <v>19</v>
      </c>
      <c r="G264" t="s">
        <v>25</v>
      </c>
      <c r="H264" t="s">
        <v>15</v>
      </c>
      <c r="I264">
        <v>0</v>
      </c>
      <c r="J264" t="s">
        <v>26</v>
      </c>
      <c r="K264" t="s">
        <v>17</v>
      </c>
      <c r="L264">
        <v>51</v>
      </c>
      <c r="M264" t="s">
        <v>18</v>
      </c>
    </row>
    <row r="265" spans="1:13" x14ac:dyDescent="0.25">
      <c r="A265">
        <v>23419</v>
      </c>
      <c r="B265" t="s">
        <v>35</v>
      </c>
      <c r="C265" t="s">
        <v>33</v>
      </c>
      <c r="D265" s="5">
        <v>70000</v>
      </c>
      <c r="E265">
        <v>5</v>
      </c>
      <c r="F265" t="s">
        <v>13</v>
      </c>
      <c r="G265" t="s">
        <v>21</v>
      </c>
      <c r="H265" t="s">
        <v>15</v>
      </c>
      <c r="I265">
        <v>3</v>
      </c>
      <c r="J265" t="s">
        <v>30</v>
      </c>
      <c r="K265" t="s">
        <v>24</v>
      </c>
      <c r="L265">
        <v>39</v>
      </c>
      <c r="M265" t="s">
        <v>18</v>
      </c>
    </row>
    <row r="266" spans="1:13" x14ac:dyDescent="0.25">
      <c r="A266">
        <v>17964</v>
      </c>
      <c r="B266" t="s">
        <v>34</v>
      </c>
      <c r="C266" t="s">
        <v>34</v>
      </c>
      <c r="D266" s="5">
        <v>40000</v>
      </c>
      <c r="E266">
        <v>0</v>
      </c>
      <c r="F266" t="s">
        <v>31</v>
      </c>
      <c r="G266" t="s">
        <v>20</v>
      </c>
      <c r="H266" t="s">
        <v>15</v>
      </c>
      <c r="I266">
        <v>0</v>
      </c>
      <c r="J266" t="s">
        <v>16</v>
      </c>
      <c r="K266" t="s">
        <v>17</v>
      </c>
      <c r="L266">
        <v>37</v>
      </c>
      <c r="M266" t="s">
        <v>15</v>
      </c>
    </row>
    <row r="267" spans="1:13" x14ac:dyDescent="0.25">
      <c r="A267">
        <v>20919</v>
      </c>
      <c r="B267" t="s">
        <v>35</v>
      </c>
      <c r="C267" t="s">
        <v>33</v>
      </c>
      <c r="D267" s="5">
        <v>30000</v>
      </c>
      <c r="E267">
        <v>2</v>
      </c>
      <c r="F267" t="s">
        <v>19</v>
      </c>
      <c r="G267" t="s">
        <v>20</v>
      </c>
      <c r="H267" t="s">
        <v>15</v>
      </c>
      <c r="I267">
        <v>2</v>
      </c>
      <c r="J267" t="s">
        <v>16</v>
      </c>
      <c r="K267" t="s">
        <v>17</v>
      </c>
      <c r="L267">
        <v>42</v>
      </c>
      <c r="M267" t="s">
        <v>18</v>
      </c>
    </row>
    <row r="268" spans="1:13" x14ac:dyDescent="0.25">
      <c r="A268">
        <v>20927</v>
      </c>
      <c r="B268" t="s">
        <v>35</v>
      </c>
      <c r="C268" t="s">
        <v>33</v>
      </c>
      <c r="D268" s="5">
        <v>20000</v>
      </c>
      <c r="E268">
        <v>5</v>
      </c>
      <c r="F268" t="s">
        <v>27</v>
      </c>
      <c r="G268" t="s">
        <v>25</v>
      </c>
      <c r="H268" t="s">
        <v>15</v>
      </c>
      <c r="I268">
        <v>2</v>
      </c>
      <c r="J268" t="s">
        <v>16</v>
      </c>
      <c r="K268" t="s">
        <v>17</v>
      </c>
      <c r="L268">
        <v>27</v>
      </c>
      <c r="M268" t="s">
        <v>18</v>
      </c>
    </row>
    <row r="269" spans="1:13" x14ac:dyDescent="0.25">
      <c r="A269">
        <v>13133</v>
      </c>
      <c r="B269" t="s">
        <v>35</v>
      </c>
      <c r="C269" t="s">
        <v>34</v>
      </c>
      <c r="D269" s="5">
        <v>100000</v>
      </c>
      <c r="E269">
        <v>5</v>
      </c>
      <c r="F269" t="s">
        <v>13</v>
      </c>
      <c r="G269" t="s">
        <v>21</v>
      </c>
      <c r="H269" t="s">
        <v>15</v>
      </c>
      <c r="I269">
        <v>1</v>
      </c>
      <c r="J269" t="s">
        <v>23</v>
      </c>
      <c r="K269" t="s">
        <v>24</v>
      </c>
      <c r="L269">
        <v>47</v>
      </c>
      <c r="M269" t="s">
        <v>15</v>
      </c>
    </row>
    <row r="270" spans="1:13" x14ac:dyDescent="0.25">
      <c r="A270">
        <v>19626</v>
      </c>
      <c r="B270" t="s">
        <v>34</v>
      </c>
      <c r="C270" t="s">
        <v>34</v>
      </c>
      <c r="D270" s="5">
        <v>70000</v>
      </c>
      <c r="E270">
        <v>5</v>
      </c>
      <c r="F270" t="s">
        <v>19</v>
      </c>
      <c r="G270" t="s">
        <v>14</v>
      </c>
      <c r="H270" t="s">
        <v>15</v>
      </c>
      <c r="I270">
        <v>3</v>
      </c>
      <c r="J270" t="s">
        <v>23</v>
      </c>
      <c r="K270" t="s">
        <v>24</v>
      </c>
      <c r="L270">
        <v>45</v>
      </c>
      <c r="M270" t="s">
        <v>18</v>
      </c>
    </row>
    <row r="271" spans="1:13" x14ac:dyDescent="0.25">
      <c r="A271">
        <v>21039</v>
      </c>
      <c r="B271" t="s">
        <v>35</v>
      </c>
      <c r="C271" t="s">
        <v>33</v>
      </c>
      <c r="D271" s="5">
        <v>50000</v>
      </c>
      <c r="E271">
        <v>0</v>
      </c>
      <c r="F271" t="s">
        <v>31</v>
      </c>
      <c r="G271" t="s">
        <v>14</v>
      </c>
      <c r="H271" t="s">
        <v>18</v>
      </c>
      <c r="I271">
        <v>0</v>
      </c>
      <c r="J271" t="s">
        <v>16</v>
      </c>
      <c r="K271" t="s">
        <v>17</v>
      </c>
      <c r="L271">
        <v>37</v>
      </c>
      <c r="M271" t="s">
        <v>15</v>
      </c>
    </row>
    <row r="272" spans="1:13" x14ac:dyDescent="0.25">
      <c r="A272">
        <v>12231</v>
      </c>
      <c r="B272" t="s">
        <v>35</v>
      </c>
      <c r="C272" t="s">
        <v>33</v>
      </c>
      <c r="D272" s="5">
        <v>10000</v>
      </c>
      <c r="E272">
        <v>2</v>
      </c>
      <c r="F272" t="s">
        <v>19</v>
      </c>
      <c r="G272" t="s">
        <v>25</v>
      </c>
      <c r="H272" t="s">
        <v>15</v>
      </c>
      <c r="I272">
        <v>0</v>
      </c>
      <c r="J272" t="s">
        <v>16</v>
      </c>
      <c r="K272" t="s">
        <v>17</v>
      </c>
      <c r="L272">
        <v>51</v>
      </c>
      <c r="M272" t="s">
        <v>15</v>
      </c>
    </row>
    <row r="273" spans="1:13" x14ac:dyDescent="0.25">
      <c r="A273">
        <v>25665</v>
      </c>
      <c r="B273" t="s">
        <v>35</v>
      </c>
      <c r="C273" t="s">
        <v>33</v>
      </c>
      <c r="D273" s="5">
        <v>20000</v>
      </c>
      <c r="E273">
        <v>0</v>
      </c>
      <c r="F273" t="s">
        <v>27</v>
      </c>
      <c r="G273" t="s">
        <v>25</v>
      </c>
      <c r="H273" t="s">
        <v>18</v>
      </c>
      <c r="I273">
        <v>1</v>
      </c>
      <c r="J273" t="s">
        <v>26</v>
      </c>
      <c r="K273" t="s">
        <v>17</v>
      </c>
      <c r="L273">
        <v>28</v>
      </c>
      <c r="M273" t="s">
        <v>18</v>
      </c>
    </row>
    <row r="274" spans="1:13" x14ac:dyDescent="0.25">
      <c r="A274">
        <v>24061</v>
      </c>
      <c r="B274" t="s">
        <v>34</v>
      </c>
      <c r="C274" t="s">
        <v>34</v>
      </c>
      <c r="D274" s="5">
        <v>10000</v>
      </c>
      <c r="E274">
        <v>4</v>
      </c>
      <c r="F274" t="s">
        <v>29</v>
      </c>
      <c r="G274" t="s">
        <v>25</v>
      </c>
      <c r="H274" t="s">
        <v>15</v>
      </c>
      <c r="I274">
        <v>1</v>
      </c>
      <c r="J274" t="s">
        <v>16</v>
      </c>
      <c r="K274" t="s">
        <v>17</v>
      </c>
      <c r="L274">
        <v>40</v>
      </c>
      <c r="M274" t="s">
        <v>15</v>
      </c>
    </row>
    <row r="275" spans="1:13" x14ac:dyDescent="0.25">
      <c r="A275">
        <v>26879</v>
      </c>
      <c r="B275" t="s">
        <v>35</v>
      </c>
      <c r="C275" t="s">
        <v>33</v>
      </c>
      <c r="D275" s="5">
        <v>20000</v>
      </c>
      <c r="E275">
        <v>0</v>
      </c>
      <c r="F275" t="s">
        <v>27</v>
      </c>
      <c r="G275" t="s">
        <v>25</v>
      </c>
      <c r="H275" t="s">
        <v>18</v>
      </c>
      <c r="I275">
        <v>1</v>
      </c>
      <c r="J275" t="s">
        <v>22</v>
      </c>
      <c r="K275" t="s">
        <v>17</v>
      </c>
      <c r="L275">
        <v>30</v>
      </c>
      <c r="M275" t="s">
        <v>18</v>
      </c>
    </row>
    <row r="276" spans="1:13" x14ac:dyDescent="0.25">
      <c r="A276">
        <v>12284</v>
      </c>
      <c r="B276" t="s">
        <v>34</v>
      </c>
      <c r="C276" t="s">
        <v>33</v>
      </c>
      <c r="D276" s="5">
        <v>30000</v>
      </c>
      <c r="E276">
        <v>0</v>
      </c>
      <c r="F276" t="s">
        <v>13</v>
      </c>
      <c r="G276" t="s">
        <v>20</v>
      </c>
      <c r="H276" t="s">
        <v>18</v>
      </c>
      <c r="I276">
        <v>0</v>
      </c>
      <c r="J276" t="s">
        <v>16</v>
      </c>
      <c r="K276" t="s">
        <v>17</v>
      </c>
      <c r="L276">
        <v>36</v>
      </c>
      <c r="M276" t="s">
        <v>15</v>
      </c>
    </row>
    <row r="277" spans="1:13" x14ac:dyDescent="0.25">
      <c r="A277">
        <v>26654</v>
      </c>
      <c r="B277" t="s">
        <v>34</v>
      </c>
      <c r="C277" t="s">
        <v>33</v>
      </c>
      <c r="D277" s="5">
        <v>90000</v>
      </c>
      <c r="E277">
        <v>1</v>
      </c>
      <c r="F277" t="s">
        <v>31</v>
      </c>
      <c r="G277" t="s">
        <v>28</v>
      </c>
      <c r="H277" t="s">
        <v>15</v>
      </c>
      <c r="I277">
        <v>0</v>
      </c>
      <c r="J277" t="s">
        <v>16</v>
      </c>
      <c r="K277" t="s">
        <v>24</v>
      </c>
      <c r="L277">
        <v>37</v>
      </c>
      <c r="M277" t="s">
        <v>15</v>
      </c>
    </row>
    <row r="278" spans="1:13" x14ac:dyDescent="0.25">
      <c r="A278">
        <v>14545</v>
      </c>
      <c r="B278" t="s">
        <v>34</v>
      </c>
      <c r="C278" t="s">
        <v>33</v>
      </c>
      <c r="D278" s="5">
        <v>10000</v>
      </c>
      <c r="E278">
        <v>2</v>
      </c>
      <c r="F278" t="s">
        <v>19</v>
      </c>
      <c r="G278" t="s">
        <v>25</v>
      </c>
      <c r="H278" t="s">
        <v>15</v>
      </c>
      <c r="I278">
        <v>0</v>
      </c>
      <c r="J278" t="s">
        <v>26</v>
      </c>
      <c r="K278" t="s">
        <v>17</v>
      </c>
      <c r="L278">
        <v>49</v>
      </c>
      <c r="M278" t="s">
        <v>18</v>
      </c>
    </row>
    <row r="279" spans="1:13" x14ac:dyDescent="0.25">
      <c r="A279">
        <v>24201</v>
      </c>
      <c r="B279" t="s">
        <v>34</v>
      </c>
      <c r="C279" t="s">
        <v>33</v>
      </c>
      <c r="D279" s="5">
        <v>10000</v>
      </c>
      <c r="E279">
        <v>2</v>
      </c>
      <c r="F279" t="s">
        <v>27</v>
      </c>
      <c r="G279" t="s">
        <v>25</v>
      </c>
      <c r="H279" t="s">
        <v>15</v>
      </c>
      <c r="I279">
        <v>0</v>
      </c>
      <c r="J279" t="s">
        <v>16</v>
      </c>
      <c r="K279" t="s">
        <v>17</v>
      </c>
      <c r="L279">
        <v>37</v>
      </c>
      <c r="M279" t="s">
        <v>15</v>
      </c>
    </row>
    <row r="280" spans="1:13" x14ac:dyDescent="0.25">
      <c r="A280">
        <v>20625</v>
      </c>
      <c r="B280" t="s">
        <v>34</v>
      </c>
      <c r="C280" t="s">
        <v>34</v>
      </c>
      <c r="D280" s="5">
        <v>100000</v>
      </c>
      <c r="E280">
        <v>0</v>
      </c>
      <c r="F280" t="s">
        <v>27</v>
      </c>
      <c r="G280" t="s">
        <v>28</v>
      </c>
      <c r="H280" t="s">
        <v>15</v>
      </c>
      <c r="I280">
        <v>3</v>
      </c>
      <c r="J280" t="s">
        <v>30</v>
      </c>
      <c r="K280" t="s">
        <v>24</v>
      </c>
      <c r="L280">
        <v>35</v>
      </c>
      <c r="M280" t="s">
        <v>15</v>
      </c>
    </row>
    <row r="281" spans="1:13" x14ac:dyDescent="0.25">
      <c r="A281">
        <v>16390</v>
      </c>
      <c r="B281" t="s">
        <v>35</v>
      </c>
      <c r="C281" t="s">
        <v>34</v>
      </c>
      <c r="D281" s="5">
        <v>30000</v>
      </c>
      <c r="E281">
        <v>1</v>
      </c>
      <c r="F281" t="s">
        <v>13</v>
      </c>
      <c r="G281" t="s">
        <v>20</v>
      </c>
      <c r="H281" t="s">
        <v>18</v>
      </c>
      <c r="I281">
        <v>0</v>
      </c>
      <c r="J281" t="s">
        <v>16</v>
      </c>
      <c r="K281" t="s">
        <v>17</v>
      </c>
      <c r="L281">
        <v>38</v>
      </c>
      <c r="M281" t="s">
        <v>15</v>
      </c>
    </row>
    <row r="282" spans="1:13" x14ac:dyDescent="0.25">
      <c r="A282">
        <v>14804</v>
      </c>
      <c r="B282" t="s">
        <v>35</v>
      </c>
      <c r="C282" t="s">
        <v>33</v>
      </c>
      <c r="D282" s="5">
        <v>10000</v>
      </c>
      <c r="E282">
        <v>3</v>
      </c>
      <c r="F282" t="s">
        <v>29</v>
      </c>
      <c r="G282" t="s">
        <v>25</v>
      </c>
      <c r="H282" t="s">
        <v>15</v>
      </c>
      <c r="I282">
        <v>2</v>
      </c>
      <c r="J282" t="s">
        <v>16</v>
      </c>
      <c r="K282" t="s">
        <v>17</v>
      </c>
      <c r="L282">
        <v>43</v>
      </c>
      <c r="M282" t="s">
        <v>18</v>
      </c>
    </row>
    <row r="283" spans="1:13" x14ac:dyDescent="0.25">
      <c r="A283">
        <v>12629</v>
      </c>
      <c r="B283" t="s">
        <v>35</v>
      </c>
      <c r="C283" t="s">
        <v>34</v>
      </c>
      <c r="D283" s="5">
        <v>20000</v>
      </c>
      <c r="E283">
        <v>1</v>
      </c>
      <c r="F283" t="s">
        <v>19</v>
      </c>
      <c r="G283" t="s">
        <v>25</v>
      </c>
      <c r="H283" t="s">
        <v>18</v>
      </c>
      <c r="I283">
        <v>0</v>
      </c>
      <c r="J283" t="s">
        <v>16</v>
      </c>
      <c r="K283" t="s">
        <v>17</v>
      </c>
      <c r="L283">
        <v>37</v>
      </c>
      <c r="M283" t="s">
        <v>18</v>
      </c>
    </row>
    <row r="284" spans="1:13" x14ac:dyDescent="0.25">
      <c r="A284">
        <v>14696</v>
      </c>
      <c r="B284" t="s">
        <v>35</v>
      </c>
      <c r="C284" t="s">
        <v>34</v>
      </c>
      <c r="D284" s="5">
        <v>10000</v>
      </c>
      <c r="E284">
        <v>0</v>
      </c>
      <c r="F284" t="s">
        <v>29</v>
      </c>
      <c r="G284" t="s">
        <v>25</v>
      </c>
      <c r="H284" t="s">
        <v>18</v>
      </c>
      <c r="I284">
        <v>2</v>
      </c>
      <c r="J284" t="s">
        <v>16</v>
      </c>
      <c r="K284" t="s">
        <v>17</v>
      </c>
      <c r="L284">
        <v>34</v>
      </c>
      <c r="M284" t="s">
        <v>18</v>
      </c>
    </row>
    <row r="285" spans="1:13" x14ac:dyDescent="0.25">
      <c r="A285">
        <v>22005</v>
      </c>
      <c r="B285" t="s">
        <v>34</v>
      </c>
      <c r="C285" t="s">
        <v>33</v>
      </c>
      <c r="D285" s="5">
        <v>70000</v>
      </c>
      <c r="E285">
        <v>5</v>
      </c>
      <c r="F285" t="s">
        <v>19</v>
      </c>
      <c r="G285" t="s">
        <v>14</v>
      </c>
      <c r="H285" t="s">
        <v>18</v>
      </c>
      <c r="I285">
        <v>3</v>
      </c>
      <c r="J285" t="s">
        <v>23</v>
      </c>
      <c r="K285" t="s">
        <v>24</v>
      </c>
      <c r="L285">
        <v>46</v>
      </c>
      <c r="M285" t="s">
        <v>18</v>
      </c>
    </row>
    <row r="286" spans="1:13" x14ac:dyDescent="0.25">
      <c r="A286">
        <v>14544</v>
      </c>
      <c r="B286" t="s">
        <v>35</v>
      </c>
      <c r="C286" t="s">
        <v>34</v>
      </c>
      <c r="D286" s="5">
        <v>10000</v>
      </c>
      <c r="E286">
        <v>1</v>
      </c>
      <c r="F286" t="s">
        <v>19</v>
      </c>
      <c r="G286" t="s">
        <v>25</v>
      </c>
      <c r="H286" t="s">
        <v>15</v>
      </c>
      <c r="I286">
        <v>0</v>
      </c>
      <c r="J286" t="s">
        <v>16</v>
      </c>
      <c r="K286" t="s">
        <v>17</v>
      </c>
      <c r="L286">
        <v>49</v>
      </c>
      <c r="M286" t="s">
        <v>18</v>
      </c>
    </row>
    <row r="287" spans="1:13" x14ac:dyDescent="0.25">
      <c r="A287">
        <v>14312</v>
      </c>
      <c r="B287" t="s">
        <v>34</v>
      </c>
      <c r="C287" t="s">
        <v>33</v>
      </c>
      <c r="D287" s="5">
        <v>60000</v>
      </c>
      <c r="E287">
        <v>1</v>
      </c>
      <c r="F287" t="s">
        <v>19</v>
      </c>
      <c r="G287" t="s">
        <v>14</v>
      </c>
      <c r="H287" t="s">
        <v>15</v>
      </c>
      <c r="I287">
        <v>1</v>
      </c>
      <c r="J287" t="s">
        <v>23</v>
      </c>
      <c r="K287" t="s">
        <v>24</v>
      </c>
      <c r="L287">
        <v>45</v>
      </c>
      <c r="M287" t="s">
        <v>18</v>
      </c>
    </row>
    <row r="288" spans="1:13" x14ac:dyDescent="0.25">
      <c r="A288">
        <v>29120</v>
      </c>
      <c r="B288" t="s">
        <v>35</v>
      </c>
      <c r="C288" t="s">
        <v>33</v>
      </c>
      <c r="D288" s="5">
        <v>100000</v>
      </c>
      <c r="E288">
        <v>1</v>
      </c>
      <c r="F288" t="s">
        <v>13</v>
      </c>
      <c r="G288" t="s">
        <v>28</v>
      </c>
      <c r="H288" t="s">
        <v>15</v>
      </c>
      <c r="I288">
        <v>4</v>
      </c>
      <c r="J288" t="s">
        <v>22</v>
      </c>
      <c r="K288" t="s">
        <v>24</v>
      </c>
      <c r="L288">
        <v>48</v>
      </c>
      <c r="M288" t="s">
        <v>18</v>
      </c>
    </row>
    <row r="289" spans="1:13" x14ac:dyDescent="0.25">
      <c r="A289">
        <v>24187</v>
      </c>
      <c r="B289" t="s">
        <v>35</v>
      </c>
      <c r="C289" t="s">
        <v>33</v>
      </c>
      <c r="D289" s="5">
        <v>30000</v>
      </c>
      <c r="E289">
        <v>3</v>
      </c>
      <c r="F289" t="s">
        <v>31</v>
      </c>
      <c r="G289" t="s">
        <v>20</v>
      </c>
      <c r="H289" t="s">
        <v>18</v>
      </c>
      <c r="I289">
        <v>0</v>
      </c>
      <c r="J289" t="s">
        <v>16</v>
      </c>
      <c r="K289" t="s">
        <v>17</v>
      </c>
      <c r="L289">
        <v>46</v>
      </c>
      <c r="M289" t="s">
        <v>15</v>
      </c>
    </row>
    <row r="290" spans="1:13" x14ac:dyDescent="0.25">
      <c r="A290">
        <v>15758</v>
      </c>
      <c r="B290" t="s">
        <v>34</v>
      </c>
      <c r="C290" t="s">
        <v>34</v>
      </c>
      <c r="D290" s="5">
        <v>130000</v>
      </c>
      <c r="E290">
        <v>0</v>
      </c>
      <c r="F290" t="s">
        <v>31</v>
      </c>
      <c r="G290" t="s">
        <v>28</v>
      </c>
      <c r="H290" t="s">
        <v>15</v>
      </c>
      <c r="I290">
        <v>0</v>
      </c>
      <c r="J290" t="s">
        <v>23</v>
      </c>
      <c r="K290" t="s">
        <v>24</v>
      </c>
      <c r="L290">
        <v>48</v>
      </c>
      <c r="M290" t="s">
        <v>18</v>
      </c>
    </row>
    <row r="291" spans="1:13" x14ac:dyDescent="0.25">
      <c r="A291">
        <v>29094</v>
      </c>
      <c r="B291" t="s">
        <v>34</v>
      </c>
      <c r="C291" t="s">
        <v>34</v>
      </c>
      <c r="D291" s="5">
        <v>30000</v>
      </c>
      <c r="E291">
        <v>3</v>
      </c>
      <c r="F291" t="s">
        <v>27</v>
      </c>
      <c r="G291" t="s">
        <v>14</v>
      </c>
      <c r="H291" t="s">
        <v>15</v>
      </c>
      <c r="I291">
        <v>2</v>
      </c>
      <c r="J291" t="s">
        <v>23</v>
      </c>
      <c r="K291" t="s">
        <v>24</v>
      </c>
      <c r="L291">
        <v>54</v>
      </c>
      <c r="M291" t="s">
        <v>15</v>
      </c>
    </row>
    <row r="292" spans="1:13" x14ac:dyDescent="0.25">
      <c r="A292">
        <v>28319</v>
      </c>
      <c r="B292" t="s">
        <v>35</v>
      </c>
      <c r="C292" t="s">
        <v>33</v>
      </c>
      <c r="D292" s="5">
        <v>60000</v>
      </c>
      <c r="E292">
        <v>1</v>
      </c>
      <c r="F292" t="s">
        <v>19</v>
      </c>
      <c r="G292" t="s">
        <v>14</v>
      </c>
      <c r="H292" t="s">
        <v>18</v>
      </c>
      <c r="I292">
        <v>1</v>
      </c>
      <c r="J292" t="s">
        <v>16</v>
      </c>
      <c r="K292" t="s">
        <v>24</v>
      </c>
      <c r="L292">
        <v>46</v>
      </c>
      <c r="M292" t="s">
        <v>15</v>
      </c>
    </row>
    <row r="293" spans="1:13" x14ac:dyDescent="0.25">
      <c r="A293">
        <v>16406</v>
      </c>
      <c r="B293" t="s">
        <v>34</v>
      </c>
      <c r="C293" t="s">
        <v>34</v>
      </c>
      <c r="D293" s="5">
        <v>40000</v>
      </c>
      <c r="E293">
        <v>0</v>
      </c>
      <c r="F293" t="s">
        <v>13</v>
      </c>
      <c r="G293" t="s">
        <v>20</v>
      </c>
      <c r="H293" t="s">
        <v>18</v>
      </c>
      <c r="I293">
        <v>0</v>
      </c>
      <c r="J293" t="s">
        <v>16</v>
      </c>
      <c r="K293" t="s">
        <v>17</v>
      </c>
      <c r="L293">
        <v>38</v>
      </c>
      <c r="M293" t="s">
        <v>15</v>
      </c>
    </row>
    <row r="294" spans="1:13" x14ac:dyDescent="0.25">
      <c r="A294">
        <v>20923</v>
      </c>
      <c r="B294" t="s">
        <v>34</v>
      </c>
      <c r="C294" t="s">
        <v>33</v>
      </c>
      <c r="D294" s="5">
        <v>40000</v>
      </c>
      <c r="E294">
        <v>1</v>
      </c>
      <c r="F294" t="s">
        <v>13</v>
      </c>
      <c r="G294" t="s">
        <v>14</v>
      </c>
      <c r="H294" t="s">
        <v>15</v>
      </c>
      <c r="I294">
        <v>0</v>
      </c>
      <c r="J294" t="s">
        <v>16</v>
      </c>
      <c r="K294" t="s">
        <v>17</v>
      </c>
      <c r="L294">
        <v>42</v>
      </c>
      <c r="M294" t="s">
        <v>15</v>
      </c>
    </row>
    <row r="295" spans="1:13" x14ac:dyDescent="0.25">
      <c r="A295">
        <v>11378</v>
      </c>
      <c r="B295" t="s">
        <v>35</v>
      </c>
      <c r="C295" t="s">
        <v>33</v>
      </c>
      <c r="D295" s="5">
        <v>10000</v>
      </c>
      <c r="E295">
        <v>1</v>
      </c>
      <c r="F295" t="s">
        <v>27</v>
      </c>
      <c r="G295" t="s">
        <v>25</v>
      </c>
      <c r="H295" t="s">
        <v>18</v>
      </c>
      <c r="I295">
        <v>1</v>
      </c>
      <c r="J295" t="s">
        <v>22</v>
      </c>
      <c r="K295" t="s">
        <v>17</v>
      </c>
      <c r="L295">
        <v>46</v>
      </c>
      <c r="M295" t="s">
        <v>15</v>
      </c>
    </row>
    <row r="296" spans="1:13" x14ac:dyDescent="0.25">
      <c r="A296">
        <v>20851</v>
      </c>
      <c r="B296" t="s">
        <v>35</v>
      </c>
      <c r="C296" t="s">
        <v>34</v>
      </c>
      <c r="D296" s="5">
        <v>20000</v>
      </c>
      <c r="E296">
        <v>0</v>
      </c>
      <c r="F296" t="s">
        <v>19</v>
      </c>
      <c r="G296" t="s">
        <v>25</v>
      </c>
      <c r="H296" t="s">
        <v>18</v>
      </c>
      <c r="I296">
        <v>1</v>
      </c>
      <c r="J296" t="s">
        <v>22</v>
      </c>
      <c r="K296" t="s">
        <v>17</v>
      </c>
      <c r="L296">
        <v>36</v>
      </c>
      <c r="M296" t="s">
        <v>15</v>
      </c>
    </row>
    <row r="297" spans="1:13" x14ac:dyDescent="0.25">
      <c r="A297">
        <v>21557</v>
      </c>
      <c r="B297" t="s">
        <v>35</v>
      </c>
      <c r="C297" t="s">
        <v>33</v>
      </c>
      <c r="D297" s="5">
        <v>110000</v>
      </c>
      <c r="E297">
        <v>0</v>
      </c>
      <c r="F297" t="s">
        <v>19</v>
      </c>
      <c r="G297" t="s">
        <v>28</v>
      </c>
      <c r="H297" t="s">
        <v>15</v>
      </c>
      <c r="I297">
        <v>3</v>
      </c>
      <c r="J297" t="s">
        <v>30</v>
      </c>
      <c r="K297" t="s">
        <v>24</v>
      </c>
      <c r="L297">
        <v>32</v>
      </c>
      <c r="M297" t="s">
        <v>15</v>
      </c>
    </row>
    <row r="298" spans="1:13" x14ac:dyDescent="0.25">
      <c r="A298">
        <v>26663</v>
      </c>
      <c r="B298" t="s">
        <v>35</v>
      </c>
      <c r="C298" t="s">
        <v>33</v>
      </c>
      <c r="D298" s="5">
        <v>60000</v>
      </c>
      <c r="E298">
        <v>2</v>
      </c>
      <c r="F298" t="s">
        <v>13</v>
      </c>
      <c r="G298" t="s">
        <v>21</v>
      </c>
      <c r="H298" t="s">
        <v>18</v>
      </c>
      <c r="I298">
        <v>1</v>
      </c>
      <c r="J298" t="s">
        <v>16</v>
      </c>
      <c r="K298" t="s">
        <v>24</v>
      </c>
      <c r="L298">
        <v>39</v>
      </c>
      <c r="M298" t="s">
        <v>15</v>
      </c>
    </row>
    <row r="299" spans="1:13" x14ac:dyDescent="0.25">
      <c r="A299">
        <v>11896</v>
      </c>
      <c r="B299" t="s">
        <v>34</v>
      </c>
      <c r="C299" t="s">
        <v>34</v>
      </c>
      <c r="D299" s="5">
        <v>100000</v>
      </c>
      <c r="E299">
        <v>1</v>
      </c>
      <c r="F299" t="s">
        <v>31</v>
      </c>
      <c r="G299" t="s">
        <v>28</v>
      </c>
      <c r="H299" t="s">
        <v>15</v>
      </c>
      <c r="I299">
        <v>0</v>
      </c>
      <c r="J299" t="s">
        <v>22</v>
      </c>
      <c r="K299" t="s">
        <v>24</v>
      </c>
      <c r="L299">
        <v>36</v>
      </c>
      <c r="M299" t="s">
        <v>15</v>
      </c>
    </row>
    <row r="300" spans="1:13" x14ac:dyDescent="0.25">
      <c r="A300">
        <v>14189</v>
      </c>
      <c r="B300" t="s">
        <v>34</v>
      </c>
      <c r="C300" t="s">
        <v>33</v>
      </c>
      <c r="D300" s="5">
        <v>90000</v>
      </c>
      <c r="E300">
        <v>4</v>
      </c>
      <c r="F300" t="s">
        <v>27</v>
      </c>
      <c r="G300" t="s">
        <v>21</v>
      </c>
      <c r="H300" t="s">
        <v>18</v>
      </c>
      <c r="I300">
        <v>2</v>
      </c>
      <c r="J300" t="s">
        <v>22</v>
      </c>
      <c r="K300" t="s">
        <v>17</v>
      </c>
      <c r="L300">
        <v>54</v>
      </c>
      <c r="M300" t="s">
        <v>15</v>
      </c>
    </row>
    <row r="301" spans="1:13" x14ac:dyDescent="0.25">
      <c r="A301">
        <v>13136</v>
      </c>
      <c r="B301" t="s">
        <v>34</v>
      </c>
      <c r="C301" t="s">
        <v>33</v>
      </c>
      <c r="D301" s="5">
        <v>30000</v>
      </c>
      <c r="E301">
        <v>2</v>
      </c>
      <c r="F301" t="s">
        <v>19</v>
      </c>
      <c r="G301" t="s">
        <v>20</v>
      </c>
      <c r="H301" t="s">
        <v>18</v>
      </c>
      <c r="I301">
        <v>2</v>
      </c>
      <c r="J301" t="s">
        <v>23</v>
      </c>
      <c r="K301" t="s">
        <v>24</v>
      </c>
      <c r="L301">
        <v>69</v>
      </c>
      <c r="M301" t="s">
        <v>18</v>
      </c>
    </row>
    <row r="302" spans="1:13" x14ac:dyDescent="0.25">
      <c r="A302">
        <v>25906</v>
      </c>
      <c r="B302" t="s">
        <v>35</v>
      </c>
      <c r="C302" t="s">
        <v>33</v>
      </c>
      <c r="D302" s="5">
        <v>10000</v>
      </c>
      <c r="E302">
        <v>5</v>
      </c>
      <c r="F302" t="s">
        <v>27</v>
      </c>
      <c r="G302" t="s">
        <v>14</v>
      </c>
      <c r="H302" t="s">
        <v>18</v>
      </c>
      <c r="I302">
        <v>2</v>
      </c>
      <c r="J302" t="s">
        <v>26</v>
      </c>
      <c r="K302" t="s">
        <v>24</v>
      </c>
      <c r="L302">
        <v>62</v>
      </c>
      <c r="M302" t="s">
        <v>18</v>
      </c>
    </row>
    <row r="303" spans="1:13" x14ac:dyDescent="0.25">
      <c r="A303">
        <v>17926</v>
      </c>
      <c r="B303" t="s">
        <v>35</v>
      </c>
      <c r="C303" t="s">
        <v>33</v>
      </c>
      <c r="D303" s="5">
        <v>40000</v>
      </c>
      <c r="E303">
        <v>0</v>
      </c>
      <c r="F303" t="s">
        <v>13</v>
      </c>
      <c r="G303" t="s">
        <v>20</v>
      </c>
      <c r="H303" t="s">
        <v>18</v>
      </c>
      <c r="I303">
        <v>0</v>
      </c>
      <c r="J303" t="s">
        <v>16</v>
      </c>
      <c r="K303" t="s">
        <v>24</v>
      </c>
      <c r="L303">
        <v>28</v>
      </c>
      <c r="M303" t="s">
        <v>15</v>
      </c>
    </row>
    <row r="304" spans="1:13" x14ac:dyDescent="0.25">
      <c r="A304">
        <v>26928</v>
      </c>
      <c r="B304" t="s">
        <v>35</v>
      </c>
      <c r="C304" t="s">
        <v>34</v>
      </c>
      <c r="D304" s="5">
        <v>30000</v>
      </c>
      <c r="E304">
        <v>1</v>
      </c>
      <c r="F304" t="s">
        <v>13</v>
      </c>
      <c r="G304" t="s">
        <v>20</v>
      </c>
      <c r="H304" t="s">
        <v>15</v>
      </c>
      <c r="I304">
        <v>0</v>
      </c>
      <c r="J304" t="s">
        <v>16</v>
      </c>
      <c r="K304" t="s">
        <v>17</v>
      </c>
      <c r="L304">
        <v>62</v>
      </c>
      <c r="M304" t="s">
        <v>15</v>
      </c>
    </row>
    <row r="305" spans="1:13" x14ac:dyDescent="0.25">
      <c r="A305">
        <v>20897</v>
      </c>
      <c r="B305" t="s">
        <v>34</v>
      </c>
      <c r="C305" t="s">
        <v>33</v>
      </c>
      <c r="D305" s="5">
        <v>30000</v>
      </c>
      <c r="E305">
        <v>1</v>
      </c>
      <c r="F305" t="s">
        <v>13</v>
      </c>
      <c r="G305" t="s">
        <v>14</v>
      </c>
      <c r="H305" t="s">
        <v>15</v>
      </c>
      <c r="I305">
        <v>2</v>
      </c>
      <c r="J305" t="s">
        <v>16</v>
      </c>
      <c r="K305" t="s">
        <v>17</v>
      </c>
      <c r="L305">
        <v>40</v>
      </c>
      <c r="M305" t="s">
        <v>18</v>
      </c>
    </row>
    <row r="306" spans="1:13" x14ac:dyDescent="0.25">
      <c r="A306">
        <v>28207</v>
      </c>
      <c r="B306" t="s">
        <v>34</v>
      </c>
      <c r="C306" t="s">
        <v>34</v>
      </c>
      <c r="D306" s="5">
        <v>80000</v>
      </c>
      <c r="E306">
        <v>4</v>
      </c>
      <c r="F306" t="s">
        <v>31</v>
      </c>
      <c r="G306" t="s">
        <v>28</v>
      </c>
      <c r="H306" t="s">
        <v>15</v>
      </c>
      <c r="I306">
        <v>1</v>
      </c>
      <c r="J306" t="s">
        <v>16</v>
      </c>
      <c r="K306" t="s">
        <v>24</v>
      </c>
      <c r="L306">
        <v>36</v>
      </c>
      <c r="M306" t="s">
        <v>15</v>
      </c>
    </row>
    <row r="307" spans="1:13" x14ac:dyDescent="0.25">
      <c r="A307">
        <v>25923</v>
      </c>
      <c r="B307" t="s">
        <v>35</v>
      </c>
      <c r="C307" t="s">
        <v>34</v>
      </c>
      <c r="D307" s="5">
        <v>10000</v>
      </c>
      <c r="E307">
        <v>2</v>
      </c>
      <c r="F307" t="s">
        <v>29</v>
      </c>
      <c r="G307" t="s">
        <v>20</v>
      </c>
      <c r="H307" t="s">
        <v>15</v>
      </c>
      <c r="I307">
        <v>2</v>
      </c>
      <c r="J307" t="s">
        <v>23</v>
      </c>
      <c r="K307" t="s">
        <v>24</v>
      </c>
      <c r="L307">
        <v>58</v>
      </c>
      <c r="M307" t="s">
        <v>18</v>
      </c>
    </row>
    <row r="308" spans="1:13" x14ac:dyDescent="0.25">
      <c r="A308">
        <v>11000</v>
      </c>
      <c r="B308" t="s">
        <v>34</v>
      </c>
      <c r="C308" t="s">
        <v>34</v>
      </c>
      <c r="D308" s="5">
        <v>90000</v>
      </c>
      <c r="E308">
        <v>2</v>
      </c>
      <c r="F308" t="s">
        <v>13</v>
      </c>
      <c r="G308" t="s">
        <v>21</v>
      </c>
      <c r="H308" t="s">
        <v>15</v>
      </c>
      <c r="I308">
        <v>0</v>
      </c>
      <c r="J308" t="s">
        <v>26</v>
      </c>
      <c r="K308" t="s">
        <v>24</v>
      </c>
      <c r="L308">
        <v>40</v>
      </c>
      <c r="M308" t="s">
        <v>15</v>
      </c>
    </row>
    <row r="309" spans="1:13" x14ac:dyDescent="0.25">
      <c r="A309">
        <v>20974</v>
      </c>
      <c r="B309" t="s">
        <v>34</v>
      </c>
      <c r="C309" t="s">
        <v>34</v>
      </c>
      <c r="D309" s="5">
        <v>10000</v>
      </c>
      <c r="E309">
        <v>2</v>
      </c>
      <c r="F309" t="s">
        <v>13</v>
      </c>
      <c r="G309" t="s">
        <v>20</v>
      </c>
      <c r="H309" t="s">
        <v>15</v>
      </c>
      <c r="I309">
        <v>1</v>
      </c>
      <c r="J309" t="s">
        <v>16</v>
      </c>
      <c r="K309" t="s">
        <v>17</v>
      </c>
      <c r="L309">
        <v>66</v>
      </c>
      <c r="M309" t="s">
        <v>18</v>
      </c>
    </row>
    <row r="310" spans="1:13" x14ac:dyDescent="0.25">
      <c r="A310">
        <v>28758</v>
      </c>
      <c r="B310" t="s">
        <v>34</v>
      </c>
      <c r="C310" t="s">
        <v>34</v>
      </c>
      <c r="D310" s="5">
        <v>40000</v>
      </c>
      <c r="E310">
        <v>2</v>
      </c>
      <c r="F310" t="s">
        <v>19</v>
      </c>
      <c r="G310" t="s">
        <v>20</v>
      </c>
      <c r="H310" t="s">
        <v>15</v>
      </c>
      <c r="I310">
        <v>1</v>
      </c>
      <c r="J310" t="s">
        <v>26</v>
      </c>
      <c r="K310" t="s">
        <v>17</v>
      </c>
      <c r="L310">
        <v>35</v>
      </c>
      <c r="M310" t="s">
        <v>15</v>
      </c>
    </row>
    <row r="311" spans="1:13" x14ac:dyDescent="0.25">
      <c r="A311">
        <v>11381</v>
      </c>
      <c r="B311" t="s">
        <v>34</v>
      </c>
      <c r="C311" t="s">
        <v>33</v>
      </c>
      <c r="D311" s="5">
        <v>20000</v>
      </c>
      <c r="E311">
        <v>2</v>
      </c>
      <c r="F311" t="s">
        <v>19</v>
      </c>
      <c r="G311" t="s">
        <v>25</v>
      </c>
      <c r="H311" t="s">
        <v>15</v>
      </c>
      <c r="I311">
        <v>1</v>
      </c>
      <c r="J311" t="s">
        <v>22</v>
      </c>
      <c r="K311" t="s">
        <v>17</v>
      </c>
      <c r="L311">
        <v>47</v>
      </c>
      <c r="M311" t="s">
        <v>15</v>
      </c>
    </row>
    <row r="312" spans="1:13" x14ac:dyDescent="0.25">
      <c r="A312">
        <v>17522</v>
      </c>
      <c r="B312" t="s">
        <v>34</v>
      </c>
      <c r="C312" t="s">
        <v>34</v>
      </c>
      <c r="D312" s="5">
        <v>120000</v>
      </c>
      <c r="E312">
        <v>4</v>
      </c>
      <c r="F312" t="s">
        <v>13</v>
      </c>
      <c r="G312" t="s">
        <v>28</v>
      </c>
      <c r="H312" t="s">
        <v>15</v>
      </c>
      <c r="I312">
        <v>1</v>
      </c>
      <c r="J312" t="s">
        <v>22</v>
      </c>
      <c r="K312" t="s">
        <v>24</v>
      </c>
      <c r="L312">
        <v>47</v>
      </c>
      <c r="M312" t="s">
        <v>18</v>
      </c>
    </row>
    <row r="313" spans="1:13" x14ac:dyDescent="0.25">
      <c r="A313">
        <v>21207</v>
      </c>
      <c r="B313" t="s">
        <v>34</v>
      </c>
      <c r="C313" t="s">
        <v>34</v>
      </c>
      <c r="D313" s="5">
        <v>60000</v>
      </c>
      <c r="E313">
        <v>1</v>
      </c>
      <c r="F313" t="s">
        <v>19</v>
      </c>
      <c r="G313" t="s">
        <v>14</v>
      </c>
      <c r="H313" t="s">
        <v>15</v>
      </c>
      <c r="I313">
        <v>1</v>
      </c>
      <c r="J313" t="s">
        <v>23</v>
      </c>
      <c r="K313" t="s">
        <v>24</v>
      </c>
      <c r="L313">
        <v>46</v>
      </c>
      <c r="M313" t="s">
        <v>18</v>
      </c>
    </row>
    <row r="314" spans="1:13" x14ac:dyDescent="0.25">
      <c r="A314">
        <v>28102</v>
      </c>
      <c r="B314" t="s">
        <v>34</v>
      </c>
      <c r="C314" t="s">
        <v>34</v>
      </c>
      <c r="D314" s="5">
        <v>20000</v>
      </c>
      <c r="E314">
        <v>4</v>
      </c>
      <c r="F314" t="s">
        <v>27</v>
      </c>
      <c r="G314" t="s">
        <v>14</v>
      </c>
      <c r="H314" t="s">
        <v>15</v>
      </c>
      <c r="I314">
        <v>2</v>
      </c>
      <c r="J314" t="s">
        <v>23</v>
      </c>
      <c r="K314" t="s">
        <v>24</v>
      </c>
      <c r="L314">
        <v>58</v>
      </c>
      <c r="M314" t="s">
        <v>15</v>
      </c>
    </row>
    <row r="315" spans="1:13" x14ac:dyDescent="0.25">
      <c r="A315">
        <v>23105</v>
      </c>
      <c r="B315" t="s">
        <v>35</v>
      </c>
      <c r="C315" t="s">
        <v>34</v>
      </c>
      <c r="D315" s="5">
        <v>40000</v>
      </c>
      <c r="E315">
        <v>3</v>
      </c>
      <c r="F315" t="s">
        <v>29</v>
      </c>
      <c r="G315" t="s">
        <v>20</v>
      </c>
      <c r="H315" t="s">
        <v>18</v>
      </c>
      <c r="I315">
        <v>2</v>
      </c>
      <c r="J315" t="s">
        <v>23</v>
      </c>
      <c r="K315" t="s">
        <v>24</v>
      </c>
      <c r="L315">
        <v>52</v>
      </c>
      <c r="M315" t="s">
        <v>15</v>
      </c>
    </row>
    <row r="316" spans="1:13" x14ac:dyDescent="0.25">
      <c r="A316">
        <v>18740</v>
      </c>
      <c r="B316" t="s">
        <v>34</v>
      </c>
      <c r="C316" t="s">
        <v>34</v>
      </c>
      <c r="D316" s="5">
        <v>80000</v>
      </c>
      <c r="E316">
        <v>5</v>
      </c>
      <c r="F316" t="s">
        <v>13</v>
      </c>
      <c r="G316" t="s">
        <v>21</v>
      </c>
      <c r="H316" t="s">
        <v>18</v>
      </c>
      <c r="I316">
        <v>1</v>
      </c>
      <c r="J316" t="s">
        <v>16</v>
      </c>
      <c r="K316" t="s">
        <v>24</v>
      </c>
      <c r="L316">
        <v>47</v>
      </c>
      <c r="M316" t="s">
        <v>15</v>
      </c>
    </row>
    <row r="317" spans="1:13" x14ac:dyDescent="0.25">
      <c r="A317">
        <v>21213</v>
      </c>
      <c r="B317" t="s">
        <v>35</v>
      </c>
      <c r="C317" t="s">
        <v>34</v>
      </c>
      <c r="D317" s="5">
        <v>70000</v>
      </c>
      <c r="E317">
        <v>0</v>
      </c>
      <c r="F317" t="s">
        <v>13</v>
      </c>
      <c r="G317" t="s">
        <v>21</v>
      </c>
      <c r="H317" t="s">
        <v>18</v>
      </c>
      <c r="I317">
        <v>1</v>
      </c>
      <c r="J317" t="s">
        <v>23</v>
      </c>
      <c r="K317" t="s">
        <v>24</v>
      </c>
      <c r="L317">
        <v>41</v>
      </c>
      <c r="M317" t="s">
        <v>18</v>
      </c>
    </row>
    <row r="318" spans="1:13" x14ac:dyDescent="0.25">
      <c r="A318">
        <v>17352</v>
      </c>
      <c r="B318" t="s">
        <v>34</v>
      </c>
      <c r="C318" t="s">
        <v>34</v>
      </c>
      <c r="D318" s="5">
        <v>50000</v>
      </c>
      <c r="E318">
        <v>2</v>
      </c>
      <c r="F318" t="s">
        <v>31</v>
      </c>
      <c r="G318" t="s">
        <v>28</v>
      </c>
      <c r="H318" t="s">
        <v>15</v>
      </c>
      <c r="I318">
        <v>1</v>
      </c>
      <c r="J318" t="s">
        <v>23</v>
      </c>
      <c r="K318" t="s">
        <v>24</v>
      </c>
      <c r="L318">
        <v>64</v>
      </c>
      <c r="M318" t="s">
        <v>15</v>
      </c>
    </row>
    <row r="319" spans="1:13" x14ac:dyDescent="0.25">
      <c r="A319">
        <v>14154</v>
      </c>
      <c r="B319" t="s">
        <v>34</v>
      </c>
      <c r="C319" t="s">
        <v>34</v>
      </c>
      <c r="D319" s="5">
        <v>30000</v>
      </c>
      <c r="E319">
        <v>0</v>
      </c>
      <c r="F319" t="s">
        <v>13</v>
      </c>
      <c r="G319" t="s">
        <v>20</v>
      </c>
      <c r="H319" t="s">
        <v>15</v>
      </c>
      <c r="I319">
        <v>0</v>
      </c>
      <c r="J319" t="s">
        <v>16</v>
      </c>
      <c r="K319" t="s">
        <v>17</v>
      </c>
      <c r="L319">
        <v>35</v>
      </c>
      <c r="M319" t="s">
        <v>15</v>
      </c>
    </row>
    <row r="320" spans="1:13" x14ac:dyDescent="0.25">
      <c r="A320">
        <v>19066</v>
      </c>
      <c r="B320" t="s">
        <v>34</v>
      </c>
      <c r="C320" t="s">
        <v>34</v>
      </c>
      <c r="D320" s="5">
        <v>130000</v>
      </c>
      <c r="E320">
        <v>4</v>
      </c>
      <c r="F320" t="s">
        <v>19</v>
      </c>
      <c r="G320" t="s">
        <v>21</v>
      </c>
      <c r="H320" t="s">
        <v>18</v>
      </c>
      <c r="I320">
        <v>3</v>
      </c>
      <c r="J320" t="s">
        <v>30</v>
      </c>
      <c r="K320" t="s">
        <v>17</v>
      </c>
      <c r="L320">
        <v>54</v>
      </c>
      <c r="M320" t="s">
        <v>18</v>
      </c>
    </row>
    <row r="321" spans="1:13" x14ac:dyDescent="0.25">
      <c r="A321">
        <v>11386</v>
      </c>
      <c r="B321" t="s">
        <v>34</v>
      </c>
      <c r="C321" t="s">
        <v>33</v>
      </c>
      <c r="D321" s="5">
        <v>30000</v>
      </c>
      <c r="E321">
        <v>3</v>
      </c>
      <c r="F321" t="s">
        <v>13</v>
      </c>
      <c r="G321" t="s">
        <v>20</v>
      </c>
      <c r="H321" t="s">
        <v>15</v>
      </c>
      <c r="I321">
        <v>0</v>
      </c>
      <c r="J321" t="s">
        <v>16</v>
      </c>
      <c r="K321" t="s">
        <v>17</v>
      </c>
      <c r="L321">
        <v>45</v>
      </c>
      <c r="M321" t="s">
        <v>18</v>
      </c>
    </row>
    <row r="322" spans="1:13" x14ac:dyDescent="0.25">
      <c r="A322">
        <v>20228</v>
      </c>
      <c r="B322" t="s">
        <v>34</v>
      </c>
      <c r="C322" t="s">
        <v>34</v>
      </c>
      <c r="D322" s="5">
        <v>100000</v>
      </c>
      <c r="E322">
        <v>0</v>
      </c>
      <c r="F322" t="s">
        <v>31</v>
      </c>
      <c r="G322" t="s">
        <v>28</v>
      </c>
      <c r="H322" t="s">
        <v>15</v>
      </c>
      <c r="I322">
        <v>0</v>
      </c>
      <c r="J322" t="s">
        <v>22</v>
      </c>
      <c r="K322" t="s">
        <v>24</v>
      </c>
      <c r="L322">
        <v>40</v>
      </c>
      <c r="M322" t="s">
        <v>15</v>
      </c>
    </row>
    <row r="323" spans="1:13" x14ac:dyDescent="0.25">
      <c r="A323">
        <v>16675</v>
      </c>
      <c r="B323" t="s">
        <v>35</v>
      </c>
      <c r="C323" t="s">
        <v>33</v>
      </c>
      <c r="D323" s="5">
        <v>160000</v>
      </c>
      <c r="E323">
        <v>0</v>
      </c>
      <c r="F323" t="s">
        <v>31</v>
      </c>
      <c r="G323" t="s">
        <v>28</v>
      </c>
      <c r="H323" t="s">
        <v>18</v>
      </c>
      <c r="I323">
        <v>3</v>
      </c>
      <c r="J323" t="s">
        <v>16</v>
      </c>
      <c r="K323" t="s">
        <v>24</v>
      </c>
      <c r="L323">
        <v>47</v>
      </c>
      <c r="M323" t="s">
        <v>15</v>
      </c>
    </row>
    <row r="324" spans="1:13" x14ac:dyDescent="0.25">
      <c r="A324">
        <v>16410</v>
      </c>
      <c r="B324" t="s">
        <v>35</v>
      </c>
      <c r="C324" t="s">
        <v>33</v>
      </c>
      <c r="D324" s="5">
        <v>10000</v>
      </c>
      <c r="E324">
        <v>4</v>
      </c>
      <c r="F324" t="s">
        <v>29</v>
      </c>
      <c r="G324" t="s">
        <v>25</v>
      </c>
      <c r="H324" t="s">
        <v>15</v>
      </c>
      <c r="I324">
        <v>2</v>
      </c>
      <c r="J324" t="s">
        <v>16</v>
      </c>
      <c r="K324" t="s">
        <v>17</v>
      </c>
      <c r="L324">
        <v>41</v>
      </c>
      <c r="M324" t="s">
        <v>15</v>
      </c>
    </row>
    <row r="325" spans="1:13" x14ac:dyDescent="0.25">
      <c r="A325">
        <v>27760</v>
      </c>
      <c r="B325" t="s">
        <v>35</v>
      </c>
      <c r="C325" t="s">
        <v>33</v>
      </c>
      <c r="D325" s="5">
        <v>40000</v>
      </c>
      <c r="E325">
        <v>0</v>
      </c>
      <c r="F325" t="s">
        <v>31</v>
      </c>
      <c r="G325" t="s">
        <v>20</v>
      </c>
      <c r="H325" t="s">
        <v>18</v>
      </c>
      <c r="I325">
        <v>0</v>
      </c>
      <c r="J325" t="s">
        <v>16</v>
      </c>
      <c r="K325" t="s">
        <v>17</v>
      </c>
      <c r="L325">
        <v>37</v>
      </c>
      <c r="M325" t="s">
        <v>15</v>
      </c>
    </row>
    <row r="326" spans="1:13" x14ac:dyDescent="0.25">
      <c r="A326">
        <v>22930</v>
      </c>
      <c r="B326" t="s">
        <v>34</v>
      </c>
      <c r="C326" t="s">
        <v>34</v>
      </c>
      <c r="D326" s="5">
        <v>90000</v>
      </c>
      <c r="E326">
        <v>4</v>
      </c>
      <c r="F326" t="s">
        <v>13</v>
      </c>
      <c r="G326" t="s">
        <v>21</v>
      </c>
      <c r="H326" t="s">
        <v>15</v>
      </c>
      <c r="I326">
        <v>0</v>
      </c>
      <c r="J326" t="s">
        <v>26</v>
      </c>
      <c r="K326" t="s">
        <v>24</v>
      </c>
      <c r="L326">
        <v>38</v>
      </c>
      <c r="M326" t="s">
        <v>15</v>
      </c>
    </row>
    <row r="327" spans="1:13" x14ac:dyDescent="0.25">
      <c r="A327">
        <v>23780</v>
      </c>
      <c r="B327" t="s">
        <v>35</v>
      </c>
      <c r="C327" t="s">
        <v>34</v>
      </c>
      <c r="D327" s="5">
        <v>40000</v>
      </c>
      <c r="E327">
        <v>2</v>
      </c>
      <c r="F327" t="s">
        <v>19</v>
      </c>
      <c r="G327" t="s">
        <v>20</v>
      </c>
      <c r="H327" t="s">
        <v>18</v>
      </c>
      <c r="I327">
        <v>2</v>
      </c>
      <c r="J327" t="s">
        <v>16</v>
      </c>
      <c r="K327" t="s">
        <v>17</v>
      </c>
      <c r="L327">
        <v>36</v>
      </c>
      <c r="M327" t="s">
        <v>15</v>
      </c>
    </row>
    <row r="328" spans="1:13" x14ac:dyDescent="0.25">
      <c r="A328">
        <v>20994</v>
      </c>
      <c r="B328" t="s">
        <v>34</v>
      </c>
      <c r="C328" t="s">
        <v>33</v>
      </c>
      <c r="D328" s="5">
        <v>20000</v>
      </c>
      <c r="E328">
        <v>0</v>
      </c>
      <c r="F328" t="s">
        <v>13</v>
      </c>
      <c r="G328" t="s">
        <v>20</v>
      </c>
      <c r="H328" t="s">
        <v>18</v>
      </c>
      <c r="I328">
        <v>0</v>
      </c>
      <c r="J328" t="s">
        <v>16</v>
      </c>
      <c r="K328" t="s">
        <v>24</v>
      </c>
      <c r="L328">
        <v>26</v>
      </c>
      <c r="M328" t="s">
        <v>15</v>
      </c>
    </row>
    <row r="329" spans="1:13" x14ac:dyDescent="0.25">
      <c r="A329">
        <v>28379</v>
      </c>
      <c r="B329" t="s">
        <v>34</v>
      </c>
      <c r="C329" t="s">
        <v>34</v>
      </c>
      <c r="D329" s="5">
        <v>30000</v>
      </c>
      <c r="E329">
        <v>1</v>
      </c>
      <c r="F329" t="s">
        <v>13</v>
      </c>
      <c r="G329" t="s">
        <v>14</v>
      </c>
      <c r="H329" t="s">
        <v>15</v>
      </c>
      <c r="I329">
        <v>2</v>
      </c>
      <c r="J329" t="s">
        <v>16</v>
      </c>
      <c r="K329" t="s">
        <v>17</v>
      </c>
      <c r="L329">
        <v>40</v>
      </c>
      <c r="M329" t="s">
        <v>18</v>
      </c>
    </row>
    <row r="330" spans="1:13" x14ac:dyDescent="0.25">
      <c r="A330">
        <v>14865</v>
      </c>
      <c r="B330" t="s">
        <v>35</v>
      </c>
      <c r="C330" t="s">
        <v>34</v>
      </c>
      <c r="D330" s="5">
        <v>40000</v>
      </c>
      <c r="E330">
        <v>2</v>
      </c>
      <c r="F330" t="s">
        <v>19</v>
      </c>
      <c r="G330" t="s">
        <v>20</v>
      </c>
      <c r="H330" t="s">
        <v>15</v>
      </c>
      <c r="I330">
        <v>2</v>
      </c>
      <c r="J330" t="s">
        <v>26</v>
      </c>
      <c r="K330" t="s">
        <v>17</v>
      </c>
      <c r="L330">
        <v>36</v>
      </c>
      <c r="M330" t="s">
        <v>18</v>
      </c>
    </row>
    <row r="331" spans="1:13" x14ac:dyDescent="0.25">
      <c r="A331">
        <v>12663</v>
      </c>
      <c r="B331" t="s">
        <v>34</v>
      </c>
      <c r="C331" t="s">
        <v>33</v>
      </c>
      <c r="D331" s="5">
        <v>90000</v>
      </c>
      <c r="E331">
        <v>5</v>
      </c>
      <c r="F331" t="s">
        <v>29</v>
      </c>
      <c r="G331" t="s">
        <v>14</v>
      </c>
      <c r="H331" t="s">
        <v>15</v>
      </c>
      <c r="I331">
        <v>2</v>
      </c>
      <c r="J331" t="s">
        <v>30</v>
      </c>
      <c r="K331" t="s">
        <v>17</v>
      </c>
      <c r="L331">
        <v>59</v>
      </c>
      <c r="M331" t="s">
        <v>18</v>
      </c>
    </row>
    <row r="332" spans="1:13" x14ac:dyDescent="0.25">
      <c r="A332">
        <v>24898</v>
      </c>
      <c r="B332" t="s">
        <v>35</v>
      </c>
      <c r="C332" t="s">
        <v>33</v>
      </c>
      <c r="D332" s="5">
        <v>80000</v>
      </c>
      <c r="E332">
        <v>0</v>
      </c>
      <c r="F332" t="s">
        <v>13</v>
      </c>
      <c r="G332" t="s">
        <v>21</v>
      </c>
      <c r="H332" t="s">
        <v>15</v>
      </c>
      <c r="I332">
        <v>3</v>
      </c>
      <c r="J332" t="s">
        <v>30</v>
      </c>
      <c r="K332" t="s">
        <v>24</v>
      </c>
      <c r="L332">
        <v>32</v>
      </c>
      <c r="M332" t="s">
        <v>18</v>
      </c>
    </row>
    <row r="333" spans="1:13" x14ac:dyDescent="0.25">
      <c r="A333">
        <v>19508</v>
      </c>
      <c r="B333" t="s">
        <v>34</v>
      </c>
      <c r="C333" t="s">
        <v>34</v>
      </c>
      <c r="D333" s="5">
        <v>10000</v>
      </c>
      <c r="E333">
        <v>0</v>
      </c>
      <c r="F333" t="s">
        <v>29</v>
      </c>
      <c r="G333" t="s">
        <v>25</v>
      </c>
      <c r="H333" t="s">
        <v>18</v>
      </c>
      <c r="I333">
        <v>2</v>
      </c>
      <c r="J333" t="s">
        <v>16</v>
      </c>
      <c r="K333" t="s">
        <v>17</v>
      </c>
      <c r="L333">
        <v>30</v>
      </c>
      <c r="M333" t="s">
        <v>18</v>
      </c>
    </row>
    <row r="334" spans="1:13" x14ac:dyDescent="0.25">
      <c r="A334">
        <v>11489</v>
      </c>
      <c r="B334" t="s">
        <v>35</v>
      </c>
      <c r="C334" t="s">
        <v>33</v>
      </c>
      <c r="D334" s="5">
        <v>20000</v>
      </c>
      <c r="E334">
        <v>0</v>
      </c>
      <c r="F334" t="s">
        <v>29</v>
      </c>
      <c r="G334" t="s">
        <v>25</v>
      </c>
      <c r="H334" t="s">
        <v>18</v>
      </c>
      <c r="I334">
        <v>2</v>
      </c>
      <c r="J334" t="s">
        <v>26</v>
      </c>
      <c r="K334" t="s">
        <v>17</v>
      </c>
      <c r="L334">
        <v>35</v>
      </c>
      <c r="M334" t="s">
        <v>15</v>
      </c>
    </row>
    <row r="335" spans="1:13" x14ac:dyDescent="0.25">
      <c r="A335">
        <v>18160</v>
      </c>
      <c r="B335" t="s">
        <v>34</v>
      </c>
      <c r="C335" t="s">
        <v>34</v>
      </c>
      <c r="D335" s="5">
        <v>130000</v>
      </c>
      <c r="E335">
        <v>3</v>
      </c>
      <c r="F335" t="s">
        <v>27</v>
      </c>
      <c r="G335" t="s">
        <v>21</v>
      </c>
      <c r="H335" t="s">
        <v>15</v>
      </c>
      <c r="I335">
        <v>4</v>
      </c>
      <c r="J335" t="s">
        <v>23</v>
      </c>
      <c r="K335" t="s">
        <v>17</v>
      </c>
      <c r="L335">
        <v>51</v>
      </c>
      <c r="M335" t="s">
        <v>15</v>
      </c>
    </row>
    <row r="336" spans="1:13" x14ac:dyDescent="0.25">
      <c r="A336">
        <v>25241</v>
      </c>
      <c r="B336" t="s">
        <v>34</v>
      </c>
      <c r="C336" t="s">
        <v>34</v>
      </c>
      <c r="D336" s="5">
        <v>90000</v>
      </c>
      <c r="E336">
        <v>2</v>
      </c>
      <c r="F336" t="s">
        <v>13</v>
      </c>
      <c r="G336" t="s">
        <v>21</v>
      </c>
      <c r="H336" t="s">
        <v>15</v>
      </c>
      <c r="I336">
        <v>1</v>
      </c>
      <c r="J336" t="s">
        <v>23</v>
      </c>
      <c r="K336" t="s">
        <v>24</v>
      </c>
      <c r="L336">
        <v>47</v>
      </c>
      <c r="M336" t="s">
        <v>18</v>
      </c>
    </row>
    <row r="337" spans="1:13" x14ac:dyDescent="0.25">
      <c r="A337">
        <v>24369</v>
      </c>
      <c r="B337" t="s">
        <v>34</v>
      </c>
      <c r="C337" t="s">
        <v>34</v>
      </c>
      <c r="D337" s="5">
        <v>80000</v>
      </c>
      <c r="E337">
        <v>5</v>
      </c>
      <c r="F337" t="s">
        <v>31</v>
      </c>
      <c r="G337" t="s">
        <v>28</v>
      </c>
      <c r="H337" t="s">
        <v>18</v>
      </c>
      <c r="I337">
        <v>2</v>
      </c>
      <c r="J337" t="s">
        <v>16</v>
      </c>
      <c r="K337" t="s">
        <v>24</v>
      </c>
      <c r="L337">
        <v>39</v>
      </c>
      <c r="M337" t="s">
        <v>18</v>
      </c>
    </row>
    <row r="338" spans="1:13" x14ac:dyDescent="0.25">
      <c r="A338">
        <v>27165</v>
      </c>
      <c r="B338" t="s">
        <v>35</v>
      </c>
      <c r="C338" t="s">
        <v>34</v>
      </c>
      <c r="D338" s="5">
        <v>20000</v>
      </c>
      <c r="E338">
        <v>0</v>
      </c>
      <c r="F338" t="s">
        <v>29</v>
      </c>
      <c r="G338" t="s">
        <v>25</v>
      </c>
      <c r="H338" t="s">
        <v>18</v>
      </c>
      <c r="I338">
        <v>2</v>
      </c>
      <c r="J338" t="s">
        <v>16</v>
      </c>
      <c r="K338" t="s">
        <v>17</v>
      </c>
      <c r="L338">
        <v>34</v>
      </c>
      <c r="M338" t="s">
        <v>18</v>
      </c>
    </row>
    <row r="339" spans="1:13" x14ac:dyDescent="0.25">
      <c r="A339">
        <v>29424</v>
      </c>
      <c r="B339" t="s">
        <v>34</v>
      </c>
      <c r="C339" t="s">
        <v>34</v>
      </c>
      <c r="D339" s="5">
        <v>10000</v>
      </c>
      <c r="E339">
        <v>0</v>
      </c>
      <c r="F339" t="s">
        <v>29</v>
      </c>
      <c r="G339" t="s">
        <v>25</v>
      </c>
      <c r="H339" t="s">
        <v>15</v>
      </c>
      <c r="I339">
        <v>2</v>
      </c>
      <c r="J339" t="s">
        <v>16</v>
      </c>
      <c r="K339" t="s">
        <v>17</v>
      </c>
      <c r="L339">
        <v>32</v>
      </c>
      <c r="M339" t="s">
        <v>18</v>
      </c>
    </row>
    <row r="340" spans="1:13" x14ac:dyDescent="0.25">
      <c r="A340">
        <v>15926</v>
      </c>
      <c r="B340" t="s">
        <v>35</v>
      </c>
      <c r="C340" t="s">
        <v>33</v>
      </c>
      <c r="D340" s="5">
        <v>120000</v>
      </c>
      <c r="E340">
        <v>3</v>
      </c>
      <c r="F340" t="s">
        <v>27</v>
      </c>
      <c r="G340" t="s">
        <v>21</v>
      </c>
      <c r="H340" t="s">
        <v>15</v>
      </c>
      <c r="I340">
        <v>4</v>
      </c>
      <c r="J340" t="s">
        <v>23</v>
      </c>
      <c r="K340" t="s">
        <v>17</v>
      </c>
      <c r="L340">
        <v>50</v>
      </c>
      <c r="M340" t="s">
        <v>15</v>
      </c>
    </row>
    <row r="341" spans="1:13" x14ac:dyDescent="0.25">
      <c r="A341">
        <v>14554</v>
      </c>
      <c r="B341" t="s">
        <v>34</v>
      </c>
      <c r="C341" t="s">
        <v>34</v>
      </c>
      <c r="D341" s="5">
        <v>20000</v>
      </c>
      <c r="E341">
        <v>1</v>
      </c>
      <c r="F341" t="s">
        <v>13</v>
      </c>
      <c r="G341" t="s">
        <v>20</v>
      </c>
      <c r="H341" t="s">
        <v>15</v>
      </c>
      <c r="I341">
        <v>0</v>
      </c>
      <c r="J341" t="s">
        <v>16</v>
      </c>
      <c r="K341" t="s">
        <v>17</v>
      </c>
      <c r="L341">
        <v>66</v>
      </c>
      <c r="M341" t="s">
        <v>18</v>
      </c>
    </row>
    <row r="342" spans="1:13" x14ac:dyDescent="0.25">
      <c r="A342">
        <v>16468</v>
      </c>
      <c r="B342" t="s">
        <v>35</v>
      </c>
      <c r="C342" t="s">
        <v>34</v>
      </c>
      <c r="D342" s="5">
        <v>30000</v>
      </c>
      <c r="E342">
        <v>0</v>
      </c>
      <c r="F342" t="s">
        <v>19</v>
      </c>
      <c r="G342" t="s">
        <v>20</v>
      </c>
      <c r="H342" t="s">
        <v>15</v>
      </c>
      <c r="I342">
        <v>1</v>
      </c>
      <c r="J342" t="s">
        <v>22</v>
      </c>
      <c r="K342" t="s">
        <v>17</v>
      </c>
      <c r="L342">
        <v>30</v>
      </c>
      <c r="M342" t="s">
        <v>18</v>
      </c>
    </row>
    <row r="343" spans="1:13" x14ac:dyDescent="0.25">
      <c r="A343">
        <v>19174</v>
      </c>
      <c r="B343" t="s">
        <v>35</v>
      </c>
      <c r="C343" t="s">
        <v>33</v>
      </c>
      <c r="D343" s="5">
        <v>30000</v>
      </c>
      <c r="E343">
        <v>0</v>
      </c>
      <c r="F343" t="s">
        <v>27</v>
      </c>
      <c r="G343" t="s">
        <v>25</v>
      </c>
      <c r="H343" t="s">
        <v>18</v>
      </c>
      <c r="I343">
        <v>1</v>
      </c>
      <c r="J343" t="s">
        <v>22</v>
      </c>
      <c r="K343" t="s">
        <v>17</v>
      </c>
      <c r="L343">
        <v>32</v>
      </c>
      <c r="M343" t="s">
        <v>15</v>
      </c>
    </row>
    <row r="344" spans="1:13" x14ac:dyDescent="0.25">
      <c r="A344">
        <v>19183</v>
      </c>
      <c r="B344" t="s">
        <v>35</v>
      </c>
      <c r="C344" t="s">
        <v>34</v>
      </c>
      <c r="D344" s="5">
        <v>10000</v>
      </c>
      <c r="E344">
        <v>0</v>
      </c>
      <c r="F344" t="s">
        <v>29</v>
      </c>
      <c r="G344" t="s">
        <v>25</v>
      </c>
      <c r="H344" t="s">
        <v>15</v>
      </c>
      <c r="I344">
        <v>2</v>
      </c>
      <c r="J344" t="s">
        <v>26</v>
      </c>
      <c r="K344" t="s">
        <v>17</v>
      </c>
      <c r="L344">
        <v>35</v>
      </c>
      <c r="M344" t="s">
        <v>18</v>
      </c>
    </row>
    <row r="345" spans="1:13" x14ac:dyDescent="0.25">
      <c r="A345">
        <v>13683</v>
      </c>
      <c r="B345" t="s">
        <v>35</v>
      </c>
      <c r="C345" t="s">
        <v>33</v>
      </c>
      <c r="D345" s="5">
        <v>30000</v>
      </c>
      <c r="E345">
        <v>0</v>
      </c>
      <c r="F345" t="s">
        <v>27</v>
      </c>
      <c r="G345" t="s">
        <v>25</v>
      </c>
      <c r="H345" t="s">
        <v>18</v>
      </c>
      <c r="I345">
        <v>1</v>
      </c>
      <c r="J345" t="s">
        <v>22</v>
      </c>
      <c r="K345" t="s">
        <v>17</v>
      </c>
      <c r="L345">
        <v>32</v>
      </c>
      <c r="M345" t="s">
        <v>18</v>
      </c>
    </row>
    <row r="346" spans="1:13" x14ac:dyDescent="0.25">
      <c r="A346">
        <v>17848</v>
      </c>
      <c r="B346" t="s">
        <v>35</v>
      </c>
      <c r="C346" t="s">
        <v>34</v>
      </c>
      <c r="D346" s="5">
        <v>30000</v>
      </c>
      <c r="E346">
        <v>0</v>
      </c>
      <c r="F346" t="s">
        <v>19</v>
      </c>
      <c r="G346" t="s">
        <v>20</v>
      </c>
      <c r="H346" t="s">
        <v>18</v>
      </c>
      <c r="I346">
        <v>1</v>
      </c>
      <c r="J346" t="s">
        <v>22</v>
      </c>
      <c r="K346" t="s">
        <v>17</v>
      </c>
      <c r="L346">
        <v>31</v>
      </c>
      <c r="M346" t="s">
        <v>15</v>
      </c>
    </row>
    <row r="347" spans="1:13" x14ac:dyDescent="0.25">
      <c r="A347">
        <v>17894</v>
      </c>
      <c r="B347" t="s">
        <v>34</v>
      </c>
      <c r="C347" t="s">
        <v>33</v>
      </c>
      <c r="D347" s="5">
        <v>20000</v>
      </c>
      <c r="E347">
        <v>1</v>
      </c>
      <c r="F347" t="s">
        <v>13</v>
      </c>
      <c r="G347" t="s">
        <v>20</v>
      </c>
      <c r="H347" t="s">
        <v>15</v>
      </c>
      <c r="I347">
        <v>0</v>
      </c>
      <c r="J347" t="s">
        <v>16</v>
      </c>
      <c r="K347" t="s">
        <v>17</v>
      </c>
      <c r="L347">
        <v>50</v>
      </c>
      <c r="M347" t="s">
        <v>15</v>
      </c>
    </row>
    <row r="348" spans="1:13" x14ac:dyDescent="0.25">
      <c r="A348">
        <v>25651</v>
      </c>
      <c r="B348" t="s">
        <v>34</v>
      </c>
      <c r="C348" t="s">
        <v>34</v>
      </c>
      <c r="D348" s="5">
        <v>40000</v>
      </c>
      <c r="E348">
        <v>1</v>
      </c>
      <c r="F348" t="s">
        <v>13</v>
      </c>
      <c r="G348" t="s">
        <v>14</v>
      </c>
      <c r="H348" t="s">
        <v>18</v>
      </c>
      <c r="I348">
        <v>0</v>
      </c>
      <c r="J348" t="s">
        <v>16</v>
      </c>
      <c r="K348" t="s">
        <v>17</v>
      </c>
      <c r="L348">
        <v>43</v>
      </c>
      <c r="M348" t="s">
        <v>15</v>
      </c>
    </row>
    <row r="349" spans="1:13" x14ac:dyDescent="0.25">
      <c r="A349">
        <v>22936</v>
      </c>
      <c r="B349" t="s">
        <v>35</v>
      </c>
      <c r="C349" t="s">
        <v>33</v>
      </c>
      <c r="D349" s="5">
        <v>60000</v>
      </c>
      <c r="E349">
        <v>1</v>
      </c>
      <c r="F349" t="s">
        <v>19</v>
      </c>
      <c r="G349" t="s">
        <v>14</v>
      </c>
      <c r="H349" t="s">
        <v>18</v>
      </c>
      <c r="I349">
        <v>1</v>
      </c>
      <c r="J349" t="s">
        <v>16</v>
      </c>
      <c r="K349" t="s">
        <v>24</v>
      </c>
      <c r="L349">
        <v>45</v>
      </c>
      <c r="M349" t="s">
        <v>15</v>
      </c>
    </row>
    <row r="350" spans="1:13" x14ac:dyDescent="0.25">
      <c r="A350">
        <v>23915</v>
      </c>
      <c r="B350" t="s">
        <v>34</v>
      </c>
      <c r="C350" t="s">
        <v>34</v>
      </c>
      <c r="D350" s="5">
        <v>20000</v>
      </c>
      <c r="E350">
        <v>2</v>
      </c>
      <c r="F350" t="s">
        <v>27</v>
      </c>
      <c r="G350" t="s">
        <v>25</v>
      </c>
      <c r="H350" t="s">
        <v>15</v>
      </c>
      <c r="I350">
        <v>2</v>
      </c>
      <c r="J350" t="s">
        <v>16</v>
      </c>
      <c r="K350" t="s">
        <v>17</v>
      </c>
      <c r="L350">
        <v>42</v>
      </c>
      <c r="M350" t="s">
        <v>18</v>
      </c>
    </row>
    <row r="351" spans="1:13" x14ac:dyDescent="0.25">
      <c r="A351">
        <v>24121</v>
      </c>
      <c r="B351" t="s">
        <v>35</v>
      </c>
      <c r="C351" t="s">
        <v>33</v>
      </c>
      <c r="D351" s="5">
        <v>30000</v>
      </c>
      <c r="E351">
        <v>0</v>
      </c>
      <c r="F351" t="s">
        <v>19</v>
      </c>
      <c r="G351" t="s">
        <v>20</v>
      </c>
      <c r="H351" t="s">
        <v>18</v>
      </c>
      <c r="I351">
        <v>1</v>
      </c>
      <c r="J351" t="s">
        <v>16</v>
      </c>
      <c r="K351" t="s">
        <v>17</v>
      </c>
      <c r="L351">
        <v>29</v>
      </c>
      <c r="M351" t="s">
        <v>15</v>
      </c>
    </row>
    <row r="352" spans="1:13" x14ac:dyDescent="0.25">
      <c r="A352">
        <v>27878</v>
      </c>
      <c r="B352" t="s">
        <v>35</v>
      </c>
      <c r="C352" t="s">
        <v>34</v>
      </c>
      <c r="D352" s="5">
        <v>20000</v>
      </c>
      <c r="E352">
        <v>0</v>
      </c>
      <c r="F352" t="s">
        <v>19</v>
      </c>
      <c r="G352" t="s">
        <v>25</v>
      </c>
      <c r="H352" t="s">
        <v>18</v>
      </c>
      <c r="I352">
        <v>0</v>
      </c>
      <c r="J352" t="s">
        <v>16</v>
      </c>
      <c r="K352" t="s">
        <v>24</v>
      </c>
      <c r="L352">
        <v>28</v>
      </c>
      <c r="M352" t="s">
        <v>15</v>
      </c>
    </row>
    <row r="353" spans="1:13" x14ac:dyDescent="0.25">
      <c r="A353">
        <v>13572</v>
      </c>
      <c r="B353" t="s">
        <v>35</v>
      </c>
      <c r="C353" t="s">
        <v>34</v>
      </c>
      <c r="D353" s="5">
        <v>10000</v>
      </c>
      <c r="E353">
        <v>3</v>
      </c>
      <c r="F353" t="s">
        <v>27</v>
      </c>
      <c r="G353" t="s">
        <v>25</v>
      </c>
      <c r="H353" t="s">
        <v>15</v>
      </c>
      <c r="I353">
        <v>0</v>
      </c>
      <c r="J353" t="s">
        <v>16</v>
      </c>
      <c r="K353" t="s">
        <v>17</v>
      </c>
      <c r="L353">
        <v>37</v>
      </c>
      <c r="M353" t="s">
        <v>15</v>
      </c>
    </row>
    <row r="354" spans="1:13" x14ac:dyDescent="0.25">
      <c r="A354">
        <v>27941</v>
      </c>
      <c r="B354" t="s">
        <v>34</v>
      </c>
      <c r="C354" t="s">
        <v>33</v>
      </c>
      <c r="D354" s="5">
        <v>80000</v>
      </c>
      <c r="E354">
        <v>4</v>
      </c>
      <c r="F354" t="s">
        <v>19</v>
      </c>
      <c r="G354" t="s">
        <v>21</v>
      </c>
      <c r="H354" t="s">
        <v>15</v>
      </c>
      <c r="I354">
        <v>2</v>
      </c>
      <c r="J354" t="s">
        <v>22</v>
      </c>
      <c r="K354" t="s">
        <v>17</v>
      </c>
      <c r="L354">
        <v>53</v>
      </c>
      <c r="M354" t="s">
        <v>18</v>
      </c>
    </row>
    <row r="355" spans="1:13" x14ac:dyDescent="0.25">
      <c r="A355">
        <v>26354</v>
      </c>
      <c r="B355" t="s">
        <v>35</v>
      </c>
      <c r="C355" t="s">
        <v>34</v>
      </c>
      <c r="D355" s="5">
        <v>40000</v>
      </c>
      <c r="E355">
        <v>0</v>
      </c>
      <c r="F355" t="s">
        <v>31</v>
      </c>
      <c r="G355" t="s">
        <v>20</v>
      </c>
      <c r="H355" t="s">
        <v>18</v>
      </c>
      <c r="I355">
        <v>0</v>
      </c>
      <c r="J355" t="s">
        <v>16</v>
      </c>
      <c r="K355" t="s">
        <v>17</v>
      </c>
      <c r="L355">
        <v>38</v>
      </c>
      <c r="M355" t="s">
        <v>15</v>
      </c>
    </row>
    <row r="356" spans="1:13" x14ac:dyDescent="0.25">
      <c r="A356">
        <v>14785</v>
      </c>
      <c r="B356" t="s">
        <v>35</v>
      </c>
      <c r="C356" t="s">
        <v>34</v>
      </c>
      <c r="D356" s="5">
        <v>30000</v>
      </c>
      <c r="E356">
        <v>1</v>
      </c>
      <c r="F356" t="s">
        <v>13</v>
      </c>
      <c r="G356" t="s">
        <v>20</v>
      </c>
      <c r="H356" t="s">
        <v>18</v>
      </c>
      <c r="I356">
        <v>1</v>
      </c>
      <c r="J356" t="s">
        <v>26</v>
      </c>
      <c r="K356" t="s">
        <v>17</v>
      </c>
      <c r="L356">
        <v>39</v>
      </c>
      <c r="M356" t="s">
        <v>18</v>
      </c>
    </row>
    <row r="357" spans="1:13" x14ac:dyDescent="0.25">
      <c r="A357">
        <v>17238</v>
      </c>
      <c r="B357" t="s">
        <v>35</v>
      </c>
      <c r="C357" t="s">
        <v>34</v>
      </c>
      <c r="D357" s="5">
        <v>80000</v>
      </c>
      <c r="E357">
        <v>0</v>
      </c>
      <c r="F357" t="s">
        <v>13</v>
      </c>
      <c r="G357" t="s">
        <v>21</v>
      </c>
      <c r="H357" t="s">
        <v>15</v>
      </c>
      <c r="I357">
        <v>3</v>
      </c>
      <c r="J357" t="s">
        <v>30</v>
      </c>
      <c r="K357" t="s">
        <v>24</v>
      </c>
      <c r="L357">
        <v>32</v>
      </c>
      <c r="M357" t="s">
        <v>18</v>
      </c>
    </row>
    <row r="358" spans="1:13" x14ac:dyDescent="0.25">
      <c r="A358">
        <v>23608</v>
      </c>
      <c r="B358" t="s">
        <v>34</v>
      </c>
      <c r="C358" t="s">
        <v>33</v>
      </c>
      <c r="D358" s="5">
        <v>150000</v>
      </c>
      <c r="E358">
        <v>3</v>
      </c>
      <c r="F358" t="s">
        <v>27</v>
      </c>
      <c r="G358" t="s">
        <v>21</v>
      </c>
      <c r="H358" t="s">
        <v>15</v>
      </c>
      <c r="I358">
        <v>3</v>
      </c>
      <c r="J358" t="s">
        <v>16</v>
      </c>
      <c r="K358" t="s">
        <v>17</v>
      </c>
      <c r="L358">
        <v>51</v>
      </c>
      <c r="M358" t="s">
        <v>15</v>
      </c>
    </row>
    <row r="359" spans="1:13" x14ac:dyDescent="0.25">
      <c r="A359">
        <v>22538</v>
      </c>
      <c r="B359" t="s">
        <v>35</v>
      </c>
      <c r="C359" t="s">
        <v>33</v>
      </c>
      <c r="D359" s="5">
        <v>10000</v>
      </c>
      <c r="E359">
        <v>0</v>
      </c>
      <c r="F359" t="s">
        <v>29</v>
      </c>
      <c r="G359" t="s">
        <v>25</v>
      </c>
      <c r="H359" t="s">
        <v>15</v>
      </c>
      <c r="I359">
        <v>2</v>
      </c>
      <c r="J359" t="s">
        <v>26</v>
      </c>
      <c r="K359" t="s">
        <v>17</v>
      </c>
      <c r="L359">
        <v>33</v>
      </c>
      <c r="M359" t="s">
        <v>18</v>
      </c>
    </row>
    <row r="360" spans="1:13" x14ac:dyDescent="0.25">
      <c r="A360">
        <v>12332</v>
      </c>
      <c r="B360" t="s">
        <v>34</v>
      </c>
      <c r="C360" t="s">
        <v>34</v>
      </c>
      <c r="D360" s="5">
        <v>90000</v>
      </c>
      <c r="E360">
        <v>4</v>
      </c>
      <c r="F360" t="s">
        <v>27</v>
      </c>
      <c r="G360" t="s">
        <v>28</v>
      </c>
      <c r="H360" t="s">
        <v>15</v>
      </c>
      <c r="I360">
        <v>3</v>
      </c>
      <c r="J360" t="s">
        <v>23</v>
      </c>
      <c r="K360" t="s">
        <v>17</v>
      </c>
      <c r="L360">
        <v>58</v>
      </c>
      <c r="M360" t="s">
        <v>15</v>
      </c>
    </row>
    <row r="361" spans="1:13" x14ac:dyDescent="0.25">
      <c r="A361">
        <v>17230</v>
      </c>
      <c r="B361" t="s">
        <v>34</v>
      </c>
      <c r="C361" t="s">
        <v>34</v>
      </c>
      <c r="D361" s="5">
        <v>80000</v>
      </c>
      <c r="E361">
        <v>0</v>
      </c>
      <c r="F361" t="s">
        <v>13</v>
      </c>
      <c r="G361" t="s">
        <v>21</v>
      </c>
      <c r="H361" t="s">
        <v>15</v>
      </c>
      <c r="I361">
        <v>3</v>
      </c>
      <c r="J361" t="s">
        <v>30</v>
      </c>
      <c r="K361" t="s">
        <v>24</v>
      </c>
      <c r="L361">
        <v>30</v>
      </c>
      <c r="M361" t="s">
        <v>18</v>
      </c>
    </row>
    <row r="362" spans="1:13" x14ac:dyDescent="0.25">
      <c r="A362">
        <v>13082</v>
      </c>
      <c r="B362" t="s">
        <v>35</v>
      </c>
      <c r="C362" t="s">
        <v>34</v>
      </c>
      <c r="D362" s="5">
        <v>130000</v>
      </c>
      <c r="E362">
        <v>0</v>
      </c>
      <c r="F362" t="s">
        <v>31</v>
      </c>
      <c r="G362" t="s">
        <v>28</v>
      </c>
      <c r="H362" t="s">
        <v>15</v>
      </c>
      <c r="I362">
        <v>0</v>
      </c>
      <c r="J362" t="s">
        <v>22</v>
      </c>
      <c r="K362" t="s">
        <v>24</v>
      </c>
      <c r="L362">
        <v>48</v>
      </c>
      <c r="M362" t="s">
        <v>15</v>
      </c>
    </row>
    <row r="363" spans="1:13" x14ac:dyDescent="0.25">
      <c r="A363">
        <v>22518</v>
      </c>
      <c r="B363" t="s">
        <v>35</v>
      </c>
      <c r="C363" t="s">
        <v>33</v>
      </c>
      <c r="D363" s="5">
        <v>30000</v>
      </c>
      <c r="E363">
        <v>3</v>
      </c>
      <c r="F363" t="s">
        <v>19</v>
      </c>
      <c r="G363" t="s">
        <v>20</v>
      </c>
      <c r="H363" t="s">
        <v>18</v>
      </c>
      <c r="I363">
        <v>2</v>
      </c>
      <c r="J363" t="s">
        <v>16</v>
      </c>
      <c r="K363" t="s">
        <v>17</v>
      </c>
      <c r="L363">
        <v>27</v>
      </c>
      <c r="M363" t="s">
        <v>15</v>
      </c>
    </row>
    <row r="364" spans="1:13" x14ac:dyDescent="0.25">
      <c r="A364">
        <v>13687</v>
      </c>
      <c r="B364" t="s">
        <v>34</v>
      </c>
      <c r="C364" t="s">
        <v>34</v>
      </c>
      <c r="D364" s="5">
        <v>40000</v>
      </c>
      <c r="E364">
        <v>1</v>
      </c>
      <c r="F364" t="s">
        <v>13</v>
      </c>
      <c r="G364" t="s">
        <v>14</v>
      </c>
      <c r="H364" t="s">
        <v>15</v>
      </c>
      <c r="I364">
        <v>1</v>
      </c>
      <c r="J364" t="s">
        <v>16</v>
      </c>
      <c r="K364" t="s">
        <v>17</v>
      </c>
      <c r="L364">
        <v>33</v>
      </c>
      <c r="M364" t="s">
        <v>15</v>
      </c>
    </row>
    <row r="365" spans="1:13" x14ac:dyDescent="0.25">
      <c r="A365">
        <v>23571</v>
      </c>
      <c r="B365" t="s">
        <v>34</v>
      </c>
      <c r="C365" t="s">
        <v>33</v>
      </c>
      <c r="D365" s="5">
        <v>40000</v>
      </c>
      <c r="E365">
        <v>2</v>
      </c>
      <c r="F365" t="s">
        <v>13</v>
      </c>
      <c r="G365" t="s">
        <v>28</v>
      </c>
      <c r="H365" t="s">
        <v>15</v>
      </c>
      <c r="I365">
        <v>2</v>
      </c>
      <c r="J365" t="s">
        <v>16</v>
      </c>
      <c r="K365" t="s">
        <v>24</v>
      </c>
      <c r="L365">
        <v>66</v>
      </c>
      <c r="M365" t="s">
        <v>15</v>
      </c>
    </row>
    <row r="366" spans="1:13" x14ac:dyDescent="0.25">
      <c r="A366">
        <v>19305</v>
      </c>
      <c r="B366" t="s">
        <v>35</v>
      </c>
      <c r="C366" t="s">
        <v>33</v>
      </c>
      <c r="D366" s="5">
        <v>10000</v>
      </c>
      <c r="E366">
        <v>2</v>
      </c>
      <c r="F366" t="s">
        <v>27</v>
      </c>
      <c r="G366" t="s">
        <v>25</v>
      </c>
      <c r="H366" t="s">
        <v>15</v>
      </c>
      <c r="I366">
        <v>1</v>
      </c>
      <c r="J366" t="s">
        <v>16</v>
      </c>
      <c r="K366" t="s">
        <v>17</v>
      </c>
      <c r="L366">
        <v>38</v>
      </c>
      <c r="M366" t="s">
        <v>15</v>
      </c>
    </row>
    <row r="367" spans="1:13" x14ac:dyDescent="0.25">
      <c r="A367">
        <v>22636</v>
      </c>
      <c r="B367" t="s">
        <v>35</v>
      </c>
      <c r="C367" t="s">
        <v>33</v>
      </c>
      <c r="D367" s="5">
        <v>40000</v>
      </c>
      <c r="E367">
        <v>0</v>
      </c>
      <c r="F367" t="s">
        <v>13</v>
      </c>
      <c r="G367" t="s">
        <v>20</v>
      </c>
      <c r="H367" t="s">
        <v>18</v>
      </c>
      <c r="I367">
        <v>0</v>
      </c>
      <c r="J367" t="s">
        <v>16</v>
      </c>
      <c r="K367" t="s">
        <v>17</v>
      </c>
      <c r="L367">
        <v>38</v>
      </c>
      <c r="M367" t="s">
        <v>15</v>
      </c>
    </row>
    <row r="368" spans="1:13" x14ac:dyDescent="0.25">
      <c r="A368">
        <v>17310</v>
      </c>
      <c r="B368" t="s">
        <v>34</v>
      </c>
      <c r="C368" t="s">
        <v>34</v>
      </c>
      <c r="D368" s="5">
        <v>60000</v>
      </c>
      <c r="E368">
        <v>1</v>
      </c>
      <c r="F368" t="s">
        <v>19</v>
      </c>
      <c r="G368" t="s">
        <v>14</v>
      </c>
      <c r="H368" t="s">
        <v>15</v>
      </c>
      <c r="I368">
        <v>1</v>
      </c>
      <c r="J368" t="s">
        <v>16</v>
      </c>
      <c r="K368" t="s">
        <v>24</v>
      </c>
      <c r="L368">
        <v>45</v>
      </c>
      <c r="M368" t="s">
        <v>15</v>
      </c>
    </row>
    <row r="369" spans="1:13" x14ac:dyDescent="0.25">
      <c r="A369">
        <v>12133</v>
      </c>
      <c r="B369" t="s">
        <v>34</v>
      </c>
      <c r="C369" t="s">
        <v>33</v>
      </c>
      <c r="D369" s="5">
        <v>130000</v>
      </c>
      <c r="E369">
        <v>3</v>
      </c>
      <c r="F369" t="s">
        <v>19</v>
      </c>
      <c r="G369" t="s">
        <v>21</v>
      </c>
      <c r="H369" t="s">
        <v>15</v>
      </c>
      <c r="I369">
        <v>3</v>
      </c>
      <c r="J369" t="s">
        <v>23</v>
      </c>
      <c r="K369" t="s">
        <v>17</v>
      </c>
      <c r="L369">
        <v>50</v>
      </c>
      <c r="M369" t="s">
        <v>15</v>
      </c>
    </row>
    <row r="370" spans="1:13" x14ac:dyDescent="0.25">
      <c r="A370">
        <v>25918</v>
      </c>
      <c r="B370" t="s">
        <v>35</v>
      </c>
      <c r="C370" t="s">
        <v>33</v>
      </c>
      <c r="D370" s="5">
        <v>30000</v>
      </c>
      <c r="E370">
        <v>2</v>
      </c>
      <c r="F370" t="s">
        <v>19</v>
      </c>
      <c r="G370" t="s">
        <v>20</v>
      </c>
      <c r="H370" t="s">
        <v>18</v>
      </c>
      <c r="I370">
        <v>2</v>
      </c>
      <c r="J370" t="s">
        <v>23</v>
      </c>
      <c r="K370" t="s">
        <v>24</v>
      </c>
      <c r="L370">
        <v>60</v>
      </c>
      <c r="M370" t="s">
        <v>15</v>
      </c>
    </row>
    <row r="371" spans="1:13" x14ac:dyDescent="0.25">
      <c r="A371">
        <v>25752</v>
      </c>
      <c r="B371" t="s">
        <v>35</v>
      </c>
      <c r="C371" t="s">
        <v>33</v>
      </c>
      <c r="D371" s="5">
        <v>20000</v>
      </c>
      <c r="E371">
        <v>2</v>
      </c>
      <c r="F371" t="s">
        <v>19</v>
      </c>
      <c r="G371" t="s">
        <v>25</v>
      </c>
      <c r="H371" t="s">
        <v>18</v>
      </c>
      <c r="I371">
        <v>1</v>
      </c>
      <c r="J371" t="s">
        <v>16</v>
      </c>
      <c r="K371" t="s">
        <v>17</v>
      </c>
      <c r="L371">
        <v>53</v>
      </c>
      <c r="M371" t="s">
        <v>15</v>
      </c>
    </row>
    <row r="372" spans="1:13" x14ac:dyDescent="0.25">
      <c r="A372">
        <v>17324</v>
      </c>
      <c r="B372" t="s">
        <v>34</v>
      </c>
      <c r="C372" t="s">
        <v>33</v>
      </c>
      <c r="D372" s="5">
        <v>100000</v>
      </c>
      <c r="E372">
        <v>4</v>
      </c>
      <c r="F372" t="s">
        <v>13</v>
      </c>
      <c r="G372" t="s">
        <v>21</v>
      </c>
      <c r="H372" t="s">
        <v>15</v>
      </c>
      <c r="I372">
        <v>1</v>
      </c>
      <c r="J372" t="s">
        <v>30</v>
      </c>
      <c r="K372" t="s">
        <v>24</v>
      </c>
      <c r="L372">
        <v>46</v>
      </c>
      <c r="M372" t="s">
        <v>18</v>
      </c>
    </row>
    <row r="373" spans="1:13" x14ac:dyDescent="0.25">
      <c r="A373">
        <v>22918</v>
      </c>
      <c r="B373" t="s">
        <v>35</v>
      </c>
      <c r="C373" t="s">
        <v>34</v>
      </c>
      <c r="D373" s="5">
        <v>80000</v>
      </c>
      <c r="E373">
        <v>5</v>
      </c>
      <c r="F373" t="s">
        <v>31</v>
      </c>
      <c r="G373" t="s">
        <v>28</v>
      </c>
      <c r="H373" t="s">
        <v>15</v>
      </c>
      <c r="I373">
        <v>3</v>
      </c>
      <c r="J373" t="s">
        <v>16</v>
      </c>
      <c r="K373" t="s">
        <v>24</v>
      </c>
      <c r="L373">
        <v>50</v>
      </c>
      <c r="M373" t="s">
        <v>18</v>
      </c>
    </row>
    <row r="374" spans="1:13" x14ac:dyDescent="0.25">
      <c r="A374">
        <v>12510</v>
      </c>
      <c r="B374" t="s">
        <v>34</v>
      </c>
      <c r="C374" t="s">
        <v>34</v>
      </c>
      <c r="D374" s="5">
        <v>40000</v>
      </c>
      <c r="E374">
        <v>1</v>
      </c>
      <c r="F374" t="s">
        <v>13</v>
      </c>
      <c r="G374" t="s">
        <v>14</v>
      </c>
      <c r="H374" t="s">
        <v>15</v>
      </c>
      <c r="I374">
        <v>1</v>
      </c>
      <c r="J374" t="s">
        <v>16</v>
      </c>
      <c r="K374" t="s">
        <v>17</v>
      </c>
      <c r="L374">
        <v>43</v>
      </c>
      <c r="M374" t="s">
        <v>15</v>
      </c>
    </row>
    <row r="375" spans="1:13" x14ac:dyDescent="0.25">
      <c r="A375">
        <v>25512</v>
      </c>
      <c r="B375" t="s">
        <v>35</v>
      </c>
      <c r="C375" t="s">
        <v>34</v>
      </c>
      <c r="D375" s="5">
        <v>20000</v>
      </c>
      <c r="E375">
        <v>0</v>
      </c>
      <c r="F375" t="s">
        <v>27</v>
      </c>
      <c r="G375" t="s">
        <v>25</v>
      </c>
      <c r="H375" t="s">
        <v>18</v>
      </c>
      <c r="I375">
        <v>1</v>
      </c>
      <c r="J375" t="s">
        <v>22</v>
      </c>
      <c r="K375" t="s">
        <v>17</v>
      </c>
      <c r="L375">
        <v>30</v>
      </c>
      <c r="M375" t="s">
        <v>18</v>
      </c>
    </row>
    <row r="376" spans="1:13" x14ac:dyDescent="0.25">
      <c r="A376">
        <v>16179</v>
      </c>
      <c r="B376" t="s">
        <v>35</v>
      </c>
      <c r="C376" t="s">
        <v>33</v>
      </c>
      <c r="D376" s="5">
        <v>80000</v>
      </c>
      <c r="E376">
        <v>5</v>
      </c>
      <c r="F376" t="s">
        <v>13</v>
      </c>
      <c r="G376" t="s">
        <v>21</v>
      </c>
      <c r="H376" t="s">
        <v>15</v>
      </c>
      <c r="I376">
        <v>4</v>
      </c>
      <c r="J376" t="s">
        <v>26</v>
      </c>
      <c r="K376" t="s">
        <v>24</v>
      </c>
      <c r="L376">
        <v>38</v>
      </c>
      <c r="M376" t="s">
        <v>18</v>
      </c>
    </row>
    <row r="377" spans="1:13" x14ac:dyDescent="0.25">
      <c r="A377">
        <v>15628</v>
      </c>
      <c r="B377" t="s">
        <v>34</v>
      </c>
      <c r="C377" t="s">
        <v>33</v>
      </c>
      <c r="D377" s="5">
        <v>40000</v>
      </c>
      <c r="E377">
        <v>1</v>
      </c>
      <c r="F377" t="s">
        <v>13</v>
      </c>
      <c r="G377" t="s">
        <v>14</v>
      </c>
      <c r="H377" t="s">
        <v>15</v>
      </c>
      <c r="I377">
        <v>1</v>
      </c>
      <c r="J377" t="s">
        <v>16</v>
      </c>
      <c r="K377" t="s">
        <v>17</v>
      </c>
      <c r="L377">
        <v>89</v>
      </c>
      <c r="M377" t="s">
        <v>18</v>
      </c>
    </row>
    <row r="378" spans="1:13" x14ac:dyDescent="0.25">
      <c r="A378">
        <v>20977</v>
      </c>
      <c r="B378" t="s">
        <v>34</v>
      </c>
      <c r="C378" t="s">
        <v>34</v>
      </c>
      <c r="D378" s="5">
        <v>20000</v>
      </c>
      <c r="E378">
        <v>1</v>
      </c>
      <c r="F378" t="s">
        <v>13</v>
      </c>
      <c r="G378" t="s">
        <v>20</v>
      </c>
      <c r="H378" t="s">
        <v>15</v>
      </c>
      <c r="I378">
        <v>0</v>
      </c>
      <c r="J378" t="s">
        <v>16</v>
      </c>
      <c r="K378" t="s">
        <v>17</v>
      </c>
      <c r="L378">
        <v>64</v>
      </c>
      <c r="M378" t="s">
        <v>15</v>
      </c>
    </row>
    <row r="379" spans="1:13" x14ac:dyDescent="0.25">
      <c r="A379">
        <v>18140</v>
      </c>
      <c r="B379" t="s">
        <v>34</v>
      </c>
      <c r="C379" t="s">
        <v>34</v>
      </c>
      <c r="D379" s="5">
        <v>130000</v>
      </c>
      <c r="E379">
        <v>3</v>
      </c>
      <c r="F379" t="s">
        <v>19</v>
      </c>
      <c r="G379" t="s">
        <v>21</v>
      </c>
      <c r="H379" t="s">
        <v>18</v>
      </c>
      <c r="I379">
        <v>3</v>
      </c>
      <c r="J379" t="s">
        <v>23</v>
      </c>
      <c r="K379" t="s">
        <v>17</v>
      </c>
      <c r="L379">
        <v>51</v>
      </c>
      <c r="M379" t="s">
        <v>15</v>
      </c>
    </row>
    <row r="380" spans="1:13" x14ac:dyDescent="0.25">
      <c r="A380">
        <v>20417</v>
      </c>
      <c r="B380" t="s">
        <v>34</v>
      </c>
      <c r="C380" t="s">
        <v>34</v>
      </c>
      <c r="D380" s="5">
        <v>30000</v>
      </c>
      <c r="E380">
        <v>3</v>
      </c>
      <c r="F380" t="s">
        <v>19</v>
      </c>
      <c r="G380" t="s">
        <v>20</v>
      </c>
      <c r="H380" t="s">
        <v>18</v>
      </c>
      <c r="I380">
        <v>2</v>
      </c>
      <c r="J380" t="s">
        <v>23</v>
      </c>
      <c r="K380" t="s">
        <v>24</v>
      </c>
      <c r="L380">
        <v>56</v>
      </c>
      <c r="M380" t="s">
        <v>18</v>
      </c>
    </row>
    <row r="381" spans="1:13" x14ac:dyDescent="0.25">
      <c r="A381">
        <v>18267</v>
      </c>
      <c r="B381" t="s">
        <v>34</v>
      </c>
      <c r="C381" t="s">
        <v>34</v>
      </c>
      <c r="D381" s="5">
        <v>60000</v>
      </c>
      <c r="E381">
        <v>3</v>
      </c>
      <c r="F381" t="s">
        <v>13</v>
      </c>
      <c r="G381" t="s">
        <v>21</v>
      </c>
      <c r="H381" t="s">
        <v>15</v>
      </c>
      <c r="I381">
        <v>2</v>
      </c>
      <c r="J381" t="s">
        <v>23</v>
      </c>
      <c r="K381" t="s">
        <v>24</v>
      </c>
      <c r="L381">
        <v>43</v>
      </c>
      <c r="M381" t="s">
        <v>18</v>
      </c>
    </row>
    <row r="382" spans="1:13" x14ac:dyDescent="0.25">
      <c r="A382">
        <v>13620</v>
      </c>
      <c r="B382" t="s">
        <v>35</v>
      </c>
      <c r="C382" t="s">
        <v>34</v>
      </c>
      <c r="D382" s="5">
        <v>70000</v>
      </c>
      <c r="E382">
        <v>0</v>
      </c>
      <c r="F382" t="s">
        <v>13</v>
      </c>
      <c r="G382" t="s">
        <v>21</v>
      </c>
      <c r="H382" t="s">
        <v>18</v>
      </c>
      <c r="I382">
        <v>3</v>
      </c>
      <c r="J382" t="s">
        <v>30</v>
      </c>
      <c r="K382" t="s">
        <v>24</v>
      </c>
      <c r="L382">
        <v>30</v>
      </c>
      <c r="M382" t="s">
        <v>15</v>
      </c>
    </row>
    <row r="383" spans="1:13" x14ac:dyDescent="0.25">
      <c r="A383">
        <v>22974</v>
      </c>
      <c r="B383" t="s">
        <v>34</v>
      </c>
      <c r="C383" t="s">
        <v>33</v>
      </c>
      <c r="D383" s="5">
        <v>30000</v>
      </c>
      <c r="E383">
        <v>2</v>
      </c>
      <c r="F383" t="s">
        <v>19</v>
      </c>
      <c r="G383" t="s">
        <v>20</v>
      </c>
      <c r="H383" t="s">
        <v>15</v>
      </c>
      <c r="I383">
        <v>2</v>
      </c>
      <c r="J383" t="s">
        <v>23</v>
      </c>
      <c r="K383" t="s">
        <v>24</v>
      </c>
      <c r="L383">
        <v>69</v>
      </c>
      <c r="M383" t="s">
        <v>18</v>
      </c>
    </row>
    <row r="384" spans="1:13" x14ac:dyDescent="0.25">
      <c r="A384">
        <v>13586</v>
      </c>
      <c r="B384" t="s">
        <v>34</v>
      </c>
      <c r="C384" t="s">
        <v>34</v>
      </c>
      <c r="D384" s="5">
        <v>80000</v>
      </c>
      <c r="E384">
        <v>4</v>
      </c>
      <c r="F384" t="s">
        <v>19</v>
      </c>
      <c r="G384" t="s">
        <v>21</v>
      </c>
      <c r="H384" t="s">
        <v>15</v>
      </c>
      <c r="I384">
        <v>2</v>
      </c>
      <c r="J384" t="s">
        <v>30</v>
      </c>
      <c r="K384" t="s">
        <v>17</v>
      </c>
      <c r="L384">
        <v>53</v>
      </c>
      <c r="M384" t="s">
        <v>18</v>
      </c>
    </row>
    <row r="385" spans="1:13" x14ac:dyDescent="0.25">
      <c r="A385">
        <v>17978</v>
      </c>
      <c r="B385" t="s">
        <v>34</v>
      </c>
      <c r="C385" t="s">
        <v>34</v>
      </c>
      <c r="D385" s="5">
        <v>40000</v>
      </c>
      <c r="E385">
        <v>0</v>
      </c>
      <c r="F385" t="s">
        <v>31</v>
      </c>
      <c r="G385" t="s">
        <v>20</v>
      </c>
      <c r="H385" t="s">
        <v>15</v>
      </c>
      <c r="I385">
        <v>0</v>
      </c>
      <c r="J385" t="s">
        <v>16</v>
      </c>
      <c r="K385" t="s">
        <v>17</v>
      </c>
      <c r="L385">
        <v>37</v>
      </c>
      <c r="M385" t="s">
        <v>15</v>
      </c>
    </row>
    <row r="386" spans="1:13" x14ac:dyDescent="0.25">
      <c r="A386">
        <v>12581</v>
      </c>
      <c r="B386" t="s">
        <v>35</v>
      </c>
      <c r="C386" t="s">
        <v>33</v>
      </c>
      <c r="D386" s="5">
        <v>10000</v>
      </c>
      <c r="E386">
        <v>0</v>
      </c>
      <c r="F386" t="s">
        <v>19</v>
      </c>
      <c r="G386" t="s">
        <v>25</v>
      </c>
      <c r="H386" t="s">
        <v>18</v>
      </c>
      <c r="I386">
        <v>1</v>
      </c>
      <c r="J386" t="s">
        <v>16</v>
      </c>
      <c r="K386" t="s">
        <v>24</v>
      </c>
      <c r="L386">
        <v>28</v>
      </c>
      <c r="M386" t="s">
        <v>15</v>
      </c>
    </row>
    <row r="387" spans="1:13" x14ac:dyDescent="0.25">
      <c r="A387">
        <v>18018</v>
      </c>
      <c r="B387" t="s">
        <v>35</v>
      </c>
      <c r="C387" t="s">
        <v>34</v>
      </c>
      <c r="D387" s="5">
        <v>30000</v>
      </c>
      <c r="E387">
        <v>3</v>
      </c>
      <c r="F387" t="s">
        <v>19</v>
      </c>
      <c r="G387" t="s">
        <v>20</v>
      </c>
      <c r="H387" t="s">
        <v>15</v>
      </c>
      <c r="I387">
        <v>0</v>
      </c>
      <c r="J387" t="s">
        <v>16</v>
      </c>
      <c r="K387" t="s">
        <v>17</v>
      </c>
      <c r="L387">
        <v>43</v>
      </c>
      <c r="M387" t="s">
        <v>18</v>
      </c>
    </row>
    <row r="388" spans="1:13" x14ac:dyDescent="0.25">
      <c r="A388">
        <v>28957</v>
      </c>
      <c r="B388" t="s">
        <v>35</v>
      </c>
      <c r="C388" t="s">
        <v>33</v>
      </c>
      <c r="D388" s="5">
        <v>120000</v>
      </c>
      <c r="E388">
        <v>0</v>
      </c>
      <c r="F388" t="s">
        <v>29</v>
      </c>
      <c r="G388" t="s">
        <v>21</v>
      </c>
      <c r="H388" t="s">
        <v>15</v>
      </c>
      <c r="I388">
        <v>4</v>
      </c>
      <c r="J388" t="s">
        <v>30</v>
      </c>
      <c r="K388" t="s">
        <v>24</v>
      </c>
      <c r="L388">
        <v>34</v>
      </c>
      <c r="M388" t="s">
        <v>15</v>
      </c>
    </row>
    <row r="389" spans="1:13" x14ac:dyDescent="0.25">
      <c r="A389">
        <v>13690</v>
      </c>
      <c r="B389" t="s">
        <v>35</v>
      </c>
      <c r="C389" t="s">
        <v>33</v>
      </c>
      <c r="D389" s="5">
        <v>20000</v>
      </c>
      <c r="E389">
        <v>0</v>
      </c>
      <c r="F389" t="s">
        <v>29</v>
      </c>
      <c r="G389" t="s">
        <v>25</v>
      </c>
      <c r="H389" t="s">
        <v>18</v>
      </c>
      <c r="I389">
        <v>2</v>
      </c>
      <c r="J389" t="s">
        <v>26</v>
      </c>
      <c r="K389" t="s">
        <v>17</v>
      </c>
      <c r="L389">
        <v>34</v>
      </c>
      <c r="M389" t="s">
        <v>15</v>
      </c>
    </row>
    <row r="390" spans="1:13" x14ac:dyDescent="0.25">
      <c r="A390">
        <v>12568</v>
      </c>
      <c r="B390" t="s">
        <v>34</v>
      </c>
      <c r="C390" t="s">
        <v>33</v>
      </c>
      <c r="D390" s="5">
        <v>30000</v>
      </c>
      <c r="E390">
        <v>1</v>
      </c>
      <c r="F390" t="s">
        <v>13</v>
      </c>
      <c r="G390" t="s">
        <v>20</v>
      </c>
      <c r="H390" t="s">
        <v>15</v>
      </c>
      <c r="I390">
        <v>0</v>
      </c>
      <c r="J390" t="s">
        <v>16</v>
      </c>
      <c r="K390" t="s">
        <v>17</v>
      </c>
      <c r="L390">
        <v>64</v>
      </c>
      <c r="M390" t="s">
        <v>18</v>
      </c>
    </row>
    <row r="391" spans="1:13" x14ac:dyDescent="0.25">
      <c r="A391">
        <v>13122</v>
      </c>
      <c r="B391" t="s">
        <v>34</v>
      </c>
      <c r="C391" t="s">
        <v>33</v>
      </c>
      <c r="D391" s="5">
        <v>80000</v>
      </c>
      <c r="E391">
        <v>0</v>
      </c>
      <c r="F391" t="s">
        <v>13</v>
      </c>
      <c r="G391" t="s">
        <v>21</v>
      </c>
      <c r="H391" t="s">
        <v>15</v>
      </c>
      <c r="I391">
        <v>1</v>
      </c>
      <c r="J391" t="s">
        <v>26</v>
      </c>
      <c r="K391" t="s">
        <v>24</v>
      </c>
      <c r="L391">
        <v>41</v>
      </c>
      <c r="M391" t="s">
        <v>15</v>
      </c>
    </row>
    <row r="392" spans="1:13" x14ac:dyDescent="0.25">
      <c r="A392">
        <v>21184</v>
      </c>
      <c r="B392" t="s">
        <v>35</v>
      </c>
      <c r="C392" t="s">
        <v>34</v>
      </c>
      <c r="D392" s="5">
        <v>70000</v>
      </c>
      <c r="E392">
        <v>0</v>
      </c>
      <c r="F392" t="s">
        <v>13</v>
      </c>
      <c r="G392" t="s">
        <v>21</v>
      </c>
      <c r="H392" t="s">
        <v>18</v>
      </c>
      <c r="I392">
        <v>1</v>
      </c>
      <c r="J392" t="s">
        <v>23</v>
      </c>
      <c r="K392" t="s">
        <v>24</v>
      </c>
      <c r="L392">
        <v>38</v>
      </c>
      <c r="M392" t="s">
        <v>18</v>
      </c>
    </row>
    <row r="393" spans="1:13" x14ac:dyDescent="0.25">
      <c r="A393">
        <v>26150</v>
      </c>
      <c r="B393" t="s">
        <v>35</v>
      </c>
      <c r="C393" t="s">
        <v>33</v>
      </c>
      <c r="D393" s="5">
        <v>70000</v>
      </c>
      <c r="E393">
        <v>0</v>
      </c>
      <c r="F393" t="s">
        <v>13</v>
      </c>
      <c r="G393" t="s">
        <v>21</v>
      </c>
      <c r="H393" t="s">
        <v>18</v>
      </c>
      <c r="I393">
        <v>1</v>
      </c>
      <c r="J393" t="s">
        <v>16</v>
      </c>
      <c r="K393" t="s">
        <v>24</v>
      </c>
      <c r="L393">
        <v>41</v>
      </c>
      <c r="M393" t="s">
        <v>15</v>
      </c>
    </row>
    <row r="394" spans="1:13" x14ac:dyDescent="0.25">
      <c r="A394">
        <v>24151</v>
      </c>
      <c r="B394" t="s">
        <v>35</v>
      </c>
      <c r="C394" t="s">
        <v>34</v>
      </c>
      <c r="D394" s="5">
        <v>20000</v>
      </c>
      <c r="E394">
        <v>1</v>
      </c>
      <c r="F394" t="s">
        <v>13</v>
      </c>
      <c r="G394" t="s">
        <v>20</v>
      </c>
      <c r="H394" t="s">
        <v>18</v>
      </c>
      <c r="I394">
        <v>0</v>
      </c>
      <c r="J394" t="s">
        <v>16</v>
      </c>
      <c r="K394" t="s">
        <v>17</v>
      </c>
      <c r="L394">
        <v>51</v>
      </c>
      <c r="M394" t="s">
        <v>18</v>
      </c>
    </row>
    <row r="395" spans="1:13" x14ac:dyDescent="0.25">
      <c r="A395">
        <v>23962</v>
      </c>
      <c r="B395" t="s">
        <v>34</v>
      </c>
      <c r="C395" t="s">
        <v>33</v>
      </c>
      <c r="D395" s="5">
        <v>10000</v>
      </c>
      <c r="E395">
        <v>0</v>
      </c>
      <c r="F395" t="s">
        <v>29</v>
      </c>
      <c r="G395" t="s">
        <v>25</v>
      </c>
      <c r="H395" t="s">
        <v>15</v>
      </c>
      <c r="I395">
        <v>2</v>
      </c>
      <c r="J395" t="s">
        <v>26</v>
      </c>
      <c r="K395" t="s">
        <v>17</v>
      </c>
      <c r="L395">
        <v>32</v>
      </c>
      <c r="M395" t="s">
        <v>18</v>
      </c>
    </row>
    <row r="396" spans="1:13" x14ac:dyDescent="0.25">
      <c r="A396">
        <v>17793</v>
      </c>
      <c r="B396" t="s">
        <v>34</v>
      </c>
      <c r="C396" t="s">
        <v>33</v>
      </c>
      <c r="D396" s="5">
        <v>40000</v>
      </c>
      <c r="E396">
        <v>0</v>
      </c>
      <c r="F396" t="s">
        <v>13</v>
      </c>
      <c r="G396" t="s">
        <v>20</v>
      </c>
      <c r="H396" t="s">
        <v>15</v>
      </c>
      <c r="I396">
        <v>0</v>
      </c>
      <c r="J396" t="s">
        <v>16</v>
      </c>
      <c r="K396" t="s">
        <v>17</v>
      </c>
      <c r="L396">
        <v>38</v>
      </c>
      <c r="M396" t="s">
        <v>15</v>
      </c>
    </row>
    <row r="397" spans="1:13" x14ac:dyDescent="0.25">
      <c r="A397">
        <v>14926</v>
      </c>
      <c r="B397" t="s">
        <v>34</v>
      </c>
      <c r="C397" t="s">
        <v>34</v>
      </c>
      <c r="D397" s="5">
        <v>30000</v>
      </c>
      <c r="E397">
        <v>1</v>
      </c>
      <c r="F397" t="s">
        <v>13</v>
      </c>
      <c r="G397" t="s">
        <v>20</v>
      </c>
      <c r="H397" t="s">
        <v>15</v>
      </c>
      <c r="I397">
        <v>0</v>
      </c>
      <c r="J397" t="s">
        <v>16</v>
      </c>
      <c r="K397" t="s">
        <v>17</v>
      </c>
      <c r="L397">
        <v>38</v>
      </c>
      <c r="M397" t="s">
        <v>15</v>
      </c>
    </row>
    <row r="398" spans="1:13" x14ac:dyDescent="0.25">
      <c r="A398">
        <v>16163</v>
      </c>
      <c r="B398" t="s">
        <v>35</v>
      </c>
      <c r="C398" t="s">
        <v>34</v>
      </c>
      <c r="D398" s="5">
        <v>60000</v>
      </c>
      <c r="E398">
        <v>2</v>
      </c>
      <c r="F398" t="s">
        <v>13</v>
      </c>
      <c r="G398" t="s">
        <v>21</v>
      </c>
      <c r="H398" t="s">
        <v>15</v>
      </c>
      <c r="I398">
        <v>1</v>
      </c>
      <c r="J398" t="s">
        <v>22</v>
      </c>
      <c r="K398" t="s">
        <v>24</v>
      </c>
      <c r="L398">
        <v>38</v>
      </c>
      <c r="M398" t="s">
        <v>15</v>
      </c>
    </row>
    <row r="399" spans="1:13" x14ac:dyDescent="0.25">
      <c r="A399">
        <v>21365</v>
      </c>
      <c r="B399" t="s">
        <v>34</v>
      </c>
      <c r="C399" t="s">
        <v>33</v>
      </c>
      <c r="D399" s="5">
        <v>10000</v>
      </c>
      <c r="E399">
        <v>2</v>
      </c>
      <c r="F399" t="s">
        <v>29</v>
      </c>
      <c r="G399" t="s">
        <v>20</v>
      </c>
      <c r="H399" t="s">
        <v>15</v>
      </c>
      <c r="I399">
        <v>2</v>
      </c>
      <c r="J399" t="s">
        <v>23</v>
      </c>
      <c r="K399" t="s">
        <v>24</v>
      </c>
      <c r="L399">
        <v>58</v>
      </c>
      <c r="M399" t="s">
        <v>18</v>
      </c>
    </row>
    <row r="400" spans="1:13" x14ac:dyDescent="0.25">
      <c r="A400">
        <v>27771</v>
      </c>
      <c r="B400" t="s">
        <v>35</v>
      </c>
      <c r="C400" t="s">
        <v>34</v>
      </c>
      <c r="D400" s="5">
        <v>30000</v>
      </c>
      <c r="E400">
        <v>1</v>
      </c>
      <c r="F400" t="s">
        <v>13</v>
      </c>
      <c r="G400" t="s">
        <v>20</v>
      </c>
      <c r="H400" t="s">
        <v>15</v>
      </c>
      <c r="I400">
        <v>1</v>
      </c>
      <c r="J400" t="s">
        <v>26</v>
      </c>
      <c r="K400" t="s">
        <v>17</v>
      </c>
      <c r="L400">
        <v>39</v>
      </c>
      <c r="M400" t="s">
        <v>15</v>
      </c>
    </row>
    <row r="401" spans="1:13" x14ac:dyDescent="0.25">
      <c r="A401">
        <v>26167</v>
      </c>
      <c r="B401" t="s">
        <v>35</v>
      </c>
      <c r="C401" t="s">
        <v>33</v>
      </c>
      <c r="D401" s="5">
        <v>40000</v>
      </c>
      <c r="E401">
        <v>2</v>
      </c>
      <c r="F401" t="s">
        <v>13</v>
      </c>
      <c r="G401" t="s">
        <v>28</v>
      </c>
      <c r="H401" t="s">
        <v>18</v>
      </c>
      <c r="I401">
        <v>1</v>
      </c>
      <c r="J401" t="s">
        <v>23</v>
      </c>
      <c r="K401" t="s">
        <v>24</v>
      </c>
      <c r="L401">
        <v>53</v>
      </c>
      <c r="M401" t="s">
        <v>15</v>
      </c>
    </row>
    <row r="402" spans="1:13" x14ac:dyDescent="0.25">
      <c r="A402">
        <v>25792</v>
      </c>
      <c r="B402" t="s">
        <v>35</v>
      </c>
      <c r="C402" t="s">
        <v>33</v>
      </c>
      <c r="D402" s="5">
        <v>110000</v>
      </c>
      <c r="E402">
        <v>3</v>
      </c>
      <c r="F402" t="s">
        <v>13</v>
      </c>
      <c r="G402" t="s">
        <v>28</v>
      </c>
      <c r="H402" t="s">
        <v>15</v>
      </c>
      <c r="I402">
        <v>4</v>
      </c>
      <c r="J402" t="s">
        <v>30</v>
      </c>
      <c r="K402" t="s">
        <v>17</v>
      </c>
      <c r="L402">
        <v>53</v>
      </c>
      <c r="M402" t="s">
        <v>18</v>
      </c>
    </row>
    <row r="403" spans="1:13" x14ac:dyDescent="0.25">
      <c r="A403">
        <v>11555</v>
      </c>
      <c r="B403" t="s">
        <v>34</v>
      </c>
      <c r="C403" t="s">
        <v>33</v>
      </c>
      <c r="D403" s="5">
        <v>40000</v>
      </c>
      <c r="E403">
        <v>1</v>
      </c>
      <c r="F403" t="s">
        <v>13</v>
      </c>
      <c r="G403" t="s">
        <v>20</v>
      </c>
      <c r="H403" t="s">
        <v>15</v>
      </c>
      <c r="I403">
        <v>0</v>
      </c>
      <c r="J403" t="s">
        <v>16</v>
      </c>
      <c r="K403" t="s">
        <v>17</v>
      </c>
      <c r="L403">
        <v>80</v>
      </c>
      <c r="M403" t="s">
        <v>18</v>
      </c>
    </row>
    <row r="404" spans="1:13" x14ac:dyDescent="0.25">
      <c r="A404">
        <v>22381</v>
      </c>
      <c r="B404" t="s">
        <v>34</v>
      </c>
      <c r="C404" t="s">
        <v>34</v>
      </c>
      <c r="D404" s="5">
        <v>10000</v>
      </c>
      <c r="E404">
        <v>1</v>
      </c>
      <c r="F404" t="s">
        <v>31</v>
      </c>
      <c r="G404" t="s">
        <v>25</v>
      </c>
      <c r="H404" t="s">
        <v>15</v>
      </c>
      <c r="I404">
        <v>0</v>
      </c>
      <c r="J404" t="s">
        <v>16</v>
      </c>
      <c r="K404" t="s">
        <v>17</v>
      </c>
      <c r="L404">
        <v>44</v>
      </c>
      <c r="M404" t="s">
        <v>18</v>
      </c>
    </row>
    <row r="405" spans="1:13" x14ac:dyDescent="0.25">
      <c r="A405">
        <v>17882</v>
      </c>
      <c r="B405" t="s">
        <v>34</v>
      </c>
      <c r="C405" t="s">
        <v>34</v>
      </c>
      <c r="D405" s="5">
        <v>20000</v>
      </c>
      <c r="E405">
        <v>1</v>
      </c>
      <c r="F405" t="s">
        <v>31</v>
      </c>
      <c r="G405" t="s">
        <v>20</v>
      </c>
      <c r="H405" t="s">
        <v>15</v>
      </c>
      <c r="I405">
        <v>0</v>
      </c>
      <c r="J405" t="s">
        <v>16</v>
      </c>
      <c r="K405" t="s">
        <v>17</v>
      </c>
      <c r="L405">
        <v>44</v>
      </c>
      <c r="M405" t="s">
        <v>18</v>
      </c>
    </row>
    <row r="406" spans="1:13" x14ac:dyDescent="0.25">
      <c r="A406">
        <v>22174</v>
      </c>
      <c r="B406" t="s">
        <v>34</v>
      </c>
      <c r="C406" t="s">
        <v>34</v>
      </c>
      <c r="D406" s="5">
        <v>30000</v>
      </c>
      <c r="E406">
        <v>3</v>
      </c>
      <c r="F406" t="s">
        <v>27</v>
      </c>
      <c r="G406" t="s">
        <v>14</v>
      </c>
      <c r="H406" t="s">
        <v>15</v>
      </c>
      <c r="I406">
        <v>2</v>
      </c>
      <c r="J406" t="s">
        <v>23</v>
      </c>
      <c r="K406" t="s">
        <v>24</v>
      </c>
      <c r="L406">
        <v>54</v>
      </c>
      <c r="M406" t="s">
        <v>15</v>
      </c>
    </row>
    <row r="407" spans="1:13" x14ac:dyDescent="0.25">
      <c r="A407">
        <v>22439</v>
      </c>
      <c r="B407" t="s">
        <v>34</v>
      </c>
      <c r="C407" t="s">
        <v>33</v>
      </c>
      <c r="D407" s="5">
        <v>30000</v>
      </c>
      <c r="E407">
        <v>0</v>
      </c>
      <c r="F407" t="s">
        <v>13</v>
      </c>
      <c r="G407" t="s">
        <v>20</v>
      </c>
      <c r="H407" t="s">
        <v>15</v>
      </c>
      <c r="I407">
        <v>0</v>
      </c>
      <c r="J407" t="s">
        <v>16</v>
      </c>
      <c r="K407" t="s">
        <v>17</v>
      </c>
      <c r="L407">
        <v>37</v>
      </c>
      <c r="M407" t="s">
        <v>15</v>
      </c>
    </row>
    <row r="408" spans="1:13" x14ac:dyDescent="0.25">
      <c r="A408">
        <v>18012</v>
      </c>
      <c r="B408" t="s">
        <v>34</v>
      </c>
      <c r="C408" t="s">
        <v>33</v>
      </c>
      <c r="D408" s="5">
        <v>40000</v>
      </c>
      <c r="E408">
        <v>1</v>
      </c>
      <c r="F408" t="s">
        <v>13</v>
      </c>
      <c r="G408" t="s">
        <v>14</v>
      </c>
      <c r="H408" t="s">
        <v>15</v>
      </c>
      <c r="I408">
        <v>0</v>
      </c>
      <c r="J408" t="s">
        <v>16</v>
      </c>
      <c r="K408" t="s">
        <v>17</v>
      </c>
      <c r="L408">
        <v>41</v>
      </c>
      <c r="M408" t="s">
        <v>18</v>
      </c>
    </row>
    <row r="409" spans="1:13" x14ac:dyDescent="0.25">
      <c r="A409">
        <v>27582</v>
      </c>
      <c r="B409" t="s">
        <v>35</v>
      </c>
      <c r="C409" t="s">
        <v>33</v>
      </c>
      <c r="D409" s="5">
        <v>90000</v>
      </c>
      <c r="E409">
        <v>2</v>
      </c>
      <c r="F409" t="s">
        <v>13</v>
      </c>
      <c r="G409" t="s">
        <v>21</v>
      </c>
      <c r="H409" t="s">
        <v>18</v>
      </c>
      <c r="I409">
        <v>0</v>
      </c>
      <c r="J409" t="s">
        <v>16</v>
      </c>
      <c r="K409" t="s">
        <v>24</v>
      </c>
      <c r="L409">
        <v>36</v>
      </c>
      <c r="M409" t="s">
        <v>15</v>
      </c>
    </row>
    <row r="410" spans="1:13" x14ac:dyDescent="0.25">
      <c r="A410">
        <v>12744</v>
      </c>
      <c r="B410" t="s">
        <v>35</v>
      </c>
      <c r="C410" t="s">
        <v>33</v>
      </c>
      <c r="D410" s="5">
        <v>40000</v>
      </c>
      <c r="E410">
        <v>2</v>
      </c>
      <c r="F410" t="s">
        <v>19</v>
      </c>
      <c r="G410" t="s">
        <v>20</v>
      </c>
      <c r="H410" t="s">
        <v>15</v>
      </c>
      <c r="I410">
        <v>0</v>
      </c>
      <c r="J410" t="s">
        <v>16</v>
      </c>
      <c r="K410" t="s">
        <v>17</v>
      </c>
      <c r="L410">
        <v>33</v>
      </c>
      <c r="M410" t="s">
        <v>18</v>
      </c>
    </row>
    <row r="411" spans="1:13" x14ac:dyDescent="0.25">
      <c r="A411">
        <v>22821</v>
      </c>
      <c r="B411" t="s">
        <v>34</v>
      </c>
      <c r="C411" t="s">
        <v>33</v>
      </c>
      <c r="D411" s="5">
        <v>130000</v>
      </c>
      <c r="E411">
        <v>3</v>
      </c>
      <c r="F411" t="s">
        <v>19</v>
      </c>
      <c r="G411" t="s">
        <v>21</v>
      </c>
      <c r="H411" t="s">
        <v>15</v>
      </c>
      <c r="I411">
        <v>4</v>
      </c>
      <c r="J411" t="s">
        <v>16</v>
      </c>
      <c r="K411" t="s">
        <v>17</v>
      </c>
      <c r="L411">
        <v>52</v>
      </c>
      <c r="M411" t="s">
        <v>18</v>
      </c>
    </row>
    <row r="412" spans="1:13" x14ac:dyDescent="0.25">
      <c r="A412">
        <v>20171</v>
      </c>
      <c r="B412" t="s">
        <v>34</v>
      </c>
      <c r="C412" t="s">
        <v>33</v>
      </c>
      <c r="D412" s="5">
        <v>20000</v>
      </c>
      <c r="E412">
        <v>2</v>
      </c>
      <c r="F412" t="s">
        <v>19</v>
      </c>
      <c r="G412" t="s">
        <v>25</v>
      </c>
      <c r="H412" t="s">
        <v>15</v>
      </c>
      <c r="I412">
        <v>1</v>
      </c>
      <c r="J412" t="s">
        <v>16</v>
      </c>
      <c r="K412" t="s">
        <v>17</v>
      </c>
      <c r="L412">
        <v>46</v>
      </c>
      <c r="M412" t="s">
        <v>15</v>
      </c>
    </row>
    <row r="413" spans="1:13" x14ac:dyDescent="0.25">
      <c r="A413">
        <v>11116</v>
      </c>
      <c r="B413" t="s">
        <v>34</v>
      </c>
      <c r="C413" t="s">
        <v>34</v>
      </c>
      <c r="D413" s="5">
        <v>70000</v>
      </c>
      <c r="E413">
        <v>5</v>
      </c>
      <c r="F413" t="s">
        <v>19</v>
      </c>
      <c r="G413" t="s">
        <v>14</v>
      </c>
      <c r="H413" t="s">
        <v>15</v>
      </c>
      <c r="I413">
        <v>2</v>
      </c>
      <c r="J413" t="s">
        <v>23</v>
      </c>
      <c r="K413" t="s">
        <v>24</v>
      </c>
      <c r="L413">
        <v>43</v>
      </c>
      <c r="M413" t="s">
        <v>18</v>
      </c>
    </row>
    <row r="414" spans="1:13" x14ac:dyDescent="0.25">
      <c r="A414">
        <v>20053</v>
      </c>
      <c r="B414" t="s">
        <v>35</v>
      </c>
      <c r="C414" t="s">
        <v>34</v>
      </c>
      <c r="D414" s="5">
        <v>40000</v>
      </c>
      <c r="E414">
        <v>2</v>
      </c>
      <c r="F414" t="s">
        <v>19</v>
      </c>
      <c r="G414" t="s">
        <v>20</v>
      </c>
      <c r="H414" t="s">
        <v>15</v>
      </c>
      <c r="I414">
        <v>0</v>
      </c>
      <c r="J414" t="s">
        <v>16</v>
      </c>
      <c r="K414" t="s">
        <v>17</v>
      </c>
      <c r="L414">
        <v>34</v>
      </c>
      <c r="M414" t="s">
        <v>18</v>
      </c>
    </row>
    <row r="415" spans="1:13" x14ac:dyDescent="0.25">
      <c r="A415">
        <v>25266</v>
      </c>
      <c r="B415" t="s">
        <v>35</v>
      </c>
      <c r="C415" t="s">
        <v>33</v>
      </c>
      <c r="D415" s="5">
        <v>30000</v>
      </c>
      <c r="E415">
        <v>2</v>
      </c>
      <c r="F415" t="s">
        <v>19</v>
      </c>
      <c r="G415" t="s">
        <v>20</v>
      </c>
      <c r="H415" t="s">
        <v>18</v>
      </c>
      <c r="I415">
        <v>2</v>
      </c>
      <c r="J415" t="s">
        <v>23</v>
      </c>
      <c r="K415" t="s">
        <v>24</v>
      </c>
      <c r="L415">
        <v>67</v>
      </c>
      <c r="M415" t="s">
        <v>18</v>
      </c>
    </row>
    <row r="416" spans="1:13" x14ac:dyDescent="0.25">
      <c r="A416">
        <v>17960</v>
      </c>
      <c r="B416" t="s">
        <v>34</v>
      </c>
      <c r="C416" t="s">
        <v>33</v>
      </c>
      <c r="D416" s="5">
        <v>40000</v>
      </c>
      <c r="E416">
        <v>0</v>
      </c>
      <c r="F416" t="s">
        <v>31</v>
      </c>
      <c r="G416" t="s">
        <v>20</v>
      </c>
      <c r="H416" t="s">
        <v>15</v>
      </c>
      <c r="I416">
        <v>0</v>
      </c>
      <c r="J416" t="s">
        <v>16</v>
      </c>
      <c r="K416" t="s">
        <v>17</v>
      </c>
      <c r="L416">
        <v>35</v>
      </c>
      <c r="M416" t="s">
        <v>15</v>
      </c>
    </row>
    <row r="417" spans="1:13" x14ac:dyDescent="0.25">
      <c r="A417">
        <v>13961</v>
      </c>
      <c r="B417" t="s">
        <v>34</v>
      </c>
      <c r="C417" t="s">
        <v>33</v>
      </c>
      <c r="D417" s="5">
        <v>80000</v>
      </c>
      <c r="E417">
        <v>5</v>
      </c>
      <c r="F417" t="s">
        <v>31</v>
      </c>
      <c r="G417" t="s">
        <v>28</v>
      </c>
      <c r="H417" t="s">
        <v>15</v>
      </c>
      <c r="I417">
        <v>3</v>
      </c>
      <c r="J417" t="s">
        <v>16</v>
      </c>
      <c r="K417" t="s">
        <v>24</v>
      </c>
      <c r="L417">
        <v>40</v>
      </c>
      <c r="M417" t="s">
        <v>18</v>
      </c>
    </row>
    <row r="418" spans="1:13" x14ac:dyDescent="0.25">
      <c r="A418">
        <v>11897</v>
      </c>
      <c r="B418" t="s">
        <v>35</v>
      </c>
      <c r="C418" t="s">
        <v>34</v>
      </c>
      <c r="D418" s="5">
        <v>60000</v>
      </c>
      <c r="E418">
        <v>2</v>
      </c>
      <c r="F418" t="s">
        <v>13</v>
      </c>
      <c r="G418" t="s">
        <v>21</v>
      </c>
      <c r="H418" t="s">
        <v>18</v>
      </c>
      <c r="I418">
        <v>1</v>
      </c>
      <c r="J418" t="s">
        <v>16</v>
      </c>
      <c r="K418" t="s">
        <v>24</v>
      </c>
      <c r="L418">
        <v>37</v>
      </c>
      <c r="M418" t="s">
        <v>15</v>
      </c>
    </row>
    <row r="419" spans="1:13" x14ac:dyDescent="0.25">
      <c r="A419">
        <v>11139</v>
      </c>
      <c r="B419" t="s">
        <v>35</v>
      </c>
      <c r="C419" t="s">
        <v>33</v>
      </c>
      <c r="D419" s="5">
        <v>30000</v>
      </c>
      <c r="E419">
        <v>2</v>
      </c>
      <c r="F419" t="s">
        <v>19</v>
      </c>
      <c r="G419" t="s">
        <v>20</v>
      </c>
      <c r="H419" t="s">
        <v>18</v>
      </c>
      <c r="I419">
        <v>2</v>
      </c>
      <c r="J419" t="s">
        <v>23</v>
      </c>
      <c r="K419" t="s">
        <v>24</v>
      </c>
      <c r="L419">
        <v>67</v>
      </c>
      <c r="M419" t="s">
        <v>18</v>
      </c>
    </row>
    <row r="420" spans="1:13" x14ac:dyDescent="0.25">
      <c r="A420">
        <v>11576</v>
      </c>
      <c r="B420" t="s">
        <v>34</v>
      </c>
      <c r="C420" t="s">
        <v>34</v>
      </c>
      <c r="D420" s="5">
        <v>30000</v>
      </c>
      <c r="E420">
        <v>1</v>
      </c>
      <c r="F420" t="s">
        <v>13</v>
      </c>
      <c r="G420" t="s">
        <v>14</v>
      </c>
      <c r="H420" t="s">
        <v>15</v>
      </c>
      <c r="I420">
        <v>2</v>
      </c>
      <c r="J420" t="s">
        <v>16</v>
      </c>
      <c r="K420" t="s">
        <v>17</v>
      </c>
      <c r="L420">
        <v>41</v>
      </c>
      <c r="M420" t="s">
        <v>15</v>
      </c>
    </row>
    <row r="421" spans="1:13" x14ac:dyDescent="0.25">
      <c r="A421">
        <v>19255</v>
      </c>
      <c r="B421" t="s">
        <v>35</v>
      </c>
      <c r="C421" t="s">
        <v>34</v>
      </c>
      <c r="D421" s="5">
        <v>10000</v>
      </c>
      <c r="E421">
        <v>2</v>
      </c>
      <c r="F421" t="s">
        <v>19</v>
      </c>
      <c r="G421" t="s">
        <v>25</v>
      </c>
      <c r="H421" t="s">
        <v>15</v>
      </c>
      <c r="I421">
        <v>1</v>
      </c>
      <c r="J421" t="s">
        <v>16</v>
      </c>
      <c r="K421" t="s">
        <v>17</v>
      </c>
      <c r="L421">
        <v>51</v>
      </c>
      <c r="M421" t="s">
        <v>15</v>
      </c>
    </row>
    <row r="422" spans="1:13" x14ac:dyDescent="0.25">
      <c r="A422">
        <v>18153</v>
      </c>
      <c r="B422" t="s">
        <v>34</v>
      </c>
      <c r="C422" t="s">
        <v>33</v>
      </c>
      <c r="D422" s="5">
        <v>100000</v>
      </c>
      <c r="E422">
        <v>2</v>
      </c>
      <c r="F422" t="s">
        <v>13</v>
      </c>
      <c r="G422" t="s">
        <v>28</v>
      </c>
      <c r="H422" t="s">
        <v>15</v>
      </c>
      <c r="I422">
        <v>4</v>
      </c>
      <c r="J422" t="s">
        <v>30</v>
      </c>
      <c r="K422" t="s">
        <v>17</v>
      </c>
      <c r="L422">
        <v>59</v>
      </c>
      <c r="M422" t="s">
        <v>18</v>
      </c>
    </row>
    <row r="423" spans="1:13" x14ac:dyDescent="0.25">
      <c r="A423">
        <v>14547</v>
      </c>
      <c r="B423" t="s">
        <v>34</v>
      </c>
      <c r="C423" t="s">
        <v>34</v>
      </c>
      <c r="D423" s="5">
        <v>10000</v>
      </c>
      <c r="E423">
        <v>2</v>
      </c>
      <c r="F423" t="s">
        <v>19</v>
      </c>
      <c r="G423" t="s">
        <v>25</v>
      </c>
      <c r="H423" t="s">
        <v>15</v>
      </c>
      <c r="I423">
        <v>0</v>
      </c>
      <c r="J423" t="s">
        <v>26</v>
      </c>
      <c r="K423" t="s">
        <v>17</v>
      </c>
      <c r="L423">
        <v>51</v>
      </c>
      <c r="M423" t="s">
        <v>18</v>
      </c>
    </row>
    <row r="424" spans="1:13" x14ac:dyDescent="0.25">
      <c r="A424">
        <v>24901</v>
      </c>
      <c r="B424" t="s">
        <v>35</v>
      </c>
      <c r="C424" t="s">
        <v>34</v>
      </c>
      <c r="D424" s="5">
        <v>110000</v>
      </c>
      <c r="E424">
        <v>0</v>
      </c>
      <c r="F424" t="s">
        <v>19</v>
      </c>
      <c r="G424" t="s">
        <v>28</v>
      </c>
      <c r="H424" t="s">
        <v>18</v>
      </c>
      <c r="I424">
        <v>3</v>
      </c>
      <c r="J424" t="s">
        <v>30</v>
      </c>
      <c r="K424" t="s">
        <v>24</v>
      </c>
      <c r="L424">
        <v>32</v>
      </c>
      <c r="M424" t="s">
        <v>15</v>
      </c>
    </row>
    <row r="425" spans="1:13" x14ac:dyDescent="0.25">
      <c r="A425">
        <v>27169</v>
      </c>
      <c r="B425" t="s">
        <v>35</v>
      </c>
      <c r="C425" t="s">
        <v>34</v>
      </c>
      <c r="D425" s="5">
        <v>30000</v>
      </c>
      <c r="E425">
        <v>0</v>
      </c>
      <c r="F425" t="s">
        <v>27</v>
      </c>
      <c r="G425" t="s">
        <v>25</v>
      </c>
      <c r="H425" t="s">
        <v>15</v>
      </c>
      <c r="I425">
        <v>1</v>
      </c>
      <c r="J425" t="s">
        <v>22</v>
      </c>
      <c r="K425" t="s">
        <v>17</v>
      </c>
      <c r="L425">
        <v>34</v>
      </c>
      <c r="M425" t="s">
        <v>15</v>
      </c>
    </row>
    <row r="426" spans="1:13" x14ac:dyDescent="0.25">
      <c r="A426">
        <v>14805</v>
      </c>
      <c r="B426" t="s">
        <v>35</v>
      </c>
      <c r="C426" t="s">
        <v>33</v>
      </c>
      <c r="D426" s="5">
        <v>10000</v>
      </c>
      <c r="E426">
        <v>3</v>
      </c>
      <c r="F426" t="s">
        <v>29</v>
      </c>
      <c r="G426" t="s">
        <v>25</v>
      </c>
      <c r="H426" t="s">
        <v>15</v>
      </c>
      <c r="I426">
        <v>2</v>
      </c>
      <c r="J426" t="s">
        <v>16</v>
      </c>
      <c r="K426" t="s">
        <v>17</v>
      </c>
      <c r="L426">
        <v>43</v>
      </c>
      <c r="M426" t="s">
        <v>18</v>
      </c>
    </row>
    <row r="427" spans="1:13" x14ac:dyDescent="0.25">
      <c r="A427">
        <v>15822</v>
      </c>
      <c r="B427" t="s">
        <v>34</v>
      </c>
      <c r="C427" t="s">
        <v>34</v>
      </c>
      <c r="D427" s="5">
        <v>40000</v>
      </c>
      <c r="E427">
        <v>2</v>
      </c>
      <c r="F427" t="s">
        <v>13</v>
      </c>
      <c r="G427" t="s">
        <v>28</v>
      </c>
      <c r="H427" t="s">
        <v>15</v>
      </c>
      <c r="I427">
        <v>2</v>
      </c>
      <c r="J427" t="s">
        <v>16</v>
      </c>
      <c r="K427" t="s">
        <v>24</v>
      </c>
      <c r="L427">
        <v>67</v>
      </c>
      <c r="M427" t="s">
        <v>18</v>
      </c>
    </row>
    <row r="428" spans="1:13" x14ac:dyDescent="0.25">
      <c r="A428">
        <v>19389</v>
      </c>
      <c r="B428" t="s">
        <v>35</v>
      </c>
      <c r="C428" t="s">
        <v>34</v>
      </c>
      <c r="D428" s="5">
        <v>30000</v>
      </c>
      <c r="E428">
        <v>0</v>
      </c>
      <c r="F428" t="s">
        <v>19</v>
      </c>
      <c r="G428" t="s">
        <v>20</v>
      </c>
      <c r="H428" t="s">
        <v>18</v>
      </c>
      <c r="I428">
        <v>1</v>
      </c>
      <c r="J428" t="s">
        <v>22</v>
      </c>
      <c r="K428" t="s">
        <v>17</v>
      </c>
      <c r="L428">
        <v>28</v>
      </c>
      <c r="M428" t="s">
        <v>18</v>
      </c>
    </row>
    <row r="429" spans="1:13" x14ac:dyDescent="0.25">
      <c r="A429">
        <v>17048</v>
      </c>
      <c r="B429" t="s">
        <v>35</v>
      </c>
      <c r="C429" t="s">
        <v>33</v>
      </c>
      <c r="D429" s="5">
        <v>90000</v>
      </c>
      <c r="E429">
        <v>1</v>
      </c>
      <c r="F429" t="s">
        <v>31</v>
      </c>
      <c r="G429" t="s">
        <v>28</v>
      </c>
      <c r="H429" t="s">
        <v>15</v>
      </c>
      <c r="I429">
        <v>0</v>
      </c>
      <c r="J429" t="s">
        <v>16</v>
      </c>
      <c r="K429" t="s">
        <v>24</v>
      </c>
      <c r="L429">
        <v>36</v>
      </c>
      <c r="M429" t="s">
        <v>15</v>
      </c>
    </row>
    <row r="430" spans="1:13" x14ac:dyDescent="0.25">
      <c r="A430">
        <v>22204</v>
      </c>
      <c r="B430" t="s">
        <v>34</v>
      </c>
      <c r="C430" t="s">
        <v>34</v>
      </c>
      <c r="D430" s="5">
        <v>110000</v>
      </c>
      <c r="E430">
        <v>4</v>
      </c>
      <c r="F430" t="s">
        <v>13</v>
      </c>
      <c r="G430" t="s">
        <v>28</v>
      </c>
      <c r="H430" t="s">
        <v>15</v>
      </c>
      <c r="I430">
        <v>3</v>
      </c>
      <c r="J430" t="s">
        <v>22</v>
      </c>
      <c r="K430" t="s">
        <v>24</v>
      </c>
      <c r="L430">
        <v>48</v>
      </c>
      <c r="M430" t="s">
        <v>18</v>
      </c>
    </row>
    <row r="431" spans="1:13" x14ac:dyDescent="0.25">
      <c r="A431">
        <v>12718</v>
      </c>
      <c r="B431" t="s">
        <v>35</v>
      </c>
      <c r="C431" t="s">
        <v>33</v>
      </c>
      <c r="D431" s="5">
        <v>30000</v>
      </c>
      <c r="E431">
        <v>0</v>
      </c>
      <c r="F431" t="s">
        <v>19</v>
      </c>
      <c r="G431" t="s">
        <v>20</v>
      </c>
      <c r="H431" t="s">
        <v>15</v>
      </c>
      <c r="I431">
        <v>1</v>
      </c>
      <c r="J431" t="s">
        <v>22</v>
      </c>
      <c r="K431" t="s">
        <v>17</v>
      </c>
      <c r="L431">
        <v>31</v>
      </c>
      <c r="M431" t="s">
        <v>18</v>
      </c>
    </row>
    <row r="432" spans="1:13" x14ac:dyDescent="0.25">
      <c r="A432">
        <v>15019</v>
      </c>
      <c r="B432" t="s">
        <v>35</v>
      </c>
      <c r="C432" t="s">
        <v>33</v>
      </c>
      <c r="D432" s="5">
        <v>30000</v>
      </c>
      <c r="E432">
        <v>3</v>
      </c>
      <c r="F432" t="s">
        <v>27</v>
      </c>
      <c r="G432" t="s">
        <v>14</v>
      </c>
      <c r="H432" t="s">
        <v>15</v>
      </c>
      <c r="I432">
        <v>2</v>
      </c>
      <c r="J432" t="s">
        <v>23</v>
      </c>
      <c r="K432" t="s">
        <v>24</v>
      </c>
      <c r="L432">
        <v>55</v>
      </c>
      <c r="M432" t="s">
        <v>18</v>
      </c>
    </row>
    <row r="433" spans="1:13" x14ac:dyDescent="0.25">
      <c r="A433">
        <v>28488</v>
      </c>
      <c r="B433" t="s">
        <v>35</v>
      </c>
      <c r="C433" t="s">
        <v>34</v>
      </c>
      <c r="D433" s="5">
        <v>20000</v>
      </c>
      <c r="E433">
        <v>0</v>
      </c>
      <c r="F433" t="s">
        <v>19</v>
      </c>
      <c r="G433" t="s">
        <v>25</v>
      </c>
      <c r="H433" t="s">
        <v>15</v>
      </c>
      <c r="I433">
        <v>0</v>
      </c>
      <c r="J433" t="s">
        <v>16</v>
      </c>
      <c r="K433" t="s">
        <v>24</v>
      </c>
      <c r="L433">
        <v>28</v>
      </c>
      <c r="M433" t="s">
        <v>15</v>
      </c>
    </row>
    <row r="434" spans="1:13" x14ac:dyDescent="0.25">
      <c r="A434">
        <v>21891</v>
      </c>
      <c r="B434" t="s">
        <v>34</v>
      </c>
      <c r="C434" t="s">
        <v>33</v>
      </c>
      <c r="D434" s="5">
        <v>110000</v>
      </c>
      <c r="E434">
        <v>0</v>
      </c>
      <c r="F434" t="s">
        <v>27</v>
      </c>
      <c r="G434" t="s">
        <v>28</v>
      </c>
      <c r="H434" t="s">
        <v>15</v>
      </c>
      <c r="I434">
        <v>3</v>
      </c>
      <c r="J434" t="s">
        <v>30</v>
      </c>
      <c r="K434" t="s">
        <v>24</v>
      </c>
      <c r="L434">
        <v>34</v>
      </c>
      <c r="M434" t="s">
        <v>15</v>
      </c>
    </row>
    <row r="435" spans="1:13" x14ac:dyDescent="0.25">
      <c r="A435">
        <v>27814</v>
      </c>
      <c r="B435" t="s">
        <v>35</v>
      </c>
      <c r="C435" t="s">
        <v>33</v>
      </c>
      <c r="D435" s="5">
        <v>30000</v>
      </c>
      <c r="E435">
        <v>3</v>
      </c>
      <c r="F435" t="s">
        <v>19</v>
      </c>
      <c r="G435" t="s">
        <v>20</v>
      </c>
      <c r="H435" t="s">
        <v>18</v>
      </c>
      <c r="I435">
        <v>1</v>
      </c>
      <c r="J435" t="s">
        <v>16</v>
      </c>
      <c r="K435" t="s">
        <v>17</v>
      </c>
      <c r="L435">
        <v>26</v>
      </c>
      <c r="M435" t="s">
        <v>18</v>
      </c>
    </row>
    <row r="436" spans="1:13" x14ac:dyDescent="0.25">
      <c r="A436">
        <v>22175</v>
      </c>
      <c r="B436" t="s">
        <v>34</v>
      </c>
      <c r="C436" t="s">
        <v>33</v>
      </c>
      <c r="D436" s="5">
        <v>30000</v>
      </c>
      <c r="E436">
        <v>3</v>
      </c>
      <c r="F436" t="s">
        <v>27</v>
      </c>
      <c r="G436" t="s">
        <v>14</v>
      </c>
      <c r="H436" t="s">
        <v>15</v>
      </c>
      <c r="I436">
        <v>2</v>
      </c>
      <c r="J436" t="s">
        <v>23</v>
      </c>
      <c r="K436" t="s">
        <v>24</v>
      </c>
      <c r="L436">
        <v>53</v>
      </c>
      <c r="M436" t="s">
        <v>15</v>
      </c>
    </row>
    <row r="437" spans="1:13" x14ac:dyDescent="0.25">
      <c r="A437">
        <v>29447</v>
      </c>
      <c r="B437" t="s">
        <v>35</v>
      </c>
      <c r="C437" t="s">
        <v>33</v>
      </c>
      <c r="D437" s="5">
        <v>10000</v>
      </c>
      <c r="E437">
        <v>2</v>
      </c>
      <c r="F437" t="s">
        <v>13</v>
      </c>
      <c r="G437" t="s">
        <v>20</v>
      </c>
      <c r="H437" t="s">
        <v>18</v>
      </c>
      <c r="I437">
        <v>1</v>
      </c>
      <c r="J437" t="s">
        <v>22</v>
      </c>
      <c r="K437" t="s">
        <v>17</v>
      </c>
      <c r="L437">
        <v>68</v>
      </c>
      <c r="M437" t="s">
        <v>18</v>
      </c>
    </row>
    <row r="438" spans="1:13" x14ac:dyDescent="0.25">
      <c r="A438">
        <v>19784</v>
      </c>
      <c r="B438" t="s">
        <v>34</v>
      </c>
      <c r="C438" t="s">
        <v>33</v>
      </c>
      <c r="D438" s="5">
        <v>80000</v>
      </c>
      <c r="E438">
        <v>2</v>
      </c>
      <c r="F438" t="s">
        <v>27</v>
      </c>
      <c r="G438" t="s">
        <v>14</v>
      </c>
      <c r="H438" t="s">
        <v>15</v>
      </c>
      <c r="I438">
        <v>2</v>
      </c>
      <c r="J438" t="s">
        <v>23</v>
      </c>
      <c r="K438" t="s">
        <v>24</v>
      </c>
      <c r="L438">
        <v>50</v>
      </c>
      <c r="M438" t="s">
        <v>15</v>
      </c>
    </row>
    <row r="439" spans="1:13" x14ac:dyDescent="0.25">
      <c r="A439">
        <v>27824</v>
      </c>
      <c r="B439" t="s">
        <v>35</v>
      </c>
      <c r="C439" t="s">
        <v>33</v>
      </c>
      <c r="D439" s="5">
        <v>30000</v>
      </c>
      <c r="E439">
        <v>3</v>
      </c>
      <c r="F439" t="s">
        <v>19</v>
      </c>
      <c r="G439" t="s">
        <v>20</v>
      </c>
      <c r="H439" t="s">
        <v>15</v>
      </c>
      <c r="I439">
        <v>2</v>
      </c>
      <c r="J439" t="s">
        <v>16</v>
      </c>
      <c r="K439" t="s">
        <v>17</v>
      </c>
      <c r="L439">
        <v>28</v>
      </c>
      <c r="M439" t="s">
        <v>15</v>
      </c>
    </row>
    <row r="440" spans="1:13" x14ac:dyDescent="0.25">
      <c r="A440">
        <v>24093</v>
      </c>
      <c r="B440" t="s">
        <v>35</v>
      </c>
      <c r="C440" t="s">
        <v>33</v>
      </c>
      <c r="D440" s="5">
        <v>80000</v>
      </c>
      <c r="E440">
        <v>0</v>
      </c>
      <c r="F440" t="s">
        <v>31</v>
      </c>
      <c r="G440" t="s">
        <v>14</v>
      </c>
      <c r="H440" t="s">
        <v>18</v>
      </c>
      <c r="I440">
        <v>0</v>
      </c>
      <c r="J440" t="s">
        <v>16</v>
      </c>
      <c r="K440" t="s">
        <v>17</v>
      </c>
      <c r="L440">
        <v>40</v>
      </c>
      <c r="M440" t="s">
        <v>15</v>
      </c>
    </row>
    <row r="441" spans="1:13" x14ac:dyDescent="0.25">
      <c r="A441">
        <v>19618</v>
      </c>
      <c r="B441" t="s">
        <v>34</v>
      </c>
      <c r="C441" t="s">
        <v>34</v>
      </c>
      <c r="D441" s="5">
        <v>70000</v>
      </c>
      <c r="E441">
        <v>5</v>
      </c>
      <c r="F441" t="s">
        <v>19</v>
      </c>
      <c r="G441" t="s">
        <v>14</v>
      </c>
      <c r="H441" t="s">
        <v>15</v>
      </c>
      <c r="I441">
        <v>2</v>
      </c>
      <c r="J441" t="s">
        <v>16</v>
      </c>
      <c r="K441" t="s">
        <v>24</v>
      </c>
      <c r="L441">
        <v>44</v>
      </c>
      <c r="M441" t="s">
        <v>18</v>
      </c>
    </row>
    <row r="442" spans="1:13" x14ac:dyDescent="0.25">
      <c r="A442">
        <v>21561</v>
      </c>
      <c r="B442" t="s">
        <v>35</v>
      </c>
      <c r="C442" t="s">
        <v>34</v>
      </c>
      <c r="D442" s="5">
        <v>90000</v>
      </c>
      <c r="E442">
        <v>0</v>
      </c>
      <c r="F442" t="s">
        <v>13</v>
      </c>
      <c r="G442" t="s">
        <v>21</v>
      </c>
      <c r="H442" t="s">
        <v>18</v>
      </c>
      <c r="I442">
        <v>3</v>
      </c>
      <c r="J442" t="s">
        <v>30</v>
      </c>
      <c r="K442" t="s">
        <v>24</v>
      </c>
      <c r="L442">
        <v>34</v>
      </c>
      <c r="M442" t="s">
        <v>15</v>
      </c>
    </row>
    <row r="443" spans="1:13" x14ac:dyDescent="0.25">
      <c r="A443">
        <v>11061</v>
      </c>
      <c r="B443" t="s">
        <v>34</v>
      </c>
      <c r="C443" t="s">
        <v>34</v>
      </c>
      <c r="D443" s="5">
        <v>70000</v>
      </c>
      <c r="E443">
        <v>2</v>
      </c>
      <c r="F443" t="s">
        <v>19</v>
      </c>
      <c r="G443" t="s">
        <v>14</v>
      </c>
      <c r="H443" t="s">
        <v>15</v>
      </c>
      <c r="I443">
        <v>2</v>
      </c>
      <c r="J443" t="s">
        <v>23</v>
      </c>
      <c r="K443" t="s">
        <v>24</v>
      </c>
      <c r="L443">
        <v>52</v>
      </c>
      <c r="M443" t="s">
        <v>15</v>
      </c>
    </row>
    <row r="444" spans="1:13" x14ac:dyDescent="0.25">
      <c r="A444">
        <v>26651</v>
      </c>
      <c r="B444" t="s">
        <v>35</v>
      </c>
      <c r="C444" t="s">
        <v>34</v>
      </c>
      <c r="D444" s="5">
        <v>80000</v>
      </c>
      <c r="E444">
        <v>4</v>
      </c>
      <c r="F444" t="s">
        <v>31</v>
      </c>
      <c r="G444" t="s">
        <v>28</v>
      </c>
      <c r="H444" t="s">
        <v>15</v>
      </c>
      <c r="I444">
        <v>0</v>
      </c>
      <c r="J444" t="s">
        <v>16</v>
      </c>
      <c r="K444" t="s">
        <v>24</v>
      </c>
      <c r="L444">
        <v>36</v>
      </c>
      <c r="M444" t="s">
        <v>15</v>
      </c>
    </row>
    <row r="445" spans="1:13" x14ac:dyDescent="0.25">
      <c r="A445">
        <v>21108</v>
      </c>
      <c r="B445" t="s">
        <v>34</v>
      </c>
      <c r="C445" t="s">
        <v>33</v>
      </c>
      <c r="D445" s="5">
        <v>40000</v>
      </c>
      <c r="E445">
        <v>1</v>
      </c>
      <c r="F445" t="s">
        <v>13</v>
      </c>
      <c r="G445" t="s">
        <v>14</v>
      </c>
      <c r="H445" t="s">
        <v>15</v>
      </c>
      <c r="I445">
        <v>1</v>
      </c>
      <c r="J445" t="s">
        <v>16</v>
      </c>
      <c r="K445" t="s">
        <v>17</v>
      </c>
      <c r="L445">
        <v>43</v>
      </c>
      <c r="M445" t="s">
        <v>15</v>
      </c>
    </row>
    <row r="446" spans="1:13" x14ac:dyDescent="0.25">
      <c r="A446">
        <v>12731</v>
      </c>
      <c r="B446" t="s">
        <v>35</v>
      </c>
      <c r="C446" t="s">
        <v>34</v>
      </c>
      <c r="D446" s="5">
        <v>30000</v>
      </c>
      <c r="E446">
        <v>0</v>
      </c>
      <c r="F446" t="s">
        <v>27</v>
      </c>
      <c r="G446" t="s">
        <v>25</v>
      </c>
      <c r="H446" t="s">
        <v>18</v>
      </c>
      <c r="I446">
        <v>1</v>
      </c>
      <c r="J446" t="s">
        <v>26</v>
      </c>
      <c r="K446" t="s">
        <v>17</v>
      </c>
      <c r="L446">
        <v>32</v>
      </c>
      <c r="M446" t="s">
        <v>18</v>
      </c>
    </row>
    <row r="447" spans="1:13" x14ac:dyDescent="0.25">
      <c r="A447">
        <v>25307</v>
      </c>
      <c r="B447" t="s">
        <v>34</v>
      </c>
      <c r="C447" t="s">
        <v>33</v>
      </c>
      <c r="D447" s="5">
        <v>40000</v>
      </c>
      <c r="E447">
        <v>1</v>
      </c>
      <c r="F447" t="s">
        <v>13</v>
      </c>
      <c r="G447" t="s">
        <v>14</v>
      </c>
      <c r="H447" t="s">
        <v>15</v>
      </c>
      <c r="I447">
        <v>1</v>
      </c>
      <c r="J447" t="s">
        <v>26</v>
      </c>
      <c r="K447" t="s">
        <v>17</v>
      </c>
      <c r="L447">
        <v>32</v>
      </c>
      <c r="M447" t="s">
        <v>15</v>
      </c>
    </row>
    <row r="448" spans="1:13" x14ac:dyDescent="0.25">
      <c r="A448">
        <v>14278</v>
      </c>
      <c r="B448" t="s">
        <v>34</v>
      </c>
      <c r="C448" t="s">
        <v>33</v>
      </c>
      <c r="D448" s="5">
        <v>130000</v>
      </c>
      <c r="E448">
        <v>0</v>
      </c>
      <c r="F448" t="s">
        <v>31</v>
      </c>
      <c r="G448" t="s">
        <v>28</v>
      </c>
      <c r="H448" t="s">
        <v>15</v>
      </c>
      <c r="I448">
        <v>1</v>
      </c>
      <c r="J448" t="s">
        <v>30</v>
      </c>
      <c r="K448" t="s">
        <v>24</v>
      </c>
      <c r="L448">
        <v>48</v>
      </c>
      <c r="M448" t="s">
        <v>18</v>
      </c>
    </row>
    <row r="449" spans="1:13" x14ac:dyDescent="0.25">
      <c r="A449">
        <v>20711</v>
      </c>
      <c r="B449" t="s">
        <v>34</v>
      </c>
      <c r="C449" t="s">
        <v>33</v>
      </c>
      <c r="D449" s="5">
        <v>40000</v>
      </c>
      <c r="E449">
        <v>1</v>
      </c>
      <c r="F449" t="s">
        <v>13</v>
      </c>
      <c r="G449" t="s">
        <v>14</v>
      </c>
      <c r="H449" t="s">
        <v>15</v>
      </c>
      <c r="I449">
        <v>0</v>
      </c>
      <c r="J449" t="s">
        <v>26</v>
      </c>
      <c r="K449" t="s">
        <v>17</v>
      </c>
      <c r="L449">
        <v>32</v>
      </c>
      <c r="M449" t="s">
        <v>15</v>
      </c>
    </row>
    <row r="450" spans="1:13" x14ac:dyDescent="0.25">
      <c r="A450">
        <v>11383</v>
      </c>
      <c r="B450" t="s">
        <v>34</v>
      </c>
      <c r="C450" t="s">
        <v>33</v>
      </c>
      <c r="D450" s="5">
        <v>30000</v>
      </c>
      <c r="E450">
        <v>3</v>
      </c>
      <c r="F450" t="s">
        <v>31</v>
      </c>
      <c r="G450" t="s">
        <v>20</v>
      </c>
      <c r="H450" t="s">
        <v>15</v>
      </c>
      <c r="I450">
        <v>0</v>
      </c>
      <c r="J450" t="s">
        <v>16</v>
      </c>
      <c r="K450" t="s">
        <v>17</v>
      </c>
      <c r="L450">
        <v>46</v>
      </c>
      <c r="M450" t="s">
        <v>18</v>
      </c>
    </row>
    <row r="451" spans="1:13" x14ac:dyDescent="0.25">
      <c r="A451">
        <v>12497</v>
      </c>
      <c r="B451" t="s">
        <v>34</v>
      </c>
      <c r="C451" t="s">
        <v>33</v>
      </c>
      <c r="D451" s="5">
        <v>40000</v>
      </c>
      <c r="E451">
        <v>1</v>
      </c>
      <c r="F451" t="s">
        <v>13</v>
      </c>
      <c r="G451" t="s">
        <v>14</v>
      </c>
      <c r="H451" t="s">
        <v>15</v>
      </c>
      <c r="I451">
        <v>0</v>
      </c>
      <c r="J451" t="s">
        <v>16</v>
      </c>
      <c r="K451" t="s">
        <v>17</v>
      </c>
      <c r="L451">
        <v>42</v>
      </c>
      <c r="M451" t="s">
        <v>18</v>
      </c>
    </row>
    <row r="452" spans="1:13" x14ac:dyDescent="0.25">
      <c r="A452">
        <v>16559</v>
      </c>
      <c r="B452" t="s">
        <v>35</v>
      </c>
      <c r="C452" t="s">
        <v>33</v>
      </c>
      <c r="D452" s="5">
        <v>10000</v>
      </c>
      <c r="E452">
        <v>2</v>
      </c>
      <c r="F452" t="s">
        <v>27</v>
      </c>
      <c r="G452" t="s">
        <v>25</v>
      </c>
      <c r="H452" t="s">
        <v>15</v>
      </c>
      <c r="I452">
        <v>0</v>
      </c>
      <c r="J452" t="s">
        <v>16</v>
      </c>
      <c r="K452" t="s">
        <v>17</v>
      </c>
      <c r="L452">
        <v>36</v>
      </c>
      <c r="M452" t="s">
        <v>15</v>
      </c>
    </row>
    <row r="453" spans="1:13" x14ac:dyDescent="0.25">
      <c r="A453">
        <v>11585</v>
      </c>
      <c r="B453" t="s">
        <v>34</v>
      </c>
      <c r="C453" t="s">
        <v>33</v>
      </c>
      <c r="D453" s="5">
        <v>40000</v>
      </c>
      <c r="E453">
        <v>1</v>
      </c>
      <c r="F453" t="s">
        <v>13</v>
      </c>
      <c r="G453" t="s">
        <v>14</v>
      </c>
      <c r="H453" t="s">
        <v>15</v>
      </c>
      <c r="I453">
        <v>0</v>
      </c>
      <c r="J453" t="s">
        <v>16</v>
      </c>
      <c r="K453" t="s">
        <v>17</v>
      </c>
      <c r="L453">
        <v>41</v>
      </c>
      <c r="M453" t="s">
        <v>18</v>
      </c>
    </row>
    <row r="454" spans="1:13" x14ac:dyDescent="0.25">
      <c r="A454">
        <v>20277</v>
      </c>
      <c r="B454" t="s">
        <v>34</v>
      </c>
      <c r="C454" t="s">
        <v>33</v>
      </c>
      <c r="D454" s="5">
        <v>30000</v>
      </c>
      <c r="E454">
        <v>2</v>
      </c>
      <c r="F454" t="s">
        <v>19</v>
      </c>
      <c r="G454" t="s">
        <v>20</v>
      </c>
      <c r="H454" t="s">
        <v>18</v>
      </c>
      <c r="I454">
        <v>2</v>
      </c>
      <c r="J454" t="s">
        <v>16</v>
      </c>
      <c r="K454" t="s">
        <v>24</v>
      </c>
      <c r="L454">
        <v>69</v>
      </c>
      <c r="M454" t="s">
        <v>18</v>
      </c>
    </row>
    <row r="455" spans="1:13" x14ac:dyDescent="0.25">
      <c r="A455">
        <v>26765</v>
      </c>
      <c r="B455" t="s">
        <v>35</v>
      </c>
      <c r="C455" t="s">
        <v>33</v>
      </c>
      <c r="D455" s="5">
        <v>70000</v>
      </c>
      <c r="E455">
        <v>5</v>
      </c>
      <c r="F455" t="s">
        <v>19</v>
      </c>
      <c r="G455" t="s">
        <v>14</v>
      </c>
      <c r="H455" t="s">
        <v>15</v>
      </c>
      <c r="I455">
        <v>2</v>
      </c>
      <c r="J455" t="s">
        <v>23</v>
      </c>
      <c r="K455" t="s">
        <v>24</v>
      </c>
      <c r="L455">
        <v>45</v>
      </c>
      <c r="M455" t="s">
        <v>18</v>
      </c>
    </row>
    <row r="456" spans="1:13" x14ac:dyDescent="0.25">
      <c r="A456">
        <v>12389</v>
      </c>
      <c r="B456" t="s">
        <v>35</v>
      </c>
      <c r="C456" t="s">
        <v>34</v>
      </c>
      <c r="D456" s="5">
        <v>30000</v>
      </c>
      <c r="E456">
        <v>0</v>
      </c>
      <c r="F456" t="s">
        <v>27</v>
      </c>
      <c r="G456" t="s">
        <v>25</v>
      </c>
      <c r="H456" t="s">
        <v>18</v>
      </c>
      <c r="I456">
        <v>1</v>
      </c>
      <c r="J456" t="s">
        <v>22</v>
      </c>
      <c r="K456" t="s">
        <v>17</v>
      </c>
      <c r="L456">
        <v>34</v>
      </c>
      <c r="M456" t="s">
        <v>18</v>
      </c>
    </row>
    <row r="457" spans="1:13" x14ac:dyDescent="0.25">
      <c r="A457">
        <v>13585</v>
      </c>
      <c r="B457" t="s">
        <v>34</v>
      </c>
      <c r="C457" t="s">
        <v>33</v>
      </c>
      <c r="D457" s="5">
        <v>80000</v>
      </c>
      <c r="E457">
        <v>4</v>
      </c>
      <c r="F457" t="s">
        <v>19</v>
      </c>
      <c r="G457" t="s">
        <v>21</v>
      </c>
      <c r="H457" t="s">
        <v>18</v>
      </c>
      <c r="I457">
        <v>1</v>
      </c>
      <c r="J457" t="s">
        <v>22</v>
      </c>
      <c r="K457" t="s">
        <v>17</v>
      </c>
      <c r="L457">
        <v>53</v>
      </c>
      <c r="M457" t="s">
        <v>15</v>
      </c>
    </row>
    <row r="458" spans="1:13" x14ac:dyDescent="0.25">
      <c r="A458">
        <v>26385</v>
      </c>
      <c r="B458" t="s">
        <v>35</v>
      </c>
      <c r="C458" t="s">
        <v>34</v>
      </c>
      <c r="D458" s="5">
        <v>120000</v>
      </c>
      <c r="E458">
        <v>3</v>
      </c>
      <c r="F458" t="s">
        <v>27</v>
      </c>
      <c r="G458" t="s">
        <v>21</v>
      </c>
      <c r="H458" t="s">
        <v>18</v>
      </c>
      <c r="I458">
        <v>4</v>
      </c>
      <c r="J458" t="s">
        <v>23</v>
      </c>
      <c r="K458" t="s">
        <v>17</v>
      </c>
      <c r="L458">
        <v>50</v>
      </c>
      <c r="M458" t="s">
        <v>18</v>
      </c>
    </row>
    <row r="459" spans="1:13" x14ac:dyDescent="0.25">
      <c r="A459">
        <v>12236</v>
      </c>
      <c r="B459" t="s">
        <v>34</v>
      </c>
      <c r="C459" t="s">
        <v>33</v>
      </c>
      <c r="D459" s="5">
        <v>20000</v>
      </c>
      <c r="E459">
        <v>1</v>
      </c>
      <c r="F459" t="s">
        <v>19</v>
      </c>
      <c r="G459" t="s">
        <v>25</v>
      </c>
      <c r="H459" t="s">
        <v>15</v>
      </c>
      <c r="I459">
        <v>0</v>
      </c>
      <c r="J459" t="s">
        <v>16</v>
      </c>
      <c r="K459" t="s">
        <v>17</v>
      </c>
      <c r="L459">
        <v>65</v>
      </c>
      <c r="M459" t="s">
        <v>18</v>
      </c>
    </row>
    <row r="460" spans="1:13" x14ac:dyDescent="0.25">
      <c r="A460">
        <v>21560</v>
      </c>
      <c r="B460" t="s">
        <v>34</v>
      </c>
      <c r="C460" t="s">
        <v>34</v>
      </c>
      <c r="D460" s="5">
        <v>120000</v>
      </c>
      <c r="E460">
        <v>0</v>
      </c>
      <c r="F460" t="s">
        <v>29</v>
      </c>
      <c r="G460" t="s">
        <v>21</v>
      </c>
      <c r="H460" t="s">
        <v>15</v>
      </c>
      <c r="I460">
        <v>4</v>
      </c>
      <c r="J460" t="s">
        <v>30</v>
      </c>
      <c r="K460" t="s">
        <v>24</v>
      </c>
      <c r="L460">
        <v>32</v>
      </c>
      <c r="M460" t="s">
        <v>15</v>
      </c>
    </row>
    <row r="461" spans="1:13" x14ac:dyDescent="0.25">
      <c r="A461">
        <v>21554</v>
      </c>
      <c r="B461" t="s">
        <v>35</v>
      </c>
      <c r="C461" t="s">
        <v>33</v>
      </c>
      <c r="D461" s="5">
        <v>80000</v>
      </c>
      <c r="E461">
        <v>0</v>
      </c>
      <c r="F461" t="s">
        <v>13</v>
      </c>
      <c r="G461" t="s">
        <v>21</v>
      </c>
      <c r="H461" t="s">
        <v>18</v>
      </c>
      <c r="I461">
        <v>3</v>
      </c>
      <c r="J461" t="s">
        <v>30</v>
      </c>
      <c r="K461" t="s">
        <v>24</v>
      </c>
      <c r="L461">
        <v>33</v>
      </c>
      <c r="M461" t="s">
        <v>18</v>
      </c>
    </row>
    <row r="462" spans="1:13" x14ac:dyDescent="0.25">
      <c r="A462">
        <v>13662</v>
      </c>
      <c r="B462" t="s">
        <v>35</v>
      </c>
      <c r="C462" t="s">
        <v>34</v>
      </c>
      <c r="D462" s="5">
        <v>20000</v>
      </c>
      <c r="E462">
        <v>0</v>
      </c>
      <c r="F462" t="s">
        <v>29</v>
      </c>
      <c r="G462" t="s">
        <v>25</v>
      </c>
      <c r="H462" t="s">
        <v>15</v>
      </c>
      <c r="I462">
        <v>2</v>
      </c>
      <c r="J462" t="s">
        <v>26</v>
      </c>
      <c r="K462" t="s">
        <v>17</v>
      </c>
      <c r="L462">
        <v>31</v>
      </c>
      <c r="M462" t="s">
        <v>15</v>
      </c>
    </row>
    <row r="463" spans="1:13" x14ac:dyDescent="0.25">
      <c r="A463">
        <v>13089</v>
      </c>
      <c r="B463" t="s">
        <v>34</v>
      </c>
      <c r="C463" t="s">
        <v>33</v>
      </c>
      <c r="D463" s="5">
        <v>120000</v>
      </c>
      <c r="E463">
        <v>1</v>
      </c>
      <c r="F463" t="s">
        <v>13</v>
      </c>
      <c r="G463" t="s">
        <v>28</v>
      </c>
      <c r="H463" t="s">
        <v>15</v>
      </c>
      <c r="I463">
        <v>2</v>
      </c>
      <c r="J463" t="s">
        <v>16</v>
      </c>
      <c r="K463" t="s">
        <v>24</v>
      </c>
      <c r="L463">
        <v>46</v>
      </c>
      <c r="M463" t="s">
        <v>15</v>
      </c>
    </row>
    <row r="464" spans="1:13" x14ac:dyDescent="0.25">
      <c r="A464">
        <v>14791</v>
      </c>
      <c r="B464" t="s">
        <v>34</v>
      </c>
      <c r="C464" t="s">
        <v>33</v>
      </c>
      <c r="D464" s="5">
        <v>40000</v>
      </c>
      <c r="E464">
        <v>0</v>
      </c>
      <c r="F464" t="s">
        <v>13</v>
      </c>
      <c r="G464" t="s">
        <v>20</v>
      </c>
      <c r="H464" t="s">
        <v>15</v>
      </c>
      <c r="I464">
        <v>0</v>
      </c>
      <c r="J464" t="s">
        <v>16</v>
      </c>
      <c r="K464" t="s">
        <v>17</v>
      </c>
      <c r="L464">
        <v>39</v>
      </c>
      <c r="M464" t="s">
        <v>15</v>
      </c>
    </row>
    <row r="465" spans="1:13" x14ac:dyDescent="0.25">
      <c r="A465">
        <v>19331</v>
      </c>
      <c r="B465" t="s">
        <v>35</v>
      </c>
      <c r="C465" t="s">
        <v>34</v>
      </c>
      <c r="D465" s="5">
        <v>20000</v>
      </c>
      <c r="E465">
        <v>2</v>
      </c>
      <c r="F465" t="s">
        <v>27</v>
      </c>
      <c r="G465" t="s">
        <v>25</v>
      </c>
      <c r="H465" t="s">
        <v>15</v>
      </c>
      <c r="I465">
        <v>1</v>
      </c>
      <c r="J465" t="s">
        <v>16</v>
      </c>
      <c r="K465" t="s">
        <v>17</v>
      </c>
      <c r="L465">
        <v>40</v>
      </c>
      <c r="M465" t="s">
        <v>18</v>
      </c>
    </row>
    <row r="466" spans="1:13" x14ac:dyDescent="0.25">
      <c r="A466">
        <v>17754</v>
      </c>
      <c r="B466" t="s">
        <v>35</v>
      </c>
      <c r="C466" t="s">
        <v>33</v>
      </c>
      <c r="D466" s="5">
        <v>30000</v>
      </c>
      <c r="E466">
        <v>3</v>
      </c>
      <c r="F466" t="s">
        <v>13</v>
      </c>
      <c r="G466" t="s">
        <v>20</v>
      </c>
      <c r="H466" t="s">
        <v>15</v>
      </c>
      <c r="I466">
        <v>0</v>
      </c>
      <c r="J466" t="s">
        <v>16</v>
      </c>
      <c r="K466" t="s">
        <v>17</v>
      </c>
      <c r="L466">
        <v>46</v>
      </c>
      <c r="M466" t="s">
        <v>15</v>
      </c>
    </row>
    <row r="467" spans="1:13" x14ac:dyDescent="0.25">
      <c r="A467">
        <v>11149</v>
      </c>
      <c r="B467" t="s">
        <v>34</v>
      </c>
      <c r="C467" t="s">
        <v>34</v>
      </c>
      <c r="D467" s="5">
        <v>40000</v>
      </c>
      <c r="E467">
        <v>2</v>
      </c>
      <c r="F467" t="s">
        <v>13</v>
      </c>
      <c r="G467" t="s">
        <v>28</v>
      </c>
      <c r="H467" t="s">
        <v>15</v>
      </c>
      <c r="I467">
        <v>2</v>
      </c>
      <c r="J467" t="s">
        <v>16</v>
      </c>
      <c r="K467" t="s">
        <v>24</v>
      </c>
      <c r="L467">
        <v>65</v>
      </c>
      <c r="M467" t="s">
        <v>18</v>
      </c>
    </row>
    <row r="468" spans="1:13" x14ac:dyDescent="0.25">
      <c r="A468">
        <v>16549</v>
      </c>
      <c r="B468" t="s">
        <v>35</v>
      </c>
      <c r="C468" t="s">
        <v>33</v>
      </c>
      <c r="D468" s="5">
        <v>30000</v>
      </c>
      <c r="E468">
        <v>3</v>
      </c>
      <c r="F468" t="s">
        <v>13</v>
      </c>
      <c r="G468" t="s">
        <v>20</v>
      </c>
      <c r="H468" t="s">
        <v>15</v>
      </c>
      <c r="I468">
        <v>0</v>
      </c>
      <c r="J468" t="s">
        <v>16</v>
      </c>
      <c r="K468" t="s">
        <v>17</v>
      </c>
      <c r="L468">
        <v>47</v>
      </c>
      <c r="M468" t="s">
        <v>15</v>
      </c>
    </row>
    <row r="469" spans="1:13" x14ac:dyDescent="0.25">
      <c r="A469">
        <v>24305</v>
      </c>
      <c r="B469" t="s">
        <v>35</v>
      </c>
      <c r="C469" t="s">
        <v>34</v>
      </c>
      <c r="D469" s="5">
        <v>100000</v>
      </c>
      <c r="E469">
        <v>1</v>
      </c>
      <c r="F469" t="s">
        <v>13</v>
      </c>
      <c r="G469" t="s">
        <v>28</v>
      </c>
      <c r="H469" t="s">
        <v>18</v>
      </c>
      <c r="I469">
        <v>3</v>
      </c>
      <c r="J469" t="s">
        <v>16</v>
      </c>
      <c r="K469" t="s">
        <v>24</v>
      </c>
      <c r="L469">
        <v>46</v>
      </c>
      <c r="M469" t="s">
        <v>15</v>
      </c>
    </row>
    <row r="470" spans="1:13" x14ac:dyDescent="0.25">
      <c r="A470">
        <v>18253</v>
      </c>
      <c r="B470" t="s">
        <v>34</v>
      </c>
      <c r="C470" t="s">
        <v>33</v>
      </c>
      <c r="D470" s="5">
        <v>80000</v>
      </c>
      <c r="E470">
        <v>5</v>
      </c>
      <c r="F470" t="s">
        <v>31</v>
      </c>
      <c r="G470" t="s">
        <v>28</v>
      </c>
      <c r="H470" t="s">
        <v>15</v>
      </c>
      <c r="I470">
        <v>3</v>
      </c>
      <c r="J470" t="s">
        <v>16</v>
      </c>
      <c r="K470" t="s">
        <v>24</v>
      </c>
      <c r="L470">
        <v>40</v>
      </c>
      <c r="M470" t="s">
        <v>18</v>
      </c>
    </row>
    <row r="471" spans="1:13" x14ac:dyDescent="0.25">
      <c r="A471">
        <v>20147</v>
      </c>
      <c r="B471" t="s">
        <v>34</v>
      </c>
      <c r="C471" t="s">
        <v>33</v>
      </c>
      <c r="D471" s="5">
        <v>30000</v>
      </c>
      <c r="E471">
        <v>1</v>
      </c>
      <c r="F471" t="s">
        <v>13</v>
      </c>
      <c r="G471" t="s">
        <v>20</v>
      </c>
      <c r="H471" t="s">
        <v>15</v>
      </c>
      <c r="I471">
        <v>0</v>
      </c>
      <c r="J471" t="s">
        <v>16</v>
      </c>
      <c r="K471" t="s">
        <v>17</v>
      </c>
      <c r="L471">
        <v>65</v>
      </c>
      <c r="M471" t="s">
        <v>18</v>
      </c>
    </row>
    <row r="472" spans="1:13" x14ac:dyDescent="0.25">
      <c r="A472">
        <v>15612</v>
      </c>
      <c r="B472" t="s">
        <v>35</v>
      </c>
      <c r="C472" t="s">
        <v>34</v>
      </c>
      <c r="D472" s="5">
        <v>30000</v>
      </c>
      <c r="E472">
        <v>0</v>
      </c>
      <c r="F472" t="s">
        <v>27</v>
      </c>
      <c r="G472" t="s">
        <v>25</v>
      </c>
      <c r="H472" t="s">
        <v>18</v>
      </c>
      <c r="I472">
        <v>1</v>
      </c>
      <c r="J472" t="s">
        <v>26</v>
      </c>
      <c r="K472" t="s">
        <v>17</v>
      </c>
      <c r="L472">
        <v>28</v>
      </c>
      <c r="M472" t="s">
        <v>18</v>
      </c>
    </row>
    <row r="473" spans="1:13" x14ac:dyDescent="0.25">
      <c r="A473">
        <v>28323</v>
      </c>
      <c r="B473" t="s">
        <v>35</v>
      </c>
      <c r="C473" t="s">
        <v>34</v>
      </c>
      <c r="D473" s="5">
        <v>70000</v>
      </c>
      <c r="E473">
        <v>0</v>
      </c>
      <c r="F473" t="s">
        <v>13</v>
      </c>
      <c r="G473" t="s">
        <v>21</v>
      </c>
      <c r="H473" t="s">
        <v>18</v>
      </c>
      <c r="I473">
        <v>2</v>
      </c>
      <c r="J473" t="s">
        <v>23</v>
      </c>
      <c r="K473" t="s">
        <v>24</v>
      </c>
      <c r="L473">
        <v>43</v>
      </c>
      <c r="M473" t="s">
        <v>15</v>
      </c>
    </row>
    <row r="474" spans="1:13" x14ac:dyDescent="0.25">
      <c r="A474">
        <v>22634</v>
      </c>
      <c r="B474" t="s">
        <v>35</v>
      </c>
      <c r="C474" t="s">
        <v>33</v>
      </c>
      <c r="D474" s="5">
        <v>40000</v>
      </c>
      <c r="E474">
        <v>0</v>
      </c>
      <c r="F474" t="s">
        <v>31</v>
      </c>
      <c r="G474" t="s">
        <v>20</v>
      </c>
      <c r="H474" t="s">
        <v>15</v>
      </c>
      <c r="I474">
        <v>0</v>
      </c>
      <c r="J474" t="s">
        <v>16</v>
      </c>
      <c r="K474" t="s">
        <v>17</v>
      </c>
      <c r="L474">
        <v>38</v>
      </c>
      <c r="M474" t="s">
        <v>15</v>
      </c>
    </row>
    <row r="475" spans="1:13" x14ac:dyDescent="0.25">
      <c r="A475">
        <v>15665</v>
      </c>
      <c r="B475" t="s">
        <v>34</v>
      </c>
      <c r="C475" t="s">
        <v>33</v>
      </c>
      <c r="D475" s="5">
        <v>30000</v>
      </c>
      <c r="E475">
        <v>0</v>
      </c>
      <c r="F475" t="s">
        <v>13</v>
      </c>
      <c r="G475" t="s">
        <v>20</v>
      </c>
      <c r="H475" t="s">
        <v>15</v>
      </c>
      <c r="I475">
        <v>0</v>
      </c>
      <c r="J475" t="s">
        <v>16</v>
      </c>
      <c r="K475" t="s">
        <v>17</v>
      </c>
      <c r="L475">
        <v>47</v>
      </c>
      <c r="M475" t="s">
        <v>15</v>
      </c>
    </row>
    <row r="476" spans="1:13" x14ac:dyDescent="0.25">
      <c r="A476">
        <v>27585</v>
      </c>
      <c r="B476" t="s">
        <v>34</v>
      </c>
      <c r="C476" t="s">
        <v>33</v>
      </c>
      <c r="D476" s="5">
        <v>90000</v>
      </c>
      <c r="E476">
        <v>2</v>
      </c>
      <c r="F476" t="s">
        <v>13</v>
      </c>
      <c r="G476" t="s">
        <v>21</v>
      </c>
      <c r="H476" t="s">
        <v>18</v>
      </c>
      <c r="I476">
        <v>0</v>
      </c>
      <c r="J476" t="s">
        <v>16</v>
      </c>
      <c r="K476" t="s">
        <v>24</v>
      </c>
      <c r="L476">
        <v>36</v>
      </c>
      <c r="M476" t="s">
        <v>15</v>
      </c>
    </row>
    <row r="477" spans="1:13" x14ac:dyDescent="0.25">
      <c r="A477">
        <v>19748</v>
      </c>
      <c r="B477" t="s">
        <v>34</v>
      </c>
      <c r="C477" t="s">
        <v>34</v>
      </c>
      <c r="D477" s="5">
        <v>20000</v>
      </c>
      <c r="E477">
        <v>4</v>
      </c>
      <c r="F477" t="s">
        <v>27</v>
      </c>
      <c r="G477" t="s">
        <v>14</v>
      </c>
      <c r="H477" t="s">
        <v>18</v>
      </c>
      <c r="I477">
        <v>2</v>
      </c>
      <c r="J477" t="s">
        <v>26</v>
      </c>
      <c r="K477" t="s">
        <v>24</v>
      </c>
      <c r="L477">
        <v>60</v>
      </c>
      <c r="M477" t="s">
        <v>18</v>
      </c>
    </row>
    <row r="478" spans="1:13" x14ac:dyDescent="0.25">
      <c r="A478">
        <v>21974</v>
      </c>
      <c r="B478" t="s">
        <v>35</v>
      </c>
      <c r="C478" t="s">
        <v>33</v>
      </c>
      <c r="D478" s="5">
        <v>70000</v>
      </c>
      <c r="E478">
        <v>0</v>
      </c>
      <c r="F478" t="s">
        <v>13</v>
      </c>
      <c r="G478" t="s">
        <v>21</v>
      </c>
      <c r="H478" t="s">
        <v>15</v>
      </c>
      <c r="I478">
        <v>1</v>
      </c>
      <c r="J478" t="s">
        <v>23</v>
      </c>
      <c r="K478" t="s">
        <v>24</v>
      </c>
      <c r="L478">
        <v>42</v>
      </c>
      <c r="M478" t="s">
        <v>15</v>
      </c>
    </row>
    <row r="479" spans="1:13" x14ac:dyDescent="0.25">
      <c r="A479">
        <v>14032</v>
      </c>
      <c r="B479" t="s">
        <v>34</v>
      </c>
      <c r="C479" t="s">
        <v>34</v>
      </c>
      <c r="D479" s="5">
        <v>70000</v>
      </c>
      <c r="E479">
        <v>2</v>
      </c>
      <c r="F479" t="s">
        <v>27</v>
      </c>
      <c r="G479" t="s">
        <v>14</v>
      </c>
      <c r="H479" t="s">
        <v>18</v>
      </c>
      <c r="I479">
        <v>2</v>
      </c>
      <c r="J479" t="s">
        <v>26</v>
      </c>
      <c r="K479" t="s">
        <v>24</v>
      </c>
      <c r="L479">
        <v>50</v>
      </c>
      <c r="M479" t="s">
        <v>15</v>
      </c>
    </row>
    <row r="480" spans="1:13" x14ac:dyDescent="0.25">
      <c r="A480">
        <v>22610</v>
      </c>
      <c r="B480" t="s">
        <v>34</v>
      </c>
      <c r="C480" t="s">
        <v>34</v>
      </c>
      <c r="D480" s="5">
        <v>30000</v>
      </c>
      <c r="E480">
        <v>0</v>
      </c>
      <c r="F480" t="s">
        <v>13</v>
      </c>
      <c r="G480" t="s">
        <v>20</v>
      </c>
      <c r="H480" t="s">
        <v>15</v>
      </c>
      <c r="I480">
        <v>0</v>
      </c>
      <c r="J480" t="s">
        <v>16</v>
      </c>
      <c r="K480" t="s">
        <v>17</v>
      </c>
      <c r="L480">
        <v>35</v>
      </c>
      <c r="M480" t="s">
        <v>15</v>
      </c>
    </row>
    <row r="481" spans="1:13" x14ac:dyDescent="0.25">
      <c r="A481">
        <v>26984</v>
      </c>
      <c r="B481" t="s">
        <v>34</v>
      </c>
      <c r="C481" t="s">
        <v>34</v>
      </c>
      <c r="D481" s="5">
        <v>40000</v>
      </c>
      <c r="E481">
        <v>1</v>
      </c>
      <c r="F481" t="s">
        <v>13</v>
      </c>
      <c r="G481" t="s">
        <v>14</v>
      </c>
      <c r="H481" t="s">
        <v>15</v>
      </c>
      <c r="I481">
        <v>1</v>
      </c>
      <c r="J481" t="s">
        <v>16</v>
      </c>
      <c r="K481" t="s">
        <v>17</v>
      </c>
      <c r="L481">
        <v>32</v>
      </c>
      <c r="M481" t="s">
        <v>15</v>
      </c>
    </row>
    <row r="482" spans="1:13" x14ac:dyDescent="0.25">
      <c r="A482">
        <v>18294</v>
      </c>
      <c r="B482" t="s">
        <v>34</v>
      </c>
      <c r="C482" t="s">
        <v>33</v>
      </c>
      <c r="D482" s="5">
        <v>90000</v>
      </c>
      <c r="E482">
        <v>1</v>
      </c>
      <c r="F482" t="s">
        <v>13</v>
      </c>
      <c r="G482" t="s">
        <v>21</v>
      </c>
      <c r="H482" t="s">
        <v>15</v>
      </c>
      <c r="I482">
        <v>1</v>
      </c>
      <c r="J482" t="s">
        <v>23</v>
      </c>
      <c r="K482" t="s">
        <v>24</v>
      </c>
      <c r="L482">
        <v>46</v>
      </c>
      <c r="M482" t="s">
        <v>18</v>
      </c>
    </row>
    <row r="483" spans="1:13" x14ac:dyDescent="0.25">
      <c r="A483">
        <v>28564</v>
      </c>
      <c r="B483" t="s">
        <v>35</v>
      </c>
      <c r="C483" t="s">
        <v>33</v>
      </c>
      <c r="D483" s="5">
        <v>40000</v>
      </c>
      <c r="E483">
        <v>2</v>
      </c>
      <c r="F483" t="s">
        <v>19</v>
      </c>
      <c r="G483" t="s">
        <v>20</v>
      </c>
      <c r="H483" t="s">
        <v>15</v>
      </c>
      <c r="I483">
        <v>0</v>
      </c>
      <c r="J483" t="s">
        <v>26</v>
      </c>
      <c r="K483" t="s">
        <v>17</v>
      </c>
      <c r="L483">
        <v>33</v>
      </c>
      <c r="M483" t="s">
        <v>15</v>
      </c>
    </row>
    <row r="484" spans="1:13" x14ac:dyDescent="0.25">
      <c r="A484">
        <v>28521</v>
      </c>
      <c r="B484" t="s">
        <v>35</v>
      </c>
      <c r="C484" t="s">
        <v>34</v>
      </c>
      <c r="D484" s="5">
        <v>40000</v>
      </c>
      <c r="E484">
        <v>0</v>
      </c>
      <c r="F484" t="s">
        <v>31</v>
      </c>
      <c r="G484" t="s">
        <v>20</v>
      </c>
      <c r="H484" t="s">
        <v>18</v>
      </c>
      <c r="I484">
        <v>0</v>
      </c>
      <c r="J484" t="s">
        <v>16</v>
      </c>
      <c r="K484" t="s">
        <v>17</v>
      </c>
      <c r="L484">
        <v>36</v>
      </c>
      <c r="M484" t="s">
        <v>15</v>
      </c>
    </row>
    <row r="485" spans="1:13" x14ac:dyDescent="0.25">
      <c r="A485">
        <v>15450</v>
      </c>
      <c r="B485" t="s">
        <v>34</v>
      </c>
      <c r="C485" t="s">
        <v>34</v>
      </c>
      <c r="D485" s="5">
        <v>10000</v>
      </c>
      <c r="E485">
        <v>1</v>
      </c>
      <c r="F485" t="s">
        <v>31</v>
      </c>
      <c r="G485" t="s">
        <v>20</v>
      </c>
      <c r="H485" t="s">
        <v>15</v>
      </c>
      <c r="I485">
        <v>0</v>
      </c>
      <c r="J485" t="s">
        <v>16</v>
      </c>
      <c r="K485" t="s">
        <v>17</v>
      </c>
      <c r="L485">
        <v>70</v>
      </c>
      <c r="M485" t="s">
        <v>18</v>
      </c>
    </row>
    <row r="486" spans="1:13" x14ac:dyDescent="0.25">
      <c r="A486">
        <v>25681</v>
      </c>
      <c r="B486" t="s">
        <v>35</v>
      </c>
      <c r="C486" t="s">
        <v>33</v>
      </c>
      <c r="D486" s="5">
        <v>30000</v>
      </c>
      <c r="E486">
        <v>0</v>
      </c>
      <c r="F486" t="s">
        <v>19</v>
      </c>
      <c r="G486" t="s">
        <v>20</v>
      </c>
      <c r="H486" t="s">
        <v>18</v>
      </c>
      <c r="I486">
        <v>1</v>
      </c>
      <c r="J486" t="s">
        <v>22</v>
      </c>
      <c r="K486" t="s">
        <v>17</v>
      </c>
      <c r="L486">
        <v>31</v>
      </c>
      <c r="M486" t="s">
        <v>15</v>
      </c>
    </row>
    <row r="487" spans="1:13" x14ac:dyDescent="0.25">
      <c r="A487">
        <v>19491</v>
      </c>
      <c r="B487" t="s">
        <v>35</v>
      </c>
      <c r="C487" t="s">
        <v>34</v>
      </c>
      <c r="D487" s="5">
        <v>30000</v>
      </c>
      <c r="E487">
        <v>2</v>
      </c>
      <c r="F487" t="s">
        <v>19</v>
      </c>
      <c r="G487" t="s">
        <v>20</v>
      </c>
      <c r="H487" t="s">
        <v>15</v>
      </c>
      <c r="I487">
        <v>2</v>
      </c>
      <c r="J487" t="s">
        <v>16</v>
      </c>
      <c r="K487" t="s">
        <v>17</v>
      </c>
      <c r="L487">
        <v>42</v>
      </c>
      <c r="M487" t="s">
        <v>18</v>
      </c>
    </row>
    <row r="488" spans="1:13" x14ac:dyDescent="0.25">
      <c r="A488">
        <v>26415</v>
      </c>
      <c r="B488" t="s">
        <v>34</v>
      </c>
      <c r="C488" t="s">
        <v>33</v>
      </c>
      <c r="D488" s="5">
        <v>90000</v>
      </c>
      <c r="E488">
        <v>4</v>
      </c>
      <c r="F488" t="s">
        <v>29</v>
      </c>
      <c r="G488" t="s">
        <v>14</v>
      </c>
      <c r="H488" t="s">
        <v>15</v>
      </c>
      <c r="I488">
        <v>4</v>
      </c>
      <c r="J488" t="s">
        <v>30</v>
      </c>
      <c r="K488" t="s">
        <v>17</v>
      </c>
      <c r="L488">
        <v>58</v>
      </c>
      <c r="M488" t="s">
        <v>18</v>
      </c>
    </row>
    <row r="489" spans="1:13" x14ac:dyDescent="0.25">
      <c r="A489">
        <v>12821</v>
      </c>
      <c r="B489" t="s">
        <v>34</v>
      </c>
      <c r="C489" t="s">
        <v>34</v>
      </c>
      <c r="D489" s="5">
        <v>40000</v>
      </c>
      <c r="E489">
        <v>0</v>
      </c>
      <c r="F489" t="s">
        <v>13</v>
      </c>
      <c r="G489" t="s">
        <v>20</v>
      </c>
      <c r="H489" t="s">
        <v>15</v>
      </c>
      <c r="I489">
        <v>0</v>
      </c>
      <c r="J489" t="s">
        <v>16</v>
      </c>
      <c r="K489" t="s">
        <v>17</v>
      </c>
      <c r="L489">
        <v>39</v>
      </c>
      <c r="M489" t="s">
        <v>18</v>
      </c>
    </row>
    <row r="490" spans="1:13" x14ac:dyDescent="0.25">
      <c r="A490">
        <v>15629</v>
      </c>
      <c r="B490" t="s">
        <v>35</v>
      </c>
      <c r="C490" t="s">
        <v>33</v>
      </c>
      <c r="D490" s="5">
        <v>10000</v>
      </c>
      <c r="E490">
        <v>0</v>
      </c>
      <c r="F490" t="s">
        <v>29</v>
      </c>
      <c r="G490" t="s">
        <v>25</v>
      </c>
      <c r="H490" t="s">
        <v>15</v>
      </c>
      <c r="I490">
        <v>2</v>
      </c>
      <c r="J490" t="s">
        <v>26</v>
      </c>
      <c r="K490" t="s">
        <v>17</v>
      </c>
      <c r="L490">
        <v>34</v>
      </c>
      <c r="M490" t="s">
        <v>18</v>
      </c>
    </row>
    <row r="491" spans="1:13" x14ac:dyDescent="0.25">
      <c r="A491">
        <v>27835</v>
      </c>
      <c r="B491" t="s">
        <v>34</v>
      </c>
      <c r="C491" t="s">
        <v>34</v>
      </c>
      <c r="D491" s="5">
        <v>20000</v>
      </c>
      <c r="E491">
        <v>0</v>
      </c>
      <c r="F491" t="s">
        <v>29</v>
      </c>
      <c r="G491" t="s">
        <v>25</v>
      </c>
      <c r="H491" t="s">
        <v>15</v>
      </c>
      <c r="I491">
        <v>2</v>
      </c>
      <c r="J491" t="s">
        <v>16</v>
      </c>
      <c r="K491" t="s">
        <v>17</v>
      </c>
      <c r="L491">
        <v>32</v>
      </c>
      <c r="M491" t="s">
        <v>18</v>
      </c>
    </row>
    <row r="492" spans="1:13" x14ac:dyDescent="0.25">
      <c r="A492">
        <v>11738</v>
      </c>
      <c r="B492" t="s">
        <v>34</v>
      </c>
      <c r="C492" t="s">
        <v>34</v>
      </c>
      <c r="D492" s="5">
        <v>60000</v>
      </c>
      <c r="E492">
        <v>4</v>
      </c>
      <c r="F492" t="s">
        <v>13</v>
      </c>
      <c r="G492" t="s">
        <v>21</v>
      </c>
      <c r="H492" t="s">
        <v>15</v>
      </c>
      <c r="I492">
        <v>0</v>
      </c>
      <c r="J492" t="s">
        <v>22</v>
      </c>
      <c r="K492" t="s">
        <v>32</v>
      </c>
      <c r="L492">
        <v>46</v>
      </c>
      <c r="M492" t="s">
        <v>18</v>
      </c>
    </row>
    <row r="493" spans="1:13" x14ac:dyDescent="0.25">
      <c r="A493">
        <v>25065</v>
      </c>
      <c r="B493" t="s">
        <v>34</v>
      </c>
      <c r="C493" t="s">
        <v>34</v>
      </c>
      <c r="D493" s="5">
        <v>70000</v>
      </c>
      <c r="E493">
        <v>2</v>
      </c>
      <c r="F493" t="s">
        <v>29</v>
      </c>
      <c r="G493" t="s">
        <v>14</v>
      </c>
      <c r="H493" t="s">
        <v>15</v>
      </c>
      <c r="I493">
        <v>2</v>
      </c>
      <c r="J493" t="s">
        <v>23</v>
      </c>
      <c r="K493" t="s">
        <v>32</v>
      </c>
      <c r="L493">
        <v>48</v>
      </c>
      <c r="M493" t="s">
        <v>18</v>
      </c>
    </row>
    <row r="494" spans="1:13" x14ac:dyDescent="0.25">
      <c r="A494">
        <v>26238</v>
      </c>
      <c r="B494" t="s">
        <v>35</v>
      </c>
      <c r="C494" t="s">
        <v>33</v>
      </c>
      <c r="D494" s="5">
        <v>40000</v>
      </c>
      <c r="E494">
        <v>3</v>
      </c>
      <c r="F494" t="s">
        <v>19</v>
      </c>
      <c r="G494" t="s">
        <v>20</v>
      </c>
      <c r="H494" t="s">
        <v>15</v>
      </c>
      <c r="I494">
        <v>1</v>
      </c>
      <c r="J494" t="s">
        <v>26</v>
      </c>
      <c r="K494" t="s">
        <v>32</v>
      </c>
      <c r="L494">
        <v>31</v>
      </c>
      <c r="M494" t="s">
        <v>15</v>
      </c>
    </row>
    <row r="495" spans="1:13" x14ac:dyDescent="0.25">
      <c r="A495">
        <v>23707</v>
      </c>
      <c r="B495" t="s">
        <v>35</v>
      </c>
      <c r="C495" t="s">
        <v>34</v>
      </c>
      <c r="D495" s="5">
        <v>70000</v>
      </c>
      <c r="E495">
        <v>5</v>
      </c>
      <c r="F495" t="s">
        <v>13</v>
      </c>
      <c r="G495" t="s">
        <v>28</v>
      </c>
      <c r="H495" t="s">
        <v>15</v>
      </c>
      <c r="I495">
        <v>3</v>
      </c>
      <c r="J495" t="s">
        <v>30</v>
      </c>
      <c r="K495" t="s">
        <v>32</v>
      </c>
      <c r="L495">
        <v>60</v>
      </c>
      <c r="M495" t="s">
        <v>15</v>
      </c>
    </row>
    <row r="496" spans="1:13" x14ac:dyDescent="0.25">
      <c r="A496">
        <v>27650</v>
      </c>
      <c r="B496" t="s">
        <v>34</v>
      </c>
      <c r="C496" t="s">
        <v>34</v>
      </c>
      <c r="D496" s="5">
        <v>70000</v>
      </c>
      <c r="E496">
        <v>4</v>
      </c>
      <c r="F496" t="s">
        <v>27</v>
      </c>
      <c r="G496" t="s">
        <v>21</v>
      </c>
      <c r="H496" t="s">
        <v>15</v>
      </c>
      <c r="I496">
        <v>0</v>
      </c>
      <c r="J496" t="s">
        <v>23</v>
      </c>
      <c r="K496" t="s">
        <v>32</v>
      </c>
      <c r="L496">
        <v>51</v>
      </c>
      <c r="M496" t="s">
        <v>18</v>
      </c>
    </row>
    <row r="497" spans="1:13" x14ac:dyDescent="0.25">
      <c r="A497">
        <v>24981</v>
      </c>
      <c r="B497" t="s">
        <v>34</v>
      </c>
      <c r="C497" t="s">
        <v>34</v>
      </c>
      <c r="D497" s="5">
        <v>60000</v>
      </c>
      <c r="E497">
        <v>2</v>
      </c>
      <c r="F497" t="s">
        <v>19</v>
      </c>
      <c r="G497" t="s">
        <v>21</v>
      </c>
      <c r="H497" t="s">
        <v>15</v>
      </c>
      <c r="I497">
        <v>2</v>
      </c>
      <c r="J497" t="s">
        <v>30</v>
      </c>
      <c r="K497" t="s">
        <v>32</v>
      </c>
      <c r="L497">
        <v>56</v>
      </c>
      <c r="M497" t="s">
        <v>18</v>
      </c>
    </row>
    <row r="498" spans="1:13" x14ac:dyDescent="0.25">
      <c r="A498">
        <v>20678</v>
      </c>
      <c r="B498" t="s">
        <v>35</v>
      </c>
      <c r="C498" t="s">
        <v>33</v>
      </c>
      <c r="D498" s="5">
        <v>60000</v>
      </c>
      <c r="E498">
        <v>3</v>
      </c>
      <c r="F498" t="s">
        <v>13</v>
      </c>
      <c r="G498" t="s">
        <v>14</v>
      </c>
      <c r="H498" t="s">
        <v>15</v>
      </c>
      <c r="I498">
        <v>1</v>
      </c>
      <c r="J498" t="s">
        <v>22</v>
      </c>
      <c r="K498" t="s">
        <v>32</v>
      </c>
      <c r="L498">
        <v>40</v>
      </c>
      <c r="M498" t="s">
        <v>15</v>
      </c>
    </row>
    <row r="499" spans="1:13" x14ac:dyDescent="0.25">
      <c r="A499">
        <v>15302</v>
      </c>
      <c r="B499" t="s">
        <v>35</v>
      </c>
      <c r="C499" t="s">
        <v>33</v>
      </c>
      <c r="D499" s="5">
        <v>70000</v>
      </c>
      <c r="E499">
        <v>1</v>
      </c>
      <c r="F499" t="s">
        <v>31</v>
      </c>
      <c r="G499" t="s">
        <v>21</v>
      </c>
      <c r="H499" t="s">
        <v>15</v>
      </c>
      <c r="I499">
        <v>0</v>
      </c>
      <c r="J499" t="s">
        <v>22</v>
      </c>
      <c r="K499" t="s">
        <v>32</v>
      </c>
      <c r="L499">
        <v>34</v>
      </c>
      <c r="M499" t="s">
        <v>15</v>
      </c>
    </row>
    <row r="500" spans="1:13" x14ac:dyDescent="0.25">
      <c r="A500">
        <v>26012</v>
      </c>
      <c r="B500" t="s">
        <v>34</v>
      </c>
      <c r="C500" t="s">
        <v>34</v>
      </c>
      <c r="D500" s="5">
        <v>80000</v>
      </c>
      <c r="E500">
        <v>1</v>
      </c>
      <c r="F500" t="s">
        <v>19</v>
      </c>
      <c r="G500" t="s">
        <v>14</v>
      </c>
      <c r="H500" t="s">
        <v>15</v>
      </c>
      <c r="I500">
        <v>1</v>
      </c>
      <c r="J500" t="s">
        <v>22</v>
      </c>
      <c r="K500" t="s">
        <v>32</v>
      </c>
      <c r="L500">
        <v>48</v>
      </c>
      <c r="M500" t="s">
        <v>15</v>
      </c>
    </row>
    <row r="501" spans="1:13" x14ac:dyDescent="0.25">
      <c r="A501">
        <v>26575</v>
      </c>
      <c r="B501" t="s">
        <v>35</v>
      </c>
      <c r="C501" t="s">
        <v>33</v>
      </c>
      <c r="D501" s="5">
        <v>40000</v>
      </c>
      <c r="E501">
        <v>0</v>
      </c>
      <c r="F501" t="s">
        <v>27</v>
      </c>
      <c r="G501" t="s">
        <v>14</v>
      </c>
      <c r="H501" t="s">
        <v>18</v>
      </c>
      <c r="I501">
        <v>2</v>
      </c>
      <c r="J501" t="s">
        <v>26</v>
      </c>
      <c r="K501" t="s">
        <v>32</v>
      </c>
      <c r="L501">
        <v>31</v>
      </c>
      <c r="M501" t="s">
        <v>15</v>
      </c>
    </row>
    <row r="502" spans="1:13" x14ac:dyDescent="0.25">
      <c r="A502">
        <v>15559</v>
      </c>
      <c r="B502" t="s">
        <v>34</v>
      </c>
      <c r="C502" t="s">
        <v>34</v>
      </c>
      <c r="D502" s="5">
        <v>60000</v>
      </c>
      <c r="E502">
        <v>5</v>
      </c>
      <c r="F502" t="s">
        <v>13</v>
      </c>
      <c r="G502" t="s">
        <v>21</v>
      </c>
      <c r="H502" t="s">
        <v>15</v>
      </c>
      <c r="I502">
        <v>1</v>
      </c>
      <c r="J502" t="s">
        <v>22</v>
      </c>
      <c r="K502" t="s">
        <v>32</v>
      </c>
      <c r="L502">
        <v>47</v>
      </c>
      <c r="M502" t="s">
        <v>18</v>
      </c>
    </row>
    <row r="503" spans="1:13" x14ac:dyDescent="0.25">
      <c r="A503">
        <v>19235</v>
      </c>
      <c r="B503" t="s">
        <v>34</v>
      </c>
      <c r="C503" t="s">
        <v>33</v>
      </c>
      <c r="D503" s="5">
        <v>50000</v>
      </c>
      <c r="E503">
        <v>0</v>
      </c>
      <c r="F503" t="s">
        <v>31</v>
      </c>
      <c r="G503" t="s">
        <v>14</v>
      </c>
      <c r="H503" t="s">
        <v>15</v>
      </c>
      <c r="I503">
        <v>0</v>
      </c>
      <c r="J503" t="s">
        <v>16</v>
      </c>
      <c r="K503" t="s">
        <v>32</v>
      </c>
      <c r="L503">
        <v>34</v>
      </c>
      <c r="M503" t="s">
        <v>18</v>
      </c>
    </row>
    <row r="504" spans="1:13" x14ac:dyDescent="0.25">
      <c r="A504">
        <v>15275</v>
      </c>
      <c r="B504" t="s">
        <v>34</v>
      </c>
      <c r="C504" t="s">
        <v>34</v>
      </c>
      <c r="D504" s="5">
        <v>40000</v>
      </c>
      <c r="E504">
        <v>0</v>
      </c>
      <c r="F504" t="s">
        <v>19</v>
      </c>
      <c r="G504" t="s">
        <v>14</v>
      </c>
      <c r="H504" t="s">
        <v>15</v>
      </c>
      <c r="I504">
        <v>1</v>
      </c>
      <c r="J504" t="s">
        <v>23</v>
      </c>
      <c r="K504" t="s">
        <v>32</v>
      </c>
      <c r="L504">
        <v>29</v>
      </c>
      <c r="M504" t="s">
        <v>18</v>
      </c>
    </row>
    <row r="505" spans="1:13" x14ac:dyDescent="0.25">
      <c r="A505">
        <v>20339</v>
      </c>
      <c r="B505" t="s">
        <v>34</v>
      </c>
      <c r="C505" t="s">
        <v>33</v>
      </c>
      <c r="D505" s="5">
        <v>130000</v>
      </c>
      <c r="E505">
        <v>1</v>
      </c>
      <c r="F505" t="s">
        <v>13</v>
      </c>
      <c r="G505" t="s">
        <v>28</v>
      </c>
      <c r="H505" t="s">
        <v>15</v>
      </c>
      <c r="I505">
        <v>4</v>
      </c>
      <c r="J505" t="s">
        <v>22</v>
      </c>
      <c r="K505" t="s">
        <v>32</v>
      </c>
      <c r="L505">
        <v>44</v>
      </c>
      <c r="M505" t="s">
        <v>15</v>
      </c>
    </row>
    <row r="506" spans="1:13" x14ac:dyDescent="0.25">
      <c r="A506">
        <v>25405</v>
      </c>
      <c r="B506" t="s">
        <v>34</v>
      </c>
      <c r="C506" t="s">
        <v>34</v>
      </c>
      <c r="D506" s="5">
        <v>70000</v>
      </c>
      <c r="E506">
        <v>2</v>
      </c>
      <c r="F506" t="s">
        <v>13</v>
      </c>
      <c r="G506" t="s">
        <v>14</v>
      </c>
      <c r="H506" t="s">
        <v>15</v>
      </c>
      <c r="I506">
        <v>1</v>
      </c>
      <c r="J506" t="s">
        <v>22</v>
      </c>
      <c r="K506" t="s">
        <v>32</v>
      </c>
      <c r="L506">
        <v>38</v>
      </c>
      <c r="M506" t="s">
        <v>15</v>
      </c>
    </row>
    <row r="507" spans="1:13" x14ac:dyDescent="0.25">
      <c r="A507">
        <v>15940</v>
      </c>
      <c r="B507" t="s">
        <v>34</v>
      </c>
      <c r="C507" t="s">
        <v>34</v>
      </c>
      <c r="D507" s="5">
        <v>100000</v>
      </c>
      <c r="E507">
        <v>4</v>
      </c>
      <c r="F507" t="s">
        <v>19</v>
      </c>
      <c r="G507" t="s">
        <v>21</v>
      </c>
      <c r="H507" t="s">
        <v>15</v>
      </c>
      <c r="I507">
        <v>4</v>
      </c>
      <c r="J507" t="s">
        <v>16</v>
      </c>
      <c r="K507" t="s">
        <v>32</v>
      </c>
      <c r="L507">
        <v>40</v>
      </c>
      <c r="M507" t="s">
        <v>18</v>
      </c>
    </row>
    <row r="508" spans="1:13" x14ac:dyDescent="0.25">
      <c r="A508">
        <v>25074</v>
      </c>
      <c r="B508" t="s">
        <v>34</v>
      </c>
      <c r="C508" t="s">
        <v>33</v>
      </c>
      <c r="D508" s="5">
        <v>70000</v>
      </c>
      <c r="E508">
        <v>4</v>
      </c>
      <c r="F508" t="s">
        <v>13</v>
      </c>
      <c r="G508" t="s">
        <v>21</v>
      </c>
      <c r="H508" t="s">
        <v>15</v>
      </c>
      <c r="I508">
        <v>2</v>
      </c>
      <c r="J508" t="s">
        <v>22</v>
      </c>
      <c r="K508" t="s">
        <v>32</v>
      </c>
      <c r="L508">
        <v>42</v>
      </c>
      <c r="M508" t="s">
        <v>15</v>
      </c>
    </row>
    <row r="509" spans="1:13" x14ac:dyDescent="0.25">
      <c r="A509">
        <v>24738</v>
      </c>
      <c r="B509" t="s">
        <v>34</v>
      </c>
      <c r="C509" t="s">
        <v>33</v>
      </c>
      <c r="D509" s="5">
        <v>40000</v>
      </c>
      <c r="E509">
        <v>1</v>
      </c>
      <c r="F509" t="s">
        <v>19</v>
      </c>
      <c r="G509" t="s">
        <v>20</v>
      </c>
      <c r="H509" t="s">
        <v>15</v>
      </c>
      <c r="I509">
        <v>1</v>
      </c>
      <c r="J509" t="s">
        <v>26</v>
      </c>
      <c r="K509" t="s">
        <v>32</v>
      </c>
      <c r="L509">
        <v>51</v>
      </c>
      <c r="M509" t="s">
        <v>15</v>
      </c>
    </row>
    <row r="510" spans="1:13" x14ac:dyDescent="0.25">
      <c r="A510">
        <v>16337</v>
      </c>
      <c r="B510" t="s">
        <v>34</v>
      </c>
      <c r="C510" t="s">
        <v>34</v>
      </c>
      <c r="D510" s="5">
        <v>60000</v>
      </c>
      <c r="E510">
        <v>0</v>
      </c>
      <c r="F510" t="s">
        <v>19</v>
      </c>
      <c r="G510" t="s">
        <v>14</v>
      </c>
      <c r="H510" t="s">
        <v>18</v>
      </c>
      <c r="I510">
        <v>2</v>
      </c>
      <c r="J510" t="s">
        <v>26</v>
      </c>
      <c r="K510" t="s">
        <v>32</v>
      </c>
      <c r="L510">
        <v>29</v>
      </c>
      <c r="M510" t="s">
        <v>18</v>
      </c>
    </row>
    <row r="511" spans="1:13" x14ac:dyDescent="0.25">
      <c r="A511">
        <v>24357</v>
      </c>
      <c r="B511" t="s">
        <v>34</v>
      </c>
      <c r="C511" t="s">
        <v>34</v>
      </c>
      <c r="D511" s="5">
        <v>80000</v>
      </c>
      <c r="E511">
        <v>3</v>
      </c>
      <c r="F511" t="s">
        <v>13</v>
      </c>
      <c r="G511" t="s">
        <v>21</v>
      </c>
      <c r="H511" t="s">
        <v>15</v>
      </c>
      <c r="I511">
        <v>1</v>
      </c>
      <c r="J511" t="s">
        <v>22</v>
      </c>
      <c r="K511" t="s">
        <v>32</v>
      </c>
      <c r="L511">
        <v>48</v>
      </c>
      <c r="M511" t="s">
        <v>15</v>
      </c>
    </row>
    <row r="512" spans="1:13" x14ac:dyDescent="0.25">
      <c r="A512">
        <v>18613</v>
      </c>
      <c r="B512" t="s">
        <v>35</v>
      </c>
      <c r="C512" t="s">
        <v>34</v>
      </c>
      <c r="D512" s="5">
        <v>70000</v>
      </c>
      <c r="E512">
        <v>0</v>
      </c>
      <c r="F512" t="s">
        <v>13</v>
      </c>
      <c r="G512" t="s">
        <v>21</v>
      </c>
      <c r="H512" t="s">
        <v>18</v>
      </c>
      <c r="I512">
        <v>1</v>
      </c>
      <c r="J512" t="s">
        <v>22</v>
      </c>
      <c r="K512" t="s">
        <v>32</v>
      </c>
      <c r="L512">
        <v>37</v>
      </c>
      <c r="M512" t="s">
        <v>15</v>
      </c>
    </row>
    <row r="513" spans="1:13" x14ac:dyDescent="0.25">
      <c r="A513">
        <v>12207</v>
      </c>
      <c r="B513" t="s">
        <v>35</v>
      </c>
      <c r="C513" t="s">
        <v>34</v>
      </c>
      <c r="D513" s="5">
        <v>80000</v>
      </c>
      <c r="E513">
        <v>4</v>
      </c>
      <c r="F513" t="s">
        <v>13</v>
      </c>
      <c r="G513" t="s">
        <v>28</v>
      </c>
      <c r="H513" t="s">
        <v>15</v>
      </c>
      <c r="I513">
        <v>0</v>
      </c>
      <c r="J513" t="s">
        <v>23</v>
      </c>
      <c r="K513" t="s">
        <v>32</v>
      </c>
      <c r="L513">
        <v>66</v>
      </c>
      <c r="M513" t="s">
        <v>15</v>
      </c>
    </row>
    <row r="514" spans="1:13" x14ac:dyDescent="0.25">
      <c r="A514">
        <v>18052</v>
      </c>
      <c r="B514" t="s">
        <v>34</v>
      </c>
      <c r="C514" t="s">
        <v>33</v>
      </c>
      <c r="D514" s="5">
        <v>60000</v>
      </c>
      <c r="E514">
        <v>1</v>
      </c>
      <c r="F514" t="s">
        <v>19</v>
      </c>
      <c r="G514" t="s">
        <v>14</v>
      </c>
      <c r="H514" t="s">
        <v>15</v>
      </c>
      <c r="I514">
        <v>1</v>
      </c>
      <c r="J514" t="s">
        <v>16</v>
      </c>
      <c r="K514" t="s">
        <v>32</v>
      </c>
      <c r="L514">
        <v>45</v>
      </c>
      <c r="M514" t="s">
        <v>15</v>
      </c>
    </row>
    <row r="515" spans="1:13" x14ac:dyDescent="0.25">
      <c r="A515">
        <v>13353</v>
      </c>
      <c r="B515" t="s">
        <v>35</v>
      </c>
      <c r="C515" t="s">
        <v>33</v>
      </c>
      <c r="D515" s="5">
        <v>60000</v>
      </c>
      <c r="E515">
        <v>4</v>
      </c>
      <c r="F515" t="s">
        <v>31</v>
      </c>
      <c r="G515" t="s">
        <v>28</v>
      </c>
      <c r="H515" t="s">
        <v>15</v>
      </c>
      <c r="I515">
        <v>2</v>
      </c>
      <c r="J515" t="s">
        <v>30</v>
      </c>
      <c r="K515" t="s">
        <v>32</v>
      </c>
      <c r="L515">
        <v>61</v>
      </c>
      <c r="M515" t="s">
        <v>15</v>
      </c>
    </row>
    <row r="516" spans="1:13" x14ac:dyDescent="0.25">
      <c r="A516">
        <v>19399</v>
      </c>
      <c r="B516" t="s">
        <v>35</v>
      </c>
      <c r="C516" t="s">
        <v>34</v>
      </c>
      <c r="D516" s="5">
        <v>40000</v>
      </c>
      <c r="E516">
        <v>0</v>
      </c>
      <c r="F516" t="s">
        <v>13</v>
      </c>
      <c r="G516" t="s">
        <v>21</v>
      </c>
      <c r="H516" t="s">
        <v>18</v>
      </c>
      <c r="I516">
        <v>1</v>
      </c>
      <c r="J516" t="s">
        <v>22</v>
      </c>
      <c r="K516" t="s">
        <v>32</v>
      </c>
      <c r="L516">
        <v>45</v>
      </c>
      <c r="M516" t="s">
        <v>18</v>
      </c>
    </row>
    <row r="517" spans="1:13" x14ac:dyDescent="0.25">
      <c r="A517">
        <v>16154</v>
      </c>
      <c r="B517" t="s">
        <v>34</v>
      </c>
      <c r="C517" t="s">
        <v>33</v>
      </c>
      <c r="D517" s="5">
        <v>70000</v>
      </c>
      <c r="E517">
        <v>5</v>
      </c>
      <c r="F517" t="s">
        <v>13</v>
      </c>
      <c r="G517" t="s">
        <v>21</v>
      </c>
      <c r="H517" t="s">
        <v>15</v>
      </c>
      <c r="I517">
        <v>2</v>
      </c>
      <c r="J517" t="s">
        <v>22</v>
      </c>
      <c r="K517" t="s">
        <v>32</v>
      </c>
      <c r="L517">
        <v>47</v>
      </c>
      <c r="M517" t="s">
        <v>18</v>
      </c>
    </row>
    <row r="518" spans="1:13" x14ac:dyDescent="0.25">
      <c r="A518">
        <v>22219</v>
      </c>
      <c r="B518" t="s">
        <v>34</v>
      </c>
      <c r="C518" t="s">
        <v>33</v>
      </c>
      <c r="D518" s="5">
        <v>60000</v>
      </c>
      <c r="E518">
        <v>2</v>
      </c>
      <c r="F518" t="s">
        <v>27</v>
      </c>
      <c r="G518" t="s">
        <v>21</v>
      </c>
      <c r="H518" t="s">
        <v>15</v>
      </c>
      <c r="I518">
        <v>2</v>
      </c>
      <c r="J518" t="s">
        <v>23</v>
      </c>
      <c r="K518" t="s">
        <v>32</v>
      </c>
      <c r="L518">
        <v>49</v>
      </c>
      <c r="M518" t="s">
        <v>18</v>
      </c>
    </row>
    <row r="519" spans="1:13" x14ac:dyDescent="0.25">
      <c r="A519">
        <v>17269</v>
      </c>
      <c r="B519" t="s">
        <v>35</v>
      </c>
      <c r="C519" t="s">
        <v>34</v>
      </c>
      <c r="D519" s="5">
        <v>60000</v>
      </c>
      <c r="E519">
        <v>3</v>
      </c>
      <c r="F519" t="s">
        <v>13</v>
      </c>
      <c r="G519" t="s">
        <v>21</v>
      </c>
      <c r="H519" t="s">
        <v>18</v>
      </c>
      <c r="I519">
        <v>0</v>
      </c>
      <c r="J519" t="s">
        <v>16</v>
      </c>
      <c r="K519" t="s">
        <v>32</v>
      </c>
      <c r="L519">
        <v>47</v>
      </c>
      <c r="M519" t="s">
        <v>15</v>
      </c>
    </row>
    <row r="520" spans="1:13" x14ac:dyDescent="0.25">
      <c r="A520">
        <v>23586</v>
      </c>
      <c r="B520" t="s">
        <v>34</v>
      </c>
      <c r="C520" t="s">
        <v>33</v>
      </c>
      <c r="D520" s="5">
        <v>80000</v>
      </c>
      <c r="E520">
        <v>0</v>
      </c>
      <c r="F520" t="s">
        <v>13</v>
      </c>
      <c r="G520" t="s">
        <v>28</v>
      </c>
      <c r="H520" t="s">
        <v>15</v>
      </c>
      <c r="I520">
        <v>1</v>
      </c>
      <c r="J520" t="s">
        <v>26</v>
      </c>
      <c r="K520" t="s">
        <v>32</v>
      </c>
      <c r="L520">
        <v>34</v>
      </c>
      <c r="M520" t="s">
        <v>15</v>
      </c>
    </row>
    <row r="521" spans="1:13" x14ac:dyDescent="0.25">
      <c r="A521">
        <v>15740</v>
      </c>
      <c r="B521" t="s">
        <v>34</v>
      </c>
      <c r="C521" t="s">
        <v>34</v>
      </c>
      <c r="D521" s="5">
        <v>80000</v>
      </c>
      <c r="E521">
        <v>5</v>
      </c>
      <c r="F521" t="s">
        <v>13</v>
      </c>
      <c r="G521" t="s">
        <v>28</v>
      </c>
      <c r="H521" t="s">
        <v>15</v>
      </c>
      <c r="I521">
        <v>2</v>
      </c>
      <c r="J521" t="s">
        <v>26</v>
      </c>
      <c r="K521" t="s">
        <v>32</v>
      </c>
      <c r="L521">
        <v>64</v>
      </c>
      <c r="M521" t="s">
        <v>18</v>
      </c>
    </row>
    <row r="522" spans="1:13" x14ac:dyDescent="0.25">
      <c r="A522">
        <v>27638</v>
      </c>
      <c r="B522" t="s">
        <v>35</v>
      </c>
      <c r="C522" t="s">
        <v>34</v>
      </c>
      <c r="D522" s="5">
        <v>100000</v>
      </c>
      <c r="E522">
        <v>1</v>
      </c>
      <c r="F522" t="s">
        <v>19</v>
      </c>
      <c r="G522" t="s">
        <v>21</v>
      </c>
      <c r="H522" t="s">
        <v>18</v>
      </c>
      <c r="I522">
        <v>3</v>
      </c>
      <c r="J522" t="s">
        <v>26</v>
      </c>
      <c r="K522" t="s">
        <v>32</v>
      </c>
      <c r="L522">
        <v>44</v>
      </c>
      <c r="M522" t="s">
        <v>18</v>
      </c>
    </row>
    <row r="523" spans="1:13" x14ac:dyDescent="0.25">
      <c r="A523">
        <v>18976</v>
      </c>
      <c r="B523" t="s">
        <v>35</v>
      </c>
      <c r="C523" t="s">
        <v>34</v>
      </c>
      <c r="D523" s="5">
        <v>40000</v>
      </c>
      <c r="E523">
        <v>4</v>
      </c>
      <c r="F523" t="s">
        <v>27</v>
      </c>
      <c r="G523" t="s">
        <v>21</v>
      </c>
      <c r="H523" t="s">
        <v>15</v>
      </c>
      <c r="I523">
        <v>2</v>
      </c>
      <c r="J523" t="s">
        <v>30</v>
      </c>
      <c r="K523" t="s">
        <v>32</v>
      </c>
      <c r="L523">
        <v>62</v>
      </c>
      <c r="M523" t="s">
        <v>15</v>
      </c>
    </row>
    <row r="524" spans="1:13" x14ac:dyDescent="0.25">
      <c r="A524">
        <v>19413</v>
      </c>
      <c r="B524" t="s">
        <v>35</v>
      </c>
      <c r="C524" t="s">
        <v>34</v>
      </c>
      <c r="D524" s="5">
        <v>60000</v>
      </c>
      <c r="E524">
        <v>3</v>
      </c>
      <c r="F524" t="s">
        <v>13</v>
      </c>
      <c r="G524" t="s">
        <v>21</v>
      </c>
      <c r="H524" t="s">
        <v>18</v>
      </c>
      <c r="I524">
        <v>1</v>
      </c>
      <c r="J524" t="s">
        <v>16</v>
      </c>
      <c r="K524" t="s">
        <v>32</v>
      </c>
      <c r="L524">
        <v>47</v>
      </c>
      <c r="M524" t="s">
        <v>15</v>
      </c>
    </row>
    <row r="525" spans="1:13" x14ac:dyDescent="0.25">
      <c r="A525">
        <v>13283</v>
      </c>
      <c r="B525" t="s">
        <v>34</v>
      </c>
      <c r="C525" t="s">
        <v>34</v>
      </c>
      <c r="D525" s="5">
        <v>80000</v>
      </c>
      <c r="E525">
        <v>3</v>
      </c>
      <c r="F525" t="s">
        <v>19</v>
      </c>
      <c r="G525" t="s">
        <v>21</v>
      </c>
      <c r="H525" t="s">
        <v>18</v>
      </c>
      <c r="I525">
        <v>2</v>
      </c>
      <c r="J525" t="s">
        <v>16</v>
      </c>
      <c r="K525" t="s">
        <v>32</v>
      </c>
      <c r="L525">
        <v>49</v>
      </c>
      <c r="M525" t="s">
        <v>15</v>
      </c>
    </row>
    <row r="526" spans="1:13" x14ac:dyDescent="0.25">
      <c r="A526">
        <v>17471</v>
      </c>
      <c r="B526" t="s">
        <v>35</v>
      </c>
      <c r="C526" t="s">
        <v>33</v>
      </c>
      <c r="D526" s="5">
        <v>80000</v>
      </c>
      <c r="E526">
        <v>4</v>
      </c>
      <c r="F526" t="s">
        <v>31</v>
      </c>
      <c r="G526" t="s">
        <v>28</v>
      </c>
      <c r="H526" t="s">
        <v>15</v>
      </c>
      <c r="I526">
        <v>2</v>
      </c>
      <c r="J526" t="s">
        <v>23</v>
      </c>
      <c r="K526" t="s">
        <v>32</v>
      </c>
      <c r="L526">
        <v>67</v>
      </c>
      <c r="M526" t="s">
        <v>18</v>
      </c>
    </row>
    <row r="527" spans="1:13" x14ac:dyDescent="0.25">
      <c r="A527">
        <v>16791</v>
      </c>
      <c r="B527" t="s">
        <v>35</v>
      </c>
      <c r="C527" t="s">
        <v>34</v>
      </c>
      <c r="D527" s="5">
        <v>60000</v>
      </c>
      <c r="E527">
        <v>5</v>
      </c>
      <c r="F527" t="s">
        <v>13</v>
      </c>
      <c r="G527" t="s">
        <v>28</v>
      </c>
      <c r="H527" t="s">
        <v>15</v>
      </c>
      <c r="I527">
        <v>3</v>
      </c>
      <c r="J527" t="s">
        <v>30</v>
      </c>
      <c r="K527" t="s">
        <v>32</v>
      </c>
      <c r="L527">
        <v>59</v>
      </c>
      <c r="M527" t="s">
        <v>15</v>
      </c>
    </row>
    <row r="528" spans="1:13" x14ac:dyDescent="0.25">
      <c r="A528">
        <v>15382</v>
      </c>
      <c r="B528" t="s">
        <v>34</v>
      </c>
      <c r="C528" t="s">
        <v>33</v>
      </c>
      <c r="D528" s="5">
        <v>110000</v>
      </c>
      <c r="E528">
        <v>1</v>
      </c>
      <c r="F528" t="s">
        <v>13</v>
      </c>
      <c r="G528" t="s">
        <v>28</v>
      </c>
      <c r="H528" t="s">
        <v>15</v>
      </c>
      <c r="I528">
        <v>2</v>
      </c>
      <c r="J528" t="s">
        <v>26</v>
      </c>
      <c r="K528" t="s">
        <v>32</v>
      </c>
      <c r="L528">
        <v>44</v>
      </c>
      <c r="M528" t="s">
        <v>18</v>
      </c>
    </row>
    <row r="529" spans="1:13" x14ac:dyDescent="0.25">
      <c r="A529">
        <v>11641</v>
      </c>
      <c r="B529" t="s">
        <v>34</v>
      </c>
      <c r="C529" t="s">
        <v>34</v>
      </c>
      <c r="D529" s="5">
        <v>50000</v>
      </c>
      <c r="E529">
        <v>1</v>
      </c>
      <c r="F529" t="s">
        <v>13</v>
      </c>
      <c r="G529" t="s">
        <v>14</v>
      </c>
      <c r="H529" t="s">
        <v>15</v>
      </c>
      <c r="I529">
        <v>0</v>
      </c>
      <c r="J529" t="s">
        <v>16</v>
      </c>
      <c r="K529" t="s">
        <v>32</v>
      </c>
      <c r="L529">
        <v>36</v>
      </c>
      <c r="M529" t="s">
        <v>18</v>
      </c>
    </row>
    <row r="530" spans="1:13" x14ac:dyDescent="0.25">
      <c r="A530">
        <v>11935</v>
      </c>
      <c r="B530" t="s">
        <v>35</v>
      </c>
      <c r="C530" t="s">
        <v>33</v>
      </c>
      <c r="D530" s="5">
        <v>30000</v>
      </c>
      <c r="E530">
        <v>0</v>
      </c>
      <c r="F530" t="s">
        <v>19</v>
      </c>
      <c r="G530" t="s">
        <v>14</v>
      </c>
      <c r="H530" t="s">
        <v>15</v>
      </c>
      <c r="I530">
        <v>1</v>
      </c>
      <c r="J530" t="s">
        <v>23</v>
      </c>
      <c r="K530" t="s">
        <v>32</v>
      </c>
      <c r="L530">
        <v>28</v>
      </c>
      <c r="M530" t="s">
        <v>18</v>
      </c>
    </row>
    <row r="531" spans="1:13" x14ac:dyDescent="0.25">
      <c r="A531">
        <v>13233</v>
      </c>
      <c r="B531" t="s">
        <v>34</v>
      </c>
      <c r="C531" t="s">
        <v>34</v>
      </c>
      <c r="D531" s="5">
        <v>60000</v>
      </c>
      <c r="E531">
        <v>2</v>
      </c>
      <c r="F531" t="s">
        <v>19</v>
      </c>
      <c r="G531" t="s">
        <v>21</v>
      </c>
      <c r="H531" t="s">
        <v>15</v>
      </c>
      <c r="I531">
        <v>1</v>
      </c>
      <c r="J531" t="s">
        <v>30</v>
      </c>
      <c r="K531" t="s">
        <v>32</v>
      </c>
      <c r="L531">
        <v>57</v>
      </c>
      <c r="M531" t="s">
        <v>15</v>
      </c>
    </row>
    <row r="532" spans="1:13" x14ac:dyDescent="0.25">
      <c r="A532">
        <v>25909</v>
      </c>
      <c r="B532" t="s">
        <v>34</v>
      </c>
      <c r="C532" t="s">
        <v>34</v>
      </c>
      <c r="D532" s="5">
        <v>60000</v>
      </c>
      <c r="E532">
        <v>0</v>
      </c>
      <c r="F532" t="s">
        <v>19</v>
      </c>
      <c r="G532" t="s">
        <v>14</v>
      </c>
      <c r="H532" t="s">
        <v>15</v>
      </c>
      <c r="I532">
        <v>1</v>
      </c>
      <c r="J532" t="s">
        <v>23</v>
      </c>
      <c r="K532" t="s">
        <v>32</v>
      </c>
      <c r="L532">
        <v>27</v>
      </c>
      <c r="M532" t="s">
        <v>15</v>
      </c>
    </row>
    <row r="533" spans="1:13" x14ac:dyDescent="0.25">
      <c r="A533">
        <v>14092</v>
      </c>
      <c r="B533" t="s">
        <v>35</v>
      </c>
      <c r="C533" t="s">
        <v>34</v>
      </c>
      <c r="D533" s="5">
        <v>30000</v>
      </c>
      <c r="E533">
        <v>0</v>
      </c>
      <c r="F533" t="s">
        <v>29</v>
      </c>
      <c r="G533" t="s">
        <v>20</v>
      </c>
      <c r="H533" t="s">
        <v>15</v>
      </c>
      <c r="I533">
        <v>2</v>
      </c>
      <c r="J533" t="s">
        <v>23</v>
      </c>
      <c r="K533" t="s">
        <v>32</v>
      </c>
      <c r="L533">
        <v>28</v>
      </c>
      <c r="M533" t="s">
        <v>18</v>
      </c>
    </row>
    <row r="534" spans="1:13" x14ac:dyDescent="0.25">
      <c r="A534">
        <v>29143</v>
      </c>
      <c r="B534" t="s">
        <v>35</v>
      </c>
      <c r="C534" t="s">
        <v>33</v>
      </c>
      <c r="D534" s="5">
        <v>60000</v>
      </c>
      <c r="E534">
        <v>1</v>
      </c>
      <c r="F534" t="s">
        <v>13</v>
      </c>
      <c r="G534" t="s">
        <v>21</v>
      </c>
      <c r="H534" t="s">
        <v>18</v>
      </c>
      <c r="I534">
        <v>1</v>
      </c>
      <c r="J534" t="s">
        <v>16</v>
      </c>
      <c r="K534" t="s">
        <v>32</v>
      </c>
      <c r="L534">
        <v>44</v>
      </c>
      <c r="M534" t="s">
        <v>15</v>
      </c>
    </row>
    <row r="535" spans="1:13" x14ac:dyDescent="0.25">
      <c r="A535">
        <v>24941</v>
      </c>
      <c r="B535" t="s">
        <v>34</v>
      </c>
      <c r="C535" t="s">
        <v>34</v>
      </c>
      <c r="D535" s="5">
        <v>60000</v>
      </c>
      <c r="E535">
        <v>3</v>
      </c>
      <c r="F535" t="s">
        <v>13</v>
      </c>
      <c r="G535" t="s">
        <v>28</v>
      </c>
      <c r="H535" t="s">
        <v>15</v>
      </c>
      <c r="I535">
        <v>2</v>
      </c>
      <c r="J535" t="s">
        <v>30</v>
      </c>
      <c r="K535" t="s">
        <v>32</v>
      </c>
      <c r="L535">
        <v>66</v>
      </c>
      <c r="M535" t="s">
        <v>18</v>
      </c>
    </row>
    <row r="536" spans="1:13" x14ac:dyDescent="0.25">
      <c r="A536">
        <v>24637</v>
      </c>
      <c r="B536" t="s">
        <v>34</v>
      </c>
      <c r="C536" t="s">
        <v>34</v>
      </c>
      <c r="D536" s="5">
        <v>40000</v>
      </c>
      <c r="E536">
        <v>4</v>
      </c>
      <c r="F536" t="s">
        <v>27</v>
      </c>
      <c r="G536" t="s">
        <v>21</v>
      </c>
      <c r="H536" t="s">
        <v>15</v>
      </c>
      <c r="I536">
        <v>2</v>
      </c>
      <c r="J536" t="s">
        <v>30</v>
      </c>
      <c r="K536" t="s">
        <v>32</v>
      </c>
      <c r="L536">
        <v>64</v>
      </c>
      <c r="M536" t="s">
        <v>18</v>
      </c>
    </row>
    <row r="537" spans="1:13" x14ac:dyDescent="0.25">
      <c r="A537">
        <v>23893</v>
      </c>
      <c r="B537" t="s">
        <v>34</v>
      </c>
      <c r="C537" t="s">
        <v>34</v>
      </c>
      <c r="D537" s="5">
        <v>50000</v>
      </c>
      <c r="E537">
        <v>3</v>
      </c>
      <c r="F537" t="s">
        <v>13</v>
      </c>
      <c r="G537" t="s">
        <v>14</v>
      </c>
      <c r="H537" t="s">
        <v>15</v>
      </c>
      <c r="I537">
        <v>3</v>
      </c>
      <c r="J537" t="s">
        <v>30</v>
      </c>
      <c r="K537" t="s">
        <v>32</v>
      </c>
      <c r="L537">
        <v>41</v>
      </c>
      <c r="M537" t="s">
        <v>18</v>
      </c>
    </row>
    <row r="538" spans="1:13" x14ac:dyDescent="0.25">
      <c r="A538">
        <v>13907</v>
      </c>
      <c r="B538" t="s">
        <v>35</v>
      </c>
      <c r="C538" t="s">
        <v>33</v>
      </c>
      <c r="D538" s="5">
        <v>80000</v>
      </c>
      <c r="E538">
        <v>3</v>
      </c>
      <c r="F538" t="s">
        <v>13</v>
      </c>
      <c r="G538" t="s">
        <v>14</v>
      </c>
      <c r="H538" t="s">
        <v>15</v>
      </c>
      <c r="I538">
        <v>1</v>
      </c>
      <c r="J538" t="s">
        <v>16</v>
      </c>
      <c r="K538" t="s">
        <v>32</v>
      </c>
      <c r="L538">
        <v>41</v>
      </c>
      <c r="M538" t="s">
        <v>15</v>
      </c>
    </row>
    <row r="539" spans="1:13" x14ac:dyDescent="0.25">
      <c r="A539">
        <v>14900</v>
      </c>
      <c r="B539" t="s">
        <v>34</v>
      </c>
      <c r="C539" t="s">
        <v>33</v>
      </c>
      <c r="D539" s="5">
        <v>40000</v>
      </c>
      <c r="E539">
        <v>1</v>
      </c>
      <c r="F539" t="s">
        <v>19</v>
      </c>
      <c r="G539" t="s">
        <v>20</v>
      </c>
      <c r="H539" t="s">
        <v>15</v>
      </c>
      <c r="I539">
        <v>1</v>
      </c>
      <c r="J539" t="s">
        <v>26</v>
      </c>
      <c r="K539" t="s">
        <v>32</v>
      </c>
      <c r="L539">
        <v>49</v>
      </c>
      <c r="M539" t="s">
        <v>15</v>
      </c>
    </row>
    <row r="540" spans="1:13" x14ac:dyDescent="0.25">
      <c r="A540">
        <v>11262</v>
      </c>
      <c r="B540" t="s">
        <v>34</v>
      </c>
      <c r="C540" t="s">
        <v>33</v>
      </c>
      <c r="D540" s="5">
        <v>80000</v>
      </c>
      <c r="E540">
        <v>4</v>
      </c>
      <c r="F540" t="s">
        <v>13</v>
      </c>
      <c r="G540" t="s">
        <v>28</v>
      </c>
      <c r="H540" t="s">
        <v>15</v>
      </c>
      <c r="I540">
        <v>0</v>
      </c>
      <c r="J540" t="s">
        <v>16</v>
      </c>
      <c r="K540" t="s">
        <v>32</v>
      </c>
      <c r="L540">
        <v>42</v>
      </c>
      <c r="M540" t="s">
        <v>18</v>
      </c>
    </row>
    <row r="541" spans="1:13" x14ac:dyDescent="0.25">
      <c r="A541">
        <v>22294</v>
      </c>
      <c r="B541" t="s">
        <v>35</v>
      </c>
      <c r="C541" t="s">
        <v>33</v>
      </c>
      <c r="D541" s="5">
        <v>70000</v>
      </c>
      <c r="E541">
        <v>0</v>
      </c>
      <c r="F541" t="s">
        <v>13</v>
      </c>
      <c r="G541" t="s">
        <v>21</v>
      </c>
      <c r="H541" t="s">
        <v>18</v>
      </c>
      <c r="I541">
        <v>1</v>
      </c>
      <c r="J541" t="s">
        <v>22</v>
      </c>
      <c r="K541" t="s">
        <v>32</v>
      </c>
      <c r="L541">
        <v>37</v>
      </c>
      <c r="M541" t="s">
        <v>15</v>
      </c>
    </row>
    <row r="542" spans="1:13" x14ac:dyDescent="0.25">
      <c r="A542">
        <v>12195</v>
      </c>
      <c r="B542" t="s">
        <v>35</v>
      </c>
      <c r="C542" t="s">
        <v>33</v>
      </c>
      <c r="D542" s="5">
        <v>70000</v>
      </c>
      <c r="E542">
        <v>3</v>
      </c>
      <c r="F542" t="s">
        <v>31</v>
      </c>
      <c r="G542" t="s">
        <v>28</v>
      </c>
      <c r="H542" t="s">
        <v>15</v>
      </c>
      <c r="I542">
        <v>2</v>
      </c>
      <c r="J542" t="s">
        <v>26</v>
      </c>
      <c r="K542" t="s">
        <v>32</v>
      </c>
      <c r="L542">
        <v>52</v>
      </c>
      <c r="M542" t="s">
        <v>18</v>
      </c>
    </row>
    <row r="543" spans="1:13" x14ac:dyDescent="0.25">
      <c r="A543">
        <v>25375</v>
      </c>
      <c r="B543" t="s">
        <v>34</v>
      </c>
      <c r="C543" t="s">
        <v>34</v>
      </c>
      <c r="D543" s="5">
        <v>50000</v>
      </c>
      <c r="E543">
        <v>1</v>
      </c>
      <c r="F543" t="s">
        <v>31</v>
      </c>
      <c r="G543" t="s">
        <v>14</v>
      </c>
      <c r="H543" t="s">
        <v>15</v>
      </c>
      <c r="I543">
        <v>0</v>
      </c>
      <c r="J543" t="s">
        <v>26</v>
      </c>
      <c r="K543" t="s">
        <v>32</v>
      </c>
      <c r="L543">
        <v>34</v>
      </c>
      <c r="M543" t="s">
        <v>18</v>
      </c>
    </row>
    <row r="544" spans="1:13" x14ac:dyDescent="0.25">
      <c r="A544">
        <v>11143</v>
      </c>
      <c r="B544" t="s">
        <v>34</v>
      </c>
      <c r="C544" t="s">
        <v>34</v>
      </c>
      <c r="D544" s="5">
        <v>40000</v>
      </c>
      <c r="E544">
        <v>0</v>
      </c>
      <c r="F544" t="s">
        <v>27</v>
      </c>
      <c r="G544" t="s">
        <v>14</v>
      </c>
      <c r="H544" t="s">
        <v>15</v>
      </c>
      <c r="I544">
        <v>2</v>
      </c>
      <c r="J544" t="s">
        <v>23</v>
      </c>
      <c r="K544" t="s">
        <v>32</v>
      </c>
      <c r="L544">
        <v>29</v>
      </c>
      <c r="M544" t="s">
        <v>18</v>
      </c>
    </row>
    <row r="545" spans="1:13" x14ac:dyDescent="0.25">
      <c r="A545">
        <v>25898</v>
      </c>
      <c r="B545" t="s">
        <v>34</v>
      </c>
      <c r="C545" t="s">
        <v>33</v>
      </c>
      <c r="D545" s="5">
        <v>70000</v>
      </c>
      <c r="E545">
        <v>2</v>
      </c>
      <c r="F545" t="s">
        <v>27</v>
      </c>
      <c r="G545" t="s">
        <v>21</v>
      </c>
      <c r="H545" t="s">
        <v>15</v>
      </c>
      <c r="I545">
        <v>2</v>
      </c>
      <c r="J545" t="s">
        <v>22</v>
      </c>
      <c r="K545" t="s">
        <v>32</v>
      </c>
      <c r="L545">
        <v>53</v>
      </c>
      <c r="M545" t="s">
        <v>18</v>
      </c>
    </row>
    <row r="546" spans="1:13" x14ac:dyDescent="0.25">
      <c r="A546">
        <v>24397</v>
      </c>
      <c r="B546" t="s">
        <v>35</v>
      </c>
      <c r="C546" t="s">
        <v>34</v>
      </c>
      <c r="D546" s="5">
        <v>120000</v>
      </c>
      <c r="E546">
        <v>2</v>
      </c>
      <c r="F546" t="s">
        <v>13</v>
      </c>
      <c r="G546" t="s">
        <v>28</v>
      </c>
      <c r="H546" t="s">
        <v>18</v>
      </c>
      <c r="I546">
        <v>4</v>
      </c>
      <c r="J546" t="s">
        <v>26</v>
      </c>
      <c r="K546" t="s">
        <v>32</v>
      </c>
      <c r="L546">
        <v>40</v>
      </c>
      <c r="M546" t="s">
        <v>18</v>
      </c>
    </row>
    <row r="547" spans="1:13" x14ac:dyDescent="0.25">
      <c r="A547">
        <v>19758</v>
      </c>
      <c r="B547" t="s">
        <v>35</v>
      </c>
      <c r="C547" t="s">
        <v>34</v>
      </c>
      <c r="D547" s="5">
        <v>60000</v>
      </c>
      <c r="E547">
        <v>0</v>
      </c>
      <c r="F547" t="s">
        <v>19</v>
      </c>
      <c r="G547" t="s">
        <v>14</v>
      </c>
      <c r="H547" t="s">
        <v>18</v>
      </c>
      <c r="I547">
        <v>2</v>
      </c>
      <c r="J547" t="s">
        <v>26</v>
      </c>
      <c r="K547" t="s">
        <v>32</v>
      </c>
      <c r="L547">
        <v>29</v>
      </c>
      <c r="M547" t="s">
        <v>18</v>
      </c>
    </row>
    <row r="548" spans="1:13" x14ac:dyDescent="0.25">
      <c r="A548">
        <v>15529</v>
      </c>
      <c r="B548" t="s">
        <v>34</v>
      </c>
      <c r="C548" t="s">
        <v>34</v>
      </c>
      <c r="D548" s="5">
        <v>60000</v>
      </c>
      <c r="E548">
        <v>4</v>
      </c>
      <c r="F548" t="s">
        <v>13</v>
      </c>
      <c r="G548" t="s">
        <v>21</v>
      </c>
      <c r="H548" t="s">
        <v>15</v>
      </c>
      <c r="I548">
        <v>2</v>
      </c>
      <c r="J548" t="s">
        <v>22</v>
      </c>
      <c r="K548" t="s">
        <v>32</v>
      </c>
      <c r="L548">
        <v>43</v>
      </c>
      <c r="M548" t="s">
        <v>15</v>
      </c>
    </row>
    <row r="549" spans="1:13" x14ac:dyDescent="0.25">
      <c r="A549">
        <v>19884</v>
      </c>
      <c r="B549" t="s">
        <v>34</v>
      </c>
      <c r="C549" t="s">
        <v>34</v>
      </c>
      <c r="D549" s="5">
        <v>60000</v>
      </c>
      <c r="E549">
        <v>2</v>
      </c>
      <c r="F549" t="s">
        <v>27</v>
      </c>
      <c r="G549" t="s">
        <v>21</v>
      </c>
      <c r="H549" t="s">
        <v>15</v>
      </c>
      <c r="I549">
        <v>2</v>
      </c>
      <c r="J549" t="s">
        <v>22</v>
      </c>
      <c r="K549" t="s">
        <v>32</v>
      </c>
      <c r="L549">
        <v>55</v>
      </c>
      <c r="M549" t="s">
        <v>15</v>
      </c>
    </row>
    <row r="550" spans="1:13" x14ac:dyDescent="0.25">
      <c r="A550">
        <v>18674</v>
      </c>
      <c r="B550" t="s">
        <v>35</v>
      </c>
      <c r="C550" t="s">
        <v>33</v>
      </c>
      <c r="D550" s="5">
        <v>80000</v>
      </c>
      <c r="E550">
        <v>4</v>
      </c>
      <c r="F550" t="s">
        <v>31</v>
      </c>
      <c r="G550" t="s">
        <v>14</v>
      </c>
      <c r="H550" t="s">
        <v>18</v>
      </c>
      <c r="I550">
        <v>0</v>
      </c>
      <c r="J550" t="s">
        <v>16</v>
      </c>
      <c r="K550" t="s">
        <v>32</v>
      </c>
      <c r="L550">
        <v>48</v>
      </c>
      <c r="M550" t="s">
        <v>18</v>
      </c>
    </row>
    <row r="551" spans="1:13" x14ac:dyDescent="0.25">
      <c r="A551">
        <v>13453</v>
      </c>
      <c r="B551" t="s">
        <v>34</v>
      </c>
      <c r="C551" t="s">
        <v>33</v>
      </c>
      <c r="D551" s="5">
        <v>130000</v>
      </c>
      <c r="E551">
        <v>3</v>
      </c>
      <c r="F551" t="s">
        <v>13</v>
      </c>
      <c r="G551" t="s">
        <v>28</v>
      </c>
      <c r="H551" t="s">
        <v>15</v>
      </c>
      <c r="I551">
        <v>3</v>
      </c>
      <c r="J551" t="s">
        <v>16</v>
      </c>
      <c r="K551" t="s">
        <v>32</v>
      </c>
      <c r="L551">
        <v>45</v>
      </c>
      <c r="M551" t="s">
        <v>15</v>
      </c>
    </row>
    <row r="552" spans="1:13" x14ac:dyDescent="0.25">
      <c r="A552">
        <v>14063</v>
      </c>
      <c r="B552" t="s">
        <v>35</v>
      </c>
      <c r="C552" t="s">
        <v>33</v>
      </c>
      <c r="D552" s="5">
        <v>70000</v>
      </c>
      <c r="E552">
        <v>0</v>
      </c>
      <c r="F552" t="s">
        <v>13</v>
      </c>
      <c r="G552" t="s">
        <v>21</v>
      </c>
      <c r="H552" t="s">
        <v>18</v>
      </c>
      <c r="I552">
        <v>1</v>
      </c>
      <c r="J552" t="s">
        <v>16</v>
      </c>
      <c r="K552" t="s">
        <v>24</v>
      </c>
      <c r="L552">
        <v>42</v>
      </c>
      <c r="M552" t="s">
        <v>15</v>
      </c>
    </row>
    <row r="553" spans="1:13" x14ac:dyDescent="0.25">
      <c r="A553">
        <v>27393</v>
      </c>
      <c r="B553" t="s">
        <v>34</v>
      </c>
      <c r="C553" t="s">
        <v>33</v>
      </c>
      <c r="D553" s="5">
        <v>50000</v>
      </c>
      <c r="E553">
        <v>4</v>
      </c>
      <c r="F553" t="s">
        <v>13</v>
      </c>
      <c r="G553" t="s">
        <v>28</v>
      </c>
      <c r="H553" t="s">
        <v>15</v>
      </c>
      <c r="I553">
        <v>2</v>
      </c>
      <c r="J553" t="s">
        <v>30</v>
      </c>
      <c r="K553" t="s">
        <v>32</v>
      </c>
      <c r="L553">
        <v>63</v>
      </c>
      <c r="M553" t="s">
        <v>18</v>
      </c>
    </row>
    <row r="554" spans="1:13" x14ac:dyDescent="0.25">
      <c r="A554">
        <v>14417</v>
      </c>
      <c r="B554" t="s">
        <v>35</v>
      </c>
      <c r="C554" t="s">
        <v>34</v>
      </c>
      <c r="D554" s="5">
        <v>60000</v>
      </c>
      <c r="E554">
        <v>3</v>
      </c>
      <c r="F554" t="s">
        <v>27</v>
      </c>
      <c r="G554" t="s">
        <v>21</v>
      </c>
      <c r="H554" t="s">
        <v>15</v>
      </c>
      <c r="I554">
        <v>2</v>
      </c>
      <c r="J554" t="s">
        <v>30</v>
      </c>
      <c r="K554" t="s">
        <v>32</v>
      </c>
      <c r="L554">
        <v>54</v>
      </c>
      <c r="M554" t="s">
        <v>15</v>
      </c>
    </row>
    <row r="555" spans="1:13" x14ac:dyDescent="0.25">
      <c r="A555">
        <v>17533</v>
      </c>
      <c r="B555" t="s">
        <v>34</v>
      </c>
      <c r="C555" t="s">
        <v>34</v>
      </c>
      <c r="D555" s="5">
        <v>40000</v>
      </c>
      <c r="E555">
        <v>3</v>
      </c>
      <c r="F555" t="s">
        <v>19</v>
      </c>
      <c r="G555" t="s">
        <v>21</v>
      </c>
      <c r="H555" t="s">
        <v>18</v>
      </c>
      <c r="I555">
        <v>2</v>
      </c>
      <c r="J555" t="s">
        <v>23</v>
      </c>
      <c r="K555" t="s">
        <v>32</v>
      </c>
      <c r="L555">
        <v>73</v>
      </c>
      <c r="M555" t="s">
        <v>15</v>
      </c>
    </row>
    <row r="556" spans="1:13" x14ac:dyDescent="0.25">
      <c r="A556">
        <v>18580</v>
      </c>
      <c r="B556" t="s">
        <v>34</v>
      </c>
      <c r="C556" t="s">
        <v>33</v>
      </c>
      <c r="D556" s="5">
        <v>60000</v>
      </c>
      <c r="E556">
        <v>2</v>
      </c>
      <c r="F556" t="s">
        <v>31</v>
      </c>
      <c r="G556" t="s">
        <v>21</v>
      </c>
      <c r="H556" t="s">
        <v>15</v>
      </c>
      <c r="I556">
        <v>0</v>
      </c>
      <c r="J556" t="s">
        <v>22</v>
      </c>
      <c r="K556" t="s">
        <v>32</v>
      </c>
      <c r="L556">
        <v>40</v>
      </c>
      <c r="M556" t="s">
        <v>15</v>
      </c>
    </row>
    <row r="557" spans="1:13" x14ac:dyDescent="0.25">
      <c r="A557">
        <v>17025</v>
      </c>
      <c r="B557" t="s">
        <v>35</v>
      </c>
      <c r="C557" t="s">
        <v>34</v>
      </c>
      <c r="D557" s="5">
        <v>50000</v>
      </c>
      <c r="E557">
        <v>0</v>
      </c>
      <c r="F557" t="s">
        <v>19</v>
      </c>
      <c r="G557" t="s">
        <v>14</v>
      </c>
      <c r="H557" t="s">
        <v>18</v>
      </c>
      <c r="I557">
        <v>1</v>
      </c>
      <c r="J557" t="s">
        <v>22</v>
      </c>
      <c r="K557" t="s">
        <v>32</v>
      </c>
      <c r="L557">
        <v>39</v>
      </c>
      <c r="M557" t="s">
        <v>15</v>
      </c>
    </row>
    <row r="558" spans="1:13" x14ac:dyDescent="0.25">
      <c r="A558">
        <v>25293</v>
      </c>
      <c r="B558" t="s">
        <v>34</v>
      </c>
      <c r="C558" t="s">
        <v>34</v>
      </c>
      <c r="D558" s="5">
        <v>80000</v>
      </c>
      <c r="E558">
        <v>4</v>
      </c>
      <c r="F558" t="s">
        <v>13</v>
      </c>
      <c r="G558" t="s">
        <v>28</v>
      </c>
      <c r="H558" t="s">
        <v>15</v>
      </c>
      <c r="I558">
        <v>0</v>
      </c>
      <c r="J558" t="s">
        <v>26</v>
      </c>
      <c r="K558" t="s">
        <v>32</v>
      </c>
      <c r="L558">
        <v>42</v>
      </c>
      <c r="M558" t="s">
        <v>18</v>
      </c>
    </row>
    <row r="559" spans="1:13" x14ac:dyDescent="0.25">
      <c r="A559">
        <v>24725</v>
      </c>
      <c r="B559" t="s">
        <v>34</v>
      </c>
      <c r="C559" t="s">
        <v>33</v>
      </c>
      <c r="D559" s="5">
        <v>40000</v>
      </c>
      <c r="E559">
        <v>3</v>
      </c>
      <c r="F559" t="s">
        <v>19</v>
      </c>
      <c r="G559" t="s">
        <v>20</v>
      </c>
      <c r="H559" t="s">
        <v>15</v>
      </c>
      <c r="I559">
        <v>0</v>
      </c>
      <c r="J559" t="s">
        <v>26</v>
      </c>
      <c r="K559" t="s">
        <v>32</v>
      </c>
      <c r="L559">
        <v>31</v>
      </c>
      <c r="M559" t="s">
        <v>18</v>
      </c>
    </row>
    <row r="560" spans="1:13" x14ac:dyDescent="0.25">
      <c r="A560">
        <v>23200</v>
      </c>
      <c r="B560" t="s">
        <v>34</v>
      </c>
      <c r="C560" t="s">
        <v>33</v>
      </c>
      <c r="D560" s="5">
        <v>50000</v>
      </c>
      <c r="E560">
        <v>3</v>
      </c>
      <c r="F560" t="s">
        <v>13</v>
      </c>
      <c r="G560" t="s">
        <v>14</v>
      </c>
      <c r="H560" t="s">
        <v>15</v>
      </c>
      <c r="I560">
        <v>2</v>
      </c>
      <c r="J560" t="s">
        <v>16</v>
      </c>
      <c r="K560" t="s">
        <v>32</v>
      </c>
      <c r="L560">
        <v>41</v>
      </c>
      <c r="M560" t="s">
        <v>18</v>
      </c>
    </row>
    <row r="561" spans="1:13" x14ac:dyDescent="0.25">
      <c r="A561">
        <v>15895</v>
      </c>
      <c r="B561" t="s">
        <v>35</v>
      </c>
      <c r="C561" t="s">
        <v>33</v>
      </c>
      <c r="D561" s="5">
        <v>60000</v>
      </c>
      <c r="E561">
        <v>2</v>
      </c>
      <c r="F561" t="s">
        <v>13</v>
      </c>
      <c r="G561" t="s">
        <v>28</v>
      </c>
      <c r="H561" t="s">
        <v>15</v>
      </c>
      <c r="I561">
        <v>0</v>
      </c>
      <c r="J561" t="s">
        <v>30</v>
      </c>
      <c r="K561" t="s">
        <v>32</v>
      </c>
      <c r="L561">
        <v>58</v>
      </c>
      <c r="M561" t="s">
        <v>18</v>
      </c>
    </row>
    <row r="562" spans="1:13" x14ac:dyDescent="0.25">
      <c r="A562">
        <v>18577</v>
      </c>
      <c r="B562" t="s">
        <v>34</v>
      </c>
      <c r="C562" t="s">
        <v>33</v>
      </c>
      <c r="D562" s="5">
        <v>60000</v>
      </c>
      <c r="E562">
        <v>0</v>
      </c>
      <c r="F562" t="s">
        <v>31</v>
      </c>
      <c r="G562" t="s">
        <v>21</v>
      </c>
      <c r="H562" t="s">
        <v>15</v>
      </c>
      <c r="I562">
        <v>0</v>
      </c>
      <c r="J562" t="s">
        <v>16</v>
      </c>
      <c r="K562" t="s">
        <v>32</v>
      </c>
      <c r="L562">
        <v>40</v>
      </c>
      <c r="M562" t="s">
        <v>18</v>
      </c>
    </row>
    <row r="563" spans="1:13" x14ac:dyDescent="0.25">
      <c r="A563">
        <v>27218</v>
      </c>
      <c r="B563" t="s">
        <v>34</v>
      </c>
      <c r="C563" t="s">
        <v>33</v>
      </c>
      <c r="D563" s="5">
        <v>20000</v>
      </c>
      <c r="E563">
        <v>2</v>
      </c>
      <c r="F563" t="s">
        <v>29</v>
      </c>
      <c r="G563" t="s">
        <v>20</v>
      </c>
      <c r="H563" t="s">
        <v>18</v>
      </c>
      <c r="I563">
        <v>0</v>
      </c>
      <c r="J563" t="s">
        <v>16</v>
      </c>
      <c r="K563" t="s">
        <v>32</v>
      </c>
      <c r="L563">
        <v>48</v>
      </c>
      <c r="M563" t="s">
        <v>18</v>
      </c>
    </row>
    <row r="564" spans="1:13" x14ac:dyDescent="0.25">
      <c r="A564">
        <v>18560</v>
      </c>
      <c r="B564" t="s">
        <v>34</v>
      </c>
      <c r="C564" t="s">
        <v>33</v>
      </c>
      <c r="D564" s="5">
        <v>70000</v>
      </c>
      <c r="E564">
        <v>2</v>
      </c>
      <c r="F564" t="s">
        <v>31</v>
      </c>
      <c r="G564" t="s">
        <v>21</v>
      </c>
      <c r="H564" t="s">
        <v>15</v>
      </c>
      <c r="I564">
        <v>0</v>
      </c>
      <c r="J564" t="s">
        <v>22</v>
      </c>
      <c r="K564" t="s">
        <v>32</v>
      </c>
      <c r="L564">
        <v>34</v>
      </c>
      <c r="M564" t="s">
        <v>15</v>
      </c>
    </row>
    <row r="565" spans="1:13" x14ac:dyDescent="0.25">
      <c r="A565">
        <v>25006</v>
      </c>
      <c r="B565" t="s">
        <v>35</v>
      </c>
      <c r="C565" t="s">
        <v>33</v>
      </c>
      <c r="D565" s="5">
        <v>30000</v>
      </c>
      <c r="E565">
        <v>0</v>
      </c>
      <c r="F565" t="s">
        <v>19</v>
      </c>
      <c r="G565" t="s">
        <v>14</v>
      </c>
      <c r="H565" t="s">
        <v>15</v>
      </c>
      <c r="I565">
        <v>1</v>
      </c>
      <c r="J565" t="s">
        <v>23</v>
      </c>
      <c r="K565" t="s">
        <v>32</v>
      </c>
      <c r="L565">
        <v>28</v>
      </c>
      <c r="M565" t="s">
        <v>18</v>
      </c>
    </row>
    <row r="566" spans="1:13" x14ac:dyDescent="0.25">
      <c r="A566">
        <v>17369</v>
      </c>
      <c r="B566" t="s">
        <v>35</v>
      </c>
      <c r="C566" t="s">
        <v>34</v>
      </c>
      <c r="D566" s="5">
        <v>30000</v>
      </c>
      <c r="E566">
        <v>0</v>
      </c>
      <c r="F566" t="s">
        <v>19</v>
      </c>
      <c r="G566" t="s">
        <v>14</v>
      </c>
      <c r="H566" t="s">
        <v>15</v>
      </c>
      <c r="I566">
        <v>1</v>
      </c>
      <c r="J566" t="s">
        <v>23</v>
      </c>
      <c r="K566" t="s">
        <v>32</v>
      </c>
      <c r="L566">
        <v>27</v>
      </c>
      <c r="M566" t="s">
        <v>18</v>
      </c>
    </row>
    <row r="567" spans="1:13" x14ac:dyDescent="0.25">
      <c r="A567">
        <v>14495</v>
      </c>
      <c r="B567" t="s">
        <v>34</v>
      </c>
      <c r="C567" t="s">
        <v>34</v>
      </c>
      <c r="D567" s="5">
        <v>40000</v>
      </c>
      <c r="E567">
        <v>3</v>
      </c>
      <c r="F567" t="s">
        <v>19</v>
      </c>
      <c r="G567" t="s">
        <v>21</v>
      </c>
      <c r="H567" t="s">
        <v>18</v>
      </c>
      <c r="I567">
        <v>2</v>
      </c>
      <c r="J567" t="s">
        <v>23</v>
      </c>
      <c r="K567" t="s">
        <v>32</v>
      </c>
      <c r="L567">
        <v>54</v>
      </c>
      <c r="M567" t="s">
        <v>15</v>
      </c>
    </row>
    <row r="568" spans="1:13" x14ac:dyDescent="0.25">
      <c r="A568">
        <v>18847</v>
      </c>
      <c r="B568" t="s">
        <v>34</v>
      </c>
      <c r="C568" t="s">
        <v>33</v>
      </c>
      <c r="D568" s="5">
        <v>60000</v>
      </c>
      <c r="E568">
        <v>2</v>
      </c>
      <c r="F568" t="s">
        <v>31</v>
      </c>
      <c r="G568" t="s">
        <v>28</v>
      </c>
      <c r="H568" t="s">
        <v>15</v>
      </c>
      <c r="I568">
        <v>2</v>
      </c>
      <c r="J568" t="s">
        <v>23</v>
      </c>
      <c r="K568" t="s">
        <v>32</v>
      </c>
      <c r="L568">
        <v>70</v>
      </c>
      <c r="M568" t="s">
        <v>18</v>
      </c>
    </row>
    <row r="569" spans="1:13" x14ac:dyDescent="0.25">
      <c r="A569">
        <v>14754</v>
      </c>
      <c r="B569" t="s">
        <v>34</v>
      </c>
      <c r="C569" t="s">
        <v>34</v>
      </c>
      <c r="D569" s="5">
        <v>40000</v>
      </c>
      <c r="E569">
        <v>1</v>
      </c>
      <c r="F569" t="s">
        <v>19</v>
      </c>
      <c r="G569" t="s">
        <v>20</v>
      </c>
      <c r="H569" t="s">
        <v>15</v>
      </c>
      <c r="I569">
        <v>1</v>
      </c>
      <c r="J569" t="s">
        <v>26</v>
      </c>
      <c r="K569" t="s">
        <v>32</v>
      </c>
      <c r="L569">
        <v>48</v>
      </c>
      <c r="M569" t="s">
        <v>15</v>
      </c>
    </row>
    <row r="570" spans="1:13" x14ac:dyDescent="0.25">
      <c r="A570">
        <v>23378</v>
      </c>
      <c r="B570" t="s">
        <v>34</v>
      </c>
      <c r="C570" t="s">
        <v>34</v>
      </c>
      <c r="D570" s="5">
        <v>70000</v>
      </c>
      <c r="E570">
        <v>1</v>
      </c>
      <c r="F570" t="s">
        <v>19</v>
      </c>
      <c r="G570" t="s">
        <v>14</v>
      </c>
      <c r="H570" t="s">
        <v>15</v>
      </c>
      <c r="I570">
        <v>1</v>
      </c>
      <c r="J570" t="s">
        <v>22</v>
      </c>
      <c r="K570" t="s">
        <v>32</v>
      </c>
      <c r="L570">
        <v>44</v>
      </c>
      <c r="M570" t="s">
        <v>15</v>
      </c>
    </row>
    <row r="571" spans="1:13" x14ac:dyDescent="0.25">
      <c r="A571">
        <v>26452</v>
      </c>
      <c r="B571" t="s">
        <v>35</v>
      </c>
      <c r="C571" t="s">
        <v>34</v>
      </c>
      <c r="D571" s="5">
        <v>50000</v>
      </c>
      <c r="E571">
        <v>3</v>
      </c>
      <c r="F571" t="s">
        <v>31</v>
      </c>
      <c r="G571" t="s">
        <v>28</v>
      </c>
      <c r="H571" t="s">
        <v>15</v>
      </c>
      <c r="I571">
        <v>2</v>
      </c>
      <c r="J571" t="s">
        <v>30</v>
      </c>
      <c r="K571" t="s">
        <v>32</v>
      </c>
      <c r="L571">
        <v>69</v>
      </c>
      <c r="M571" t="s">
        <v>18</v>
      </c>
    </row>
    <row r="572" spans="1:13" x14ac:dyDescent="0.25">
      <c r="A572">
        <v>20370</v>
      </c>
      <c r="B572" t="s">
        <v>34</v>
      </c>
      <c r="C572" t="s">
        <v>34</v>
      </c>
      <c r="D572" s="5">
        <v>70000</v>
      </c>
      <c r="E572">
        <v>3</v>
      </c>
      <c r="F572" t="s">
        <v>29</v>
      </c>
      <c r="G572" t="s">
        <v>14</v>
      </c>
      <c r="H572" t="s">
        <v>15</v>
      </c>
      <c r="I572">
        <v>2</v>
      </c>
      <c r="J572" t="s">
        <v>23</v>
      </c>
      <c r="K572" t="s">
        <v>32</v>
      </c>
      <c r="L572">
        <v>52</v>
      </c>
      <c r="M572" t="s">
        <v>18</v>
      </c>
    </row>
    <row r="573" spans="1:13" x14ac:dyDescent="0.25">
      <c r="A573">
        <v>20528</v>
      </c>
      <c r="B573" t="s">
        <v>34</v>
      </c>
      <c r="C573" t="s">
        <v>34</v>
      </c>
      <c r="D573" s="5">
        <v>40000</v>
      </c>
      <c r="E573">
        <v>2</v>
      </c>
      <c r="F573" t="s">
        <v>29</v>
      </c>
      <c r="G573" t="s">
        <v>14</v>
      </c>
      <c r="H573" t="s">
        <v>15</v>
      </c>
      <c r="I573">
        <v>2</v>
      </c>
      <c r="J573" t="s">
        <v>22</v>
      </c>
      <c r="K573" t="s">
        <v>32</v>
      </c>
      <c r="L573">
        <v>55</v>
      </c>
      <c r="M573" t="s">
        <v>18</v>
      </c>
    </row>
    <row r="574" spans="1:13" x14ac:dyDescent="0.25">
      <c r="A574">
        <v>23549</v>
      </c>
      <c r="B574" t="s">
        <v>35</v>
      </c>
      <c r="C574" t="s">
        <v>34</v>
      </c>
      <c r="D574" s="5">
        <v>30000</v>
      </c>
      <c r="E574">
        <v>0</v>
      </c>
      <c r="F574" t="s">
        <v>27</v>
      </c>
      <c r="G574" t="s">
        <v>14</v>
      </c>
      <c r="H574" t="s">
        <v>15</v>
      </c>
      <c r="I574">
        <v>2</v>
      </c>
      <c r="J574" t="s">
        <v>23</v>
      </c>
      <c r="K574" t="s">
        <v>32</v>
      </c>
      <c r="L574">
        <v>30</v>
      </c>
      <c r="M574" t="s">
        <v>18</v>
      </c>
    </row>
    <row r="575" spans="1:13" x14ac:dyDescent="0.25">
      <c r="A575">
        <v>21751</v>
      </c>
      <c r="B575" t="s">
        <v>34</v>
      </c>
      <c r="C575" t="s">
        <v>34</v>
      </c>
      <c r="D575" s="5">
        <v>60000</v>
      </c>
      <c r="E575">
        <v>3</v>
      </c>
      <c r="F575" t="s">
        <v>31</v>
      </c>
      <c r="G575" t="s">
        <v>28</v>
      </c>
      <c r="H575" t="s">
        <v>15</v>
      </c>
      <c r="I575">
        <v>2</v>
      </c>
      <c r="J575" t="s">
        <v>26</v>
      </c>
      <c r="K575" t="s">
        <v>32</v>
      </c>
      <c r="L575">
        <v>63</v>
      </c>
      <c r="M575" t="s">
        <v>18</v>
      </c>
    </row>
    <row r="576" spans="1:13" x14ac:dyDescent="0.25">
      <c r="A576">
        <v>21266</v>
      </c>
      <c r="B576" t="s">
        <v>35</v>
      </c>
      <c r="C576" t="s">
        <v>33</v>
      </c>
      <c r="D576" s="5">
        <v>80000</v>
      </c>
      <c r="E576">
        <v>0</v>
      </c>
      <c r="F576" t="s">
        <v>13</v>
      </c>
      <c r="G576" t="s">
        <v>28</v>
      </c>
      <c r="H576" t="s">
        <v>15</v>
      </c>
      <c r="I576">
        <v>1</v>
      </c>
      <c r="J576" t="s">
        <v>26</v>
      </c>
      <c r="K576" t="s">
        <v>32</v>
      </c>
      <c r="L576">
        <v>34</v>
      </c>
      <c r="M576" t="s">
        <v>15</v>
      </c>
    </row>
    <row r="577" spans="1:13" x14ac:dyDescent="0.25">
      <c r="A577">
        <v>13388</v>
      </c>
      <c r="B577" t="s">
        <v>35</v>
      </c>
      <c r="C577" t="s">
        <v>34</v>
      </c>
      <c r="D577" s="5">
        <v>60000</v>
      </c>
      <c r="E577">
        <v>2</v>
      </c>
      <c r="F577" t="s">
        <v>19</v>
      </c>
      <c r="G577" t="s">
        <v>21</v>
      </c>
      <c r="H577" t="s">
        <v>15</v>
      </c>
      <c r="I577">
        <v>1</v>
      </c>
      <c r="J577" t="s">
        <v>30</v>
      </c>
      <c r="K577" t="s">
        <v>32</v>
      </c>
      <c r="L577">
        <v>56</v>
      </c>
      <c r="M577" t="s">
        <v>18</v>
      </c>
    </row>
    <row r="578" spans="1:13" x14ac:dyDescent="0.25">
      <c r="A578">
        <v>18752</v>
      </c>
      <c r="B578" t="s">
        <v>35</v>
      </c>
      <c r="C578" t="s">
        <v>33</v>
      </c>
      <c r="D578" s="5">
        <v>40000</v>
      </c>
      <c r="E578">
        <v>0</v>
      </c>
      <c r="F578" t="s">
        <v>27</v>
      </c>
      <c r="G578" t="s">
        <v>14</v>
      </c>
      <c r="H578" t="s">
        <v>15</v>
      </c>
      <c r="I578">
        <v>1</v>
      </c>
      <c r="J578" t="s">
        <v>23</v>
      </c>
      <c r="K578" t="s">
        <v>32</v>
      </c>
      <c r="L578">
        <v>31</v>
      </c>
      <c r="M578" t="s">
        <v>18</v>
      </c>
    </row>
    <row r="579" spans="1:13" x14ac:dyDescent="0.25">
      <c r="A579">
        <v>16917</v>
      </c>
      <c r="B579" t="s">
        <v>34</v>
      </c>
      <c r="C579" t="s">
        <v>34</v>
      </c>
      <c r="D579" s="5">
        <v>120000</v>
      </c>
      <c r="E579">
        <v>1</v>
      </c>
      <c r="F579" t="s">
        <v>13</v>
      </c>
      <c r="G579" t="s">
        <v>28</v>
      </c>
      <c r="H579" t="s">
        <v>15</v>
      </c>
      <c r="I579">
        <v>4</v>
      </c>
      <c r="J579" t="s">
        <v>16</v>
      </c>
      <c r="K579" t="s">
        <v>32</v>
      </c>
      <c r="L579">
        <v>38</v>
      </c>
      <c r="M579" t="s">
        <v>18</v>
      </c>
    </row>
    <row r="580" spans="1:13" x14ac:dyDescent="0.25">
      <c r="A580">
        <v>15313</v>
      </c>
      <c r="B580" t="s">
        <v>34</v>
      </c>
      <c r="C580" t="s">
        <v>34</v>
      </c>
      <c r="D580" s="5">
        <v>60000</v>
      </c>
      <c r="E580">
        <v>4</v>
      </c>
      <c r="F580" t="s">
        <v>13</v>
      </c>
      <c r="G580" t="s">
        <v>28</v>
      </c>
      <c r="H580" t="s">
        <v>15</v>
      </c>
      <c r="I580">
        <v>2</v>
      </c>
      <c r="J580" t="s">
        <v>22</v>
      </c>
      <c r="K580" t="s">
        <v>32</v>
      </c>
      <c r="L580">
        <v>59</v>
      </c>
      <c r="M580" t="s">
        <v>18</v>
      </c>
    </row>
    <row r="581" spans="1:13" x14ac:dyDescent="0.25">
      <c r="A581">
        <v>25329</v>
      </c>
      <c r="B581" t="s">
        <v>35</v>
      </c>
      <c r="C581" t="s">
        <v>33</v>
      </c>
      <c r="D581" s="5">
        <v>40000</v>
      </c>
      <c r="E581">
        <v>3</v>
      </c>
      <c r="F581" t="s">
        <v>19</v>
      </c>
      <c r="G581" t="s">
        <v>20</v>
      </c>
      <c r="H581" t="s">
        <v>18</v>
      </c>
      <c r="I581">
        <v>2</v>
      </c>
      <c r="J581" t="s">
        <v>16</v>
      </c>
      <c r="K581" t="s">
        <v>32</v>
      </c>
      <c r="L581">
        <v>32</v>
      </c>
      <c r="M581" t="s">
        <v>18</v>
      </c>
    </row>
    <row r="582" spans="1:13" x14ac:dyDescent="0.25">
      <c r="A582">
        <v>20380</v>
      </c>
      <c r="B582" t="s">
        <v>34</v>
      </c>
      <c r="C582" t="s">
        <v>33</v>
      </c>
      <c r="D582" s="5">
        <v>60000</v>
      </c>
      <c r="E582">
        <v>3</v>
      </c>
      <c r="F582" t="s">
        <v>31</v>
      </c>
      <c r="G582" t="s">
        <v>28</v>
      </c>
      <c r="H582" t="s">
        <v>15</v>
      </c>
      <c r="I582">
        <v>2</v>
      </c>
      <c r="J582" t="s">
        <v>30</v>
      </c>
      <c r="K582" t="s">
        <v>32</v>
      </c>
      <c r="L582">
        <v>69</v>
      </c>
      <c r="M582" t="s">
        <v>18</v>
      </c>
    </row>
    <row r="583" spans="1:13" x14ac:dyDescent="0.25">
      <c r="A583">
        <v>23089</v>
      </c>
      <c r="B583" t="s">
        <v>34</v>
      </c>
      <c r="C583" t="s">
        <v>34</v>
      </c>
      <c r="D583" s="5">
        <v>40000</v>
      </c>
      <c r="E583">
        <v>0</v>
      </c>
      <c r="F583" t="s">
        <v>19</v>
      </c>
      <c r="G583" t="s">
        <v>14</v>
      </c>
      <c r="H583" t="s">
        <v>15</v>
      </c>
      <c r="I583">
        <v>1</v>
      </c>
      <c r="J583" t="s">
        <v>23</v>
      </c>
      <c r="K583" t="s">
        <v>32</v>
      </c>
      <c r="L583">
        <v>28</v>
      </c>
      <c r="M583" t="s">
        <v>18</v>
      </c>
    </row>
    <row r="584" spans="1:13" x14ac:dyDescent="0.25">
      <c r="A584">
        <v>13749</v>
      </c>
      <c r="B584" t="s">
        <v>34</v>
      </c>
      <c r="C584" t="s">
        <v>34</v>
      </c>
      <c r="D584" s="5">
        <v>80000</v>
      </c>
      <c r="E584">
        <v>4</v>
      </c>
      <c r="F584" t="s">
        <v>31</v>
      </c>
      <c r="G584" t="s">
        <v>14</v>
      </c>
      <c r="H584" t="s">
        <v>15</v>
      </c>
      <c r="I584">
        <v>0</v>
      </c>
      <c r="J584" t="s">
        <v>26</v>
      </c>
      <c r="K584" t="s">
        <v>32</v>
      </c>
      <c r="L584">
        <v>47</v>
      </c>
      <c r="M584" t="s">
        <v>18</v>
      </c>
    </row>
    <row r="585" spans="1:13" x14ac:dyDescent="0.25">
      <c r="A585">
        <v>24943</v>
      </c>
      <c r="B585" t="s">
        <v>34</v>
      </c>
      <c r="C585" t="s">
        <v>34</v>
      </c>
      <c r="D585" s="5">
        <v>60000</v>
      </c>
      <c r="E585">
        <v>3</v>
      </c>
      <c r="F585" t="s">
        <v>13</v>
      </c>
      <c r="G585" t="s">
        <v>28</v>
      </c>
      <c r="H585" t="s">
        <v>15</v>
      </c>
      <c r="I585">
        <v>2</v>
      </c>
      <c r="J585" t="s">
        <v>30</v>
      </c>
      <c r="K585" t="s">
        <v>32</v>
      </c>
      <c r="L585">
        <v>66</v>
      </c>
      <c r="M585" t="s">
        <v>18</v>
      </c>
    </row>
    <row r="586" spans="1:13" x14ac:dyDescent="0.25">
      <c r="A586">
        <v>28667</v>
      </c>
      <c r="B586" t="s">
        <v>35</v>
      </c>
      <c r="C586" t="s">
        <v>34</v>
      </c>
      <c r="D586" s="5">
        <v>70000</v>
      </c>
      <c r="E586">
        <v>2</v>
      </c>
      <c r="F586" t="s">
        <v>13</v>
      </c>
      <c r="G586" t="s">
        <v>14</v>
      </c>
      <c r="H586" t="s">
        <v>18</v>
      </c>
      <c r="I586">
        <v>1</v>
      </c>
      <c r="J586" t="s">
        <v>16</v>
      </c>
      <c r="K586" t="s">
        <v>32</v>
      </c>
      <c r="L586">
        <v>37</v>
      </c>
      <c r="M586" t="s">
        <v>15</v>
      </c>
    </row>
    <row r="587" spans="1:13" x14ac:dyDescent="0.25">
      <c r="A587">
        <v>15194</v>
      </c>
      <c r="B587" t="s">
        <v>35</v>
      </c>
      <c r="C587" t="s">
        <v>34</v>
      </c>
      <c r="D587" s="5">
        <v>120000</v>
      </c>
      <c r="E587">
        <v>2</v>
      </c>
      <c r="F587" t="s">
        <v>13</v>
      </c>
      <c r="G587" t="s">
        <v>28</v>
      </c>
      <c r="H587" t="s">
        <v>18</v>
      </c>
      <c r="I587">
        <v>3</v>
      </c>
      <c r="J587" t="s">
        <v>16</v>
      </c>
      <c r="K587" t="s">
        <v>32</v>
      </c>
      <c r="L587">
        <v>39</v>
      </c>
      <c r="M587" t="s">
        <v>15</v>
      </c>
    </row>
    <row r="588" spans="1:13" x14ac:dyDescent="0.25">
      <c r="A588">
        <v>17436</v>
      </c>
      <c r="B588" t="s">
        <v>34</v>
      </c>
      <c r="C588" t="s">
        <v>34</v>
      </c>
      <c r="D588" s="5">
        <v>60000</v>
      </c>
      <c r="E588">
        <v>2</v>
      </c>
      <c r="F588" t="s">
        <v>27</v>
      </c>
      <c r="G588" t="s">
        <v>21</v>
      </c>
      <c r="H588" t="s">
        <v>18</v>
      </c>
      <c r="I588">
        <v>2</v>
      </c>
      <c r="J588" t="s">
        <v>26</v>
      </c>
      <c r="K588" t="s">
        <v>32</v>
      </c>
      <c r="L588">
        <v>51</v>
      </c>
      <c r="M588" t="s">
        <v>18</v>
      </c>
    </row>
    <row r="589" spans="1:13" x14ac:dyDescent="0.25">
      <c r="A589">
        <v>18935</v>
      </c>
      <c r="B589" t="s">
        <v>34</v>
      </c>
      <c r="C589" t="s">
        <v>33</v>
      </c>
      <c r="D589" s="5">
        <v>130000</v>
      </c>
      <c r="E589">
        <v>0</v>
      </c>
      <c r="F589" t="s">
        <v>31</v>
      </c>
      <c r="G589" t="s">
        <v>28</v>
      </c>
      <c r="H589" t="s">
        <v>15</v>
      </c>
      <c r="I589">
        <v>3</v>
      </c>
      <c r="J589" t="s">
        <v>26</v>
      </c>
      <c r="K589" t="s">
        <v>32</v>
      </c>
      <c r="L589">
        <v>40</v>
      </c>
      <c r="M589" t="s">
        <v>18</v>
      </c>
    </row>
    <row r="590" spans="1:13" x14ac:dyDescent="0.25">
      <c r="A590">
        <v>16871</v>
      </c>
      <c r="B590" t="s">
        <v>34</v>
      </c>
      <c r="C590" t="s">
        <v>33</v>
      </c>
      <c r="D590" s="5">
        <v>90000</v>
      </c>
      <c r="E590">
        <v>2</v>
      </c>
      <c r="F590" t="s">
        <v>27</v>
      </c>
      <c r="G590" t="s">
        <v>21</v>
      </c>
      <c r="H590" t="s">
        <v>15</v>
      </c>
      <c r="I590">
        <v>1</v>
      </c>
      <c r="J590" t="s">
        <v>30</v>
      </c>
      <c r="K590" t="s">
        <v>32</v>
      </c>
      <c r="L590">
        <v>51</v>
      </c>
      <c r="M590" t="s">
        <v>15</v>
      </c>
    </row>
    <row r="591" spans="1:13" x14ac:dyDescent="0.25">
      <c r="A591">
        <v>12100</v>
      </c>
      <c r="B591" t="s">
        <v>35</v>
      </c>
      <c r="C591" t="s">
        <v>34</v>
      </c>
      <c r="D591" s="5">
        <v>60000</v>
      </c>
      <c r="E591">
        <v>2</v>
      </c>
      <c r="F591" t="s">
        <v>13</v>
      </c>
      <c r="G591" t="s">
        <v>28</v>
      </c>
      <c r="H591" t="s">
        <v>15</v>
      </c>
      <c r="I591">
        <v>0</v>
      </c>
      <c r="J591" t="s">
        <v>30</v>
      </c>
      <c r="K591" t="s">
        <v>32</v>
      </c>
      <c r="L591">
        <v>57</v>
      </c>
      <c r="M591" t="s">
        <v>18</v>
      </c>
    </row>
    <row r="592" spans="1:13" x14ac:dyDescent="0.25">
      <c r="A592">
        <v>23158</v>
      </c>
      <c r="B592" t="s">
        <v>34</v>
      </c>
      <c r="C592" t="s">
        <v>33</v>
      </c>
      <c r="D592" s="5">
        <v>60000</v>
      </c>
      <c r="E592">
        <v>1</v>
      </c>
      <c r="F592" t="s">
        <v>31</v>
      </c>
      <c r="G592" t="s">
        <v>21</v>
      </c>
      <c r="H592" t="s">
        <v>18</v>
      </c>
      <c r="I592">
        <v>0</v>
      </c>
      <c r="J592" t="s">
        <v>16</v>
      </c>
      <c r="K592" t="s">
        <v>32</v>
      </c>
      <c r="L592">
        <v>35</v>
      </c>
      <c r="M592" t="s">
        <v>15</v>
      </c>
    </row>
    <row r="593" spans="1:13" x14ac:dyDescent="0.25">
      <c r="A593">
        <v>18545</v>
      </c>
      <c r="B593" t="s">
        <v>34</v>
      </c>
      <c r="C593" t="s">
        <v>34</v>
      </c>
      <c r="D593" s="5">
        <v>40000</v>
      </c>
      <c r="E593">
        <v>4</v>
      </c>
      <c r="F593" t="s">
        <v>27</v>
      </c>
      <c r="G593" t="s">
        <v>21</v>
      </c>
      <c r="H593" t="s">
        <v>18</v>
      </c>
      <c r="I593">
        <v>2</v>
      </c>
      <c r="J593" t="s">
        <v>30</v>
      </c>
      <c r="K593" t="s">
        <v>32</v>
      </c>
      <c r="L593">
        <v>61</v>
      </c>
      <c r="M593" t="s">
        <v>15</v>
      </c>
    </row>
    <row r="594" spans="1:13" x14ac:dyDescent="0.25">
      <c r="A594">
        <v>18391</v>
      </c>
      <c r="B594" t="s">
        <v>35</v>
      </c>
      <c r="C594" t="s">
        <v>33</v>
      </c>
      <c r="D594" s="5">
        <v>80000</v>
      </c>
      <c r="E594">
        <v>5</v>
      </c>
      <c r="F594" t="s">
        <v>19</v>
      </c>
      <c r="G594" t="s">
        <v>21</v>
      </c>
      <c r="H594" t="s">
        <v>15</v>
      </c>
      <c r="I594">
        <v>2</v>
      </c>
      <c r="J594" t="s">
        <v>23</v>
      </c>
      <c r="K594" t="s">
        <v>32</v>
      </c>
      <c r="L594">
        <v>44</v>
      </c>
      <c r="M594" t="s">
        <v>18</v>
      </c>
    </row>
    <row r="595" spans="1:13" x14ac:dyDescent="0.25">
      <c r="A595">
        <v>19812</v>
      </c>
      <c r="B595" t="s">
        <v>35</v>
      </c>
      <c r="C595" t="s">
        <v>33</v>
      </c>
      <c r="D595" s="5">
        <v>70000</v>
      </c>
      <c r="E595">
        <v>2</v>
      </c>
      <c r="F595" t="s">
        <v>19</v>
      </c>
      <c r="G595" t="s">
        <v>21</v>
      </c>
      <c r="H595" t="s">
        <v>15</v>
      </c>
      <c r="I595">
        <v>0</v>
      </c>
      <c r="J595" t="s">
        <v>23</v>
      </c>
      <c r="K595" t="s">
        <v>32</v>
      </c>
      <c r="L595">
        <v>49</v>
      </c>
      <c r="M595" t="s">
        <v>15</v>
      </c>
    </row>
    <row r="596" spans="1:13" x14ac:dyDescent="0.25">
      <c r="A596">
        <v>27660</v>
      </c>
      <c r="B596" t="s">
        <v>34</v>
      </c>
      <c r="C596" t="s">
        <v>34</v>
      </c>
      <c r="D596" s="5">
        <v>80000</v>
      </c>
      <c r="E596">
        <v>4</v>
      </c>
      <c r="F596" t="s">
        <v>31</v>
      </c>
      <c r="G596" t="s">
        <v>28</v>
      </c>
      <c r="H596" t="s">
        <v>15</v>
      </c>
      <c r="I596">
        <v>2</v>
      </c>
      <c r="J596" t="s">
        <v>23</v>
      </c>
      <c r="K596" t="s">
        <v>32</v>
      </c>
      <c r="L596">
        <v>70</v>
      </c>
      <c r="M596" t="s">
        <v>18</v>
      </c>
    </row>
    <row r="597" spans="1:13" x14ac:dyDescent="0.25">
      <c r="A597">
        <v>18058</v>
      </c>
      <c r="B597" t="s">
        <v>35</v>
      </c>
      <c r="C597" t="s">
        <v>33</v>
      </c>
      <c r="D597" s="5">
        <v>20000</v>
      </c>
      <c r="E597">
        <v>3</v>
      </c>
      <c r="F597" t="s">
        <v>27</v>
      </c>
      <c r="G597" t="s">
        <v>14</v>
      </c>
      <c r="H597" t="s">
        <v>15</v>
      </c>
      <c r="I597">
        <v>2</v>
      </c>
      <c r="J597" t="s">
        <v>22</v>
      </c>
      <c r="K597" t="s">
        <v>32</v>
      </c>
      <c r="L597">
        <v>78</v>
      </c>
      <c r="M597" t="s">
        <v>18</v>
      </c>
    </row>
    <row r="598" spans="1:13" x14ac:dyDescent="0.25">
      <c r="A598">
        <v>20343</v>
      </c>
      <c r="B598" t="s">
        <v>34</v>
      </c>
      <c r="C598" t="s">
        <v>33</v>
      </c>
      <c r="D598" s="5">
        <v>90000</v>
      </c>
      <c r="E598">
        <v>4</v>
      </c>
      <c r="F598" t="s">
        <v>19</v>
      </c>
      <c r="G598" t="s">
        <v>21</v>
      </c>
      <c r="H598" t="s">
        <v>15</v>
      </c>
      <c r="I598">
        <v>1</v>
      </c>
      <c r="J598" t="s">
        <v>26</v>
      </c>
      <c r="K598" t="s">
        <v>32</v>
      </c>
      <c r="L598">
        <v>45</v>
      </c>
      <c r="M598" t="s">
        <v>18</v>
      </c>
    </row>
    <row r="599" spans="1:13" x14ac:dyDescent="0.25">
      <c r="A599">
        <v>28997</v>
      </c>
      <c r="B599" t="s">
        <v>35</v>
      </c>
      <c r="C599" t="s">
        <v>34</v>
      </c>
      <c r="D599" s="5">
        <v>40000</v>
      </c>
      <c r="E599">
        <v>2</v>
      </c>
      <c r="F599" t="s">
        <v>27</v>
      </c>
      <c r="G599" t="s">
        <v>21</v>
      </c>
      <c r="H599" t="s">
        <v>18</v>
      </c>
      <c r="I599">
        <v>1</v>
      </c>
      <c r="J599" t="s">
        <v>22</v>
      </c>
      <c r="K599" t="s">
        <v>32</v>
      </c>
      <c r="L599">
        <v>58</v>
      </c>
      <c r="M599" t="s">
        <v>15</v>
      </c>
    </row>
    <row r="600" spans="1:13" x14ac:dyDescent="0.25">
      <c r="A600">
        <v>24398</v>
      </c>
      <c r="B600" t="s">
        <v>34</v>
      </c>
      <c r="C600" t="s">
        <v>34</v>
      </c>
      <c r="D600" s="5">
        <v>130000</v>
      </c>
      <c r="E600">
        <v>1</v>
      </c>
      <c r="F600" t="s">
        <v>31</v>
      </c>
      <c r="G600" t="s">
        <v>28</v>
      </c>
      <c r="H600" t="s">
        <v>15</v>
      </c>
      <c r="I600">
        <v>4</v>
      </c>
      <c r="J600" t="s">
        <v>16</v>
      </c>
      <c r="K600" t="s">
        <v>32</v>
      </c>
      <c r="L600">
        <v>41</v>
      </c>
      <c r="M600" t="s">
        <v>18</v>
      </c>
    </row>
    <row r="601" spans="1:13" x14ac:dyDescent="0.25">
      <c r="A601">
        <v>19002</v>
      </c>
      <c r="B601" t="s">
        <v>34</v>
      </c>
      <c r="C601" t="s">
        <v>33</v>
      </c>
      <c r="D601" s="5">
        <v>60000</v>
      </c>
      <c r="E601">
        <v>2</v>
      </c>
      <c r="F601" t="s">
        <v>19</v>
      </c>
      <c r="G601" t="s">
        <v>21</v>
      </c>
      <c r="H601" t="s">
        <v>15</v>
      </c>
      <c r="I601">
        <v>1</v>
      </c>
      <c r="J601" t="s">
        <v>22</v>
      </c>
      <c r="K601" t="s">
        <v>32</v>
      </c>
      <c r="L601">
        <v>57</v>
      </c>
      <c r="M601" t="s">
        <v>15</v>
      </c>
    </row>
    <row r="602" spans="1:13" x14ac:dyDescent="0.25">
      <c r="A602">
        <v>28609</v>
      </c>
      <c r="B602" t="s">
        <v>34</v>
      </c>
      <c r="C602" t="s">
        <v>34</v>
      </c>
      <c r="D602" s="5">
        <v>30000</v>
      </c>
      <c r="E602">
        <v>2</v>
      </c>
      <c r="F602" t="s">
        <v>27</v>
      </c>
      <c r="G602" t="s">
        <v>14</v>
      </c>
      <c r="H602" t="s">
        <v>18</v>
      </c>
      <c r="I602">
        <v>2</v>
      </c>
      <c r="J602" t="s">
        <v>16</v>
      </c>
      <c r="K602" t="s">
        <v>32</v>
      </c>
      <c r="L602">
        <v>49</v>
      </c>
      <c r="M602" t="s">
        <v>18</v>
      </c>
    </row>
    <row r="603" spans="1:13" x14ac:dyDescent="0.25">
      <c r="A603">
        <v>29231</v>
      </c>
      <c r="B603" t="s">
        <v>35</v>
      </c>
      <c r="C603" t="s">
        <v>34</v>
      </c>
      <c r="D603" s="5">
        <v>80000</v>
      </c>
      <c r="E603">
        <v>4</v>
      </c>
      <c r="F603" t="s">
        <v>19</v>
      </c>
      <c r="G603" t="s">
        <v>21</v>
      </c>
      <c r="H603" t="s">
        <v>18</v>
      </c>
      <c r="I603">
        <v>2</v>
      </c>
      <c r="J603" t="s">
        <v>16</v>
      </c>
      <c r="K603" t="s">
        <v>32</v>
      </c>
      <c r="L603">
        <v>43</v>
      </c>
      <c r="M603" t="s">
        <v>18</v>
      </c>
    </row>
    <row r="604" spans="1:13" x14ac:dyDescent="0.25">
      <c r="A604">
        <v>18858</v>
      </c>
      <c r="B604" t="s">
        <v>35</v>
      </c>
      <c r="C604" t="s">
        <v>34</v>
      </c>
      <c r="D604" s="5">
        <v>60000</v>
      </c>
      <c r="E604">
        <v>2</v>
      </c>
      <c r="F604" t="s">
        <v>29</v>
      </c>
      <c r="G604" t="s">
        <v>14</v>
      </c>
      <c r="H604" t="s">
        <v>15</v>
      </c>
      <c r="I604">
        <v>2</v>
      </c>
      <c r="J604" t="s">
        <v>23</v>
      </c>
      <c r="K604" t="s">
        <v>32</v>
      </c>
      <c r="L604">
        <v>52</v>
      </c>
      <c r="M604" t="s">
        <v>15</v>
      </c>
    </row>
    <row r="605" spans="1:13" x14ac:dyDescent="0.25">
      <c r="A605">
        <v>20000</v>
      </c>
      <c r="B605" t="s">
        <v>34</v>
      </c>
      <c r="C605" t="s">
        <v>34</v>
      </c>
      <c r="D605" s="5">
        <v>60000</v>
      </c>
      <c r="E605">
        <v>1</v>
      </c>
      <c r="F605" t="s">
        <v>31</v>
      </c>
      <c r="G605" t="s">
        <v>21</v>
      </c>
      <c r="H605" t="s">
        <v>15</v>
      </c>
      <c r="I605">
        <v>0</v>
      </c>
      <c r="J605" t="s">
        <v>16</v>
      </c>
      <c r="K605" t="s">
        <v>32</v>
      </c>
      <c r="L605">
        <v>35</v>
      </c>
      <c r="M605" t="s">
        <v>15</v>
      </c>
    </row>
    <row r="606" spans="1:13" x14ac:dyDescent="0.25">
      <c r="A606">
        <v>25261</v>
      </c>
      <c r="B606" t="s">
        <v>34</v>
      </c>
      <c r="C606" t="s">
        <v>34</v>
      </c>
      <c r="D606" s="5">
        <v>40000</v>
      </c>
      <c r="E606">
        <v>0</v>
      </c>
      <c r="F606" t="s">
        <v>27</v>
      </c>
      <c r="G606" t="s">
        <v>14</v>
      </c>
      <c r="H606" t="s">
        <v>15</v>
      </c>
      <c r="I606">
        <v>2</v>
      </c>
      <c r="J606" t="s">
        <v>23</v>
      </c>
      <c r="K606" t="s">
        <v>32</v>
      </c>
      <c r="L606">
        <v>27</v>
      </c>
      <c r="M606" t="s">
        <v>18</v>
      </c>
    </row>
    <row r="607" spans="1:13" x14ac:dyDescent="0.25">
      <c r="A607">
        <v>17458</v>
      </c>
      <c r="B607" t="s">
        <v>35</v>
      </c>
      <c r="C607" t="s">
        <v>34</v>
      </c>
      <c r="D607" s="5">
        <v>70000</v>
      </c>
      <c r="E607">
        <v>3</v>
      </c>
      <c r="F607" t="s">
        <v>27</v>
      </c>
      <c r="G607" t="s">
        <v>21</v>
      </c>
      <c r="H607" t="s">
        <v>15</v>
      </c>
      <c r="I607">
        <v>0</v>
      </c>
      <c r="J607" t="s">
        <v>23</v>
      </c>
      <c r="K607" t="s">
        <v>32</v>
      </c>
      <c r="L607">
        <v>52</v>
      </c>
      <c r="M607" t="s">
        <v>15</v>
      </c>
    </row>
    <row r="608" spans="1:13" x14ac:dyDescent="0.25">
      <c r="A608">
        <v>11644</v>
      </c>
      <c r="B608" t="s">
        <v>35</v>
      </c>
      <c r="C608" t="s">
        <v>34</v>
      </c>
      <c r="D608" s="5">
        <v>40000</v>
      </c>
      <c r="E608">
        <v>2</v>
      </c>
      <c r="F608" t="s">
        <v>13</v>
      </c>
      <c r="G608" t="s">
        <v>14</v>
      </c>
      <c r="H608" t="s">
        <v>15</v>
      </c>
      <c r="I608">
        <v>0</v>
      </c>
      <c r="J608" t="s">
        <v>22</v>
      </c>
      <c r="K608" t="s">
        <v>32</v>
      </c>
      <c r="L608">
        <v>36</v>
      </c>
      <c r="M608" t="s">
        <v>18</v>
      </c>
    </row>
    <row r="609" spans="1:13" x14ac:dyDescent="0.25">
      <c r="A609">
        <v>16145</v>
      </c>
      <c r="B609" t="s">
        <v>35</v>
      </c>
      <c r="C609" t="s">
        <v>33</v>
      </c>
      <c r="D609" s="5">
        <v>70000</v>
      </c>
      <c r="E609">
        <v>5</v>
      </c>
      <c r="F609" t="s">
        <v>31</v>
      </c>
      <c r="G609" t="s">
        <v>21</v>
      </c>
      <c r="H609" t="s">
        <v>15</v>
      </c>
      <c r="I609">
        <v>3</v>
      </c>
      <c r="J609" t="s">
        <v>30</v>
      </c>
      <c r="K609" t="s">
        <v>32</v>
      </c>
      <c r="L609">
        <v>46</v>
      </c>
      <c r="M609" t="s">
        <v>15</v>
      </c>
    </row>
    <row r="610" spans="1:13" x14ac:dyDescent="0.25">
      <c r="A610">
        <v>16890</v>
      </c>
      <c r="B610" t="s">
        <v>34</v>
      </c>
      <c r="C610" t="s">
        <v>34</v>
      </c>
      <c r="D610" s="5">
        <v>60000</v>
      </c>
      <c r="E610">
        <v>3</v>
      </c>
      <c r="F610" t="s">
        <v>29</v>
      </c>
      <c r="G610" t="s">
        <v>14</v>
      </c>
      <c r="H610" t="s">
        <v>15</v>
      </c>
      <c r="I610">
        <v>2</v>
      </c>
      <c r="J610" t="s">
        <v>23</v>
      </c>
      <c r="K610" t="s">
        <v>32</v>
      </c>
      <c r="L610">
        <v>52</v>
      </c>
      <c r="M610" t="s">
        <v>15</v>
      </c>
    </row>
    <row r="611" spans="1:13" x14ac:dyDescent="0.25">
      <c r="A611">
        <v>25983</v>
      </c>
      <c r="B611" t="s">
        <v>34</v>
      </c>
      <c r="C611" t="s">
        <v>34</v>
      </c>
      <c r="D611" s="5">
        <v>70000</v>
      </c>
      <c r="E611">
        <v>0</v>
      </c>
      <c r="F611" t="s">
        <v>13</v>
      </c>
      <c r="G611" t="s">
        <v>21</v>
      </c>
      <c r="H611" t="s">
        <v>18</v>
      </c>
      <c r="I611">
        <v>1</v>
      </c>
      <c r="J611" t="s">
        <v>16</v>
      </c>
      <c r="K611" t="s">
        <v>32</v>
      </c>
      <c r="L611">
        <v>43</v>
      </c>
      <c r="M611" t="s">
        <v>18</v>
      </c>
    </row>
    <row r="612" spans="1:13" x14ac:dyDescent="0.25">
      <c r="A612">
        <v>14633</v>
      </c>
      <c r="B612" t="s">
        <v>34</v>
      </c>
      <c r="C612" t="s">
        <v>34</v>
      </c>
      <c r="D612" s="5">
        <v>60000</v>
      </c>
      <c r="E612">
        <v>1</v>
      </c>
      <c r="F612" t="s">
        <v>19</v>
      </c>
      <c r="G612" t="s">
        <v>14</v>
      </c>
      <c r="H612" t="s">
        <v>15</v>
      </c>
      <c r="I612">
        <v>1</v>
      </c>
      <c r="J612" t="s">
        <v>22</v>
      </c>
      <c r="K612" t="s">
        <v>32</v>
      </c>
      <c r="L612">
        <v>44</v>
      </c>
      <c r="M612" t="s">
        <v>18</v>
      </c>
    </row>
    <row r="613" spans="1:13" x14ac:dyDescent="0.25">
      <c r="A613">
        <v>22994</v>
      </c>
      <c r="B613" t="s">
        <v>34</v>
      </c>
      <c r="C613" t="s">
        <v>33</v>
      </c>
      <c r="D613" s="5">
        <v>80000</v>
      </c>
      <c r="E613">
        <v>0</v>
      </c>
      <c r="F613" t="s">
        <v>13</v>
      </c>
      <c r="G613" t="s">
        <v>28</v>
      </c>
      <c r="H613" t="s">
        <v>15</v>
      </c>
      <c r="I613">
        <v>1</v>
      </c>
      <c r="J613" t="s">
        <v>26</v>
      </c>
      <c r="K613" t="s">
        <v>32</v>
      </c>
      <c r="L613">
        <v>34</v>
      </c>
      <c r="M613" t="s">
        <v>15</v>
      </c>
    </row>
    <row r="614" spans="1:13" x14ac:dyDescent="0.25">
      <c r="A614">
        <v>22983</v>
      </c>
      <c r="B614" t="s">
        <v>35</v>
      </c>
      <c r="C614" t="s">
        <v>33</v>
      </c>
      <c r="D614" s="5">
        <v>30000</v>
      </c>
      <c r="E614">
        <v>0</v>
      </c>
      <c r="F614" t="s">
        <v>29</v>
      </c>
      <c r="G614" t="s">
        <v>20</v>
      </c>
      <c r="H614" t="s">
        <v>15</v>
      </c>
      <c r="I614">
        <v>2</v>
      </c>
      <c r="J614" t="s">
        <v>23</v>
      </c>
      <c r="K614" t="s">
        <v>32</v>
      </c>
      <c r="L614">
        <v>27</v>
      </c>
      <c r="M614" t="s">
        <v>18</v>
      </c>
    </row>
    <row r="615" spans="1:13" x14ac:dyDescent="0.25">
      <c r="A615">
        <v>25184</v>
      </c>
      <c r="B615" t="s">
        <v>35</v>
      </c>
      <c r="C615" t="s">
        <v>34</v>
      </c>
      <c r="D615" s="5">
        <v>110000</v>
      </c>
      <c r="E615">
        <v>1</v>
      </c>
      <c r="F615" t="s">
        <v>19</v>
      </c>
      <c r="G615" t="s">
        <v>21</v>
      </c>
      <c r="H615" t="s">
        <v>15</v>
      </c>
      <c r="I615">
        <v>4</v>
      </c>
      <c r="J615" t="s">
        <v>23</v>
      </c>
      <c r="K615" t="s">
        <v>32</v>
      </c>
      <c r="L615">
        <v>45</v>
      </c>
      <c r="M615" t="s">
        <v>15</v>
      </c>
    </row>
    <row r="616" spans="1:13" x14ac:dyDescent="0.25">
      <c r="A616">
        <v>14469</v>
      </c>
      <c r="B616" t="s">
        <v>34</v>
      </c>
      <c r="C616" t="s">
        <v>33</v>
      </c>
      <c r="D616" s="5">
        <v>100000</v>
      </c>
      <c r="E616">
        <v>3</v>
      </c>
      <c r="F616" t="s">
        <v>19</v>
      </c>
      <c r="G616" t="s">
        <v>21</v>
      </c>
      <c r="H616" t="s">
        <v>15</v>
      </c>
      <c r="I616">
        <v>4</v>
      </c>
      <c r="J616" t="s">
        <v>26</v>
      </c>
      <c r="K616" t="s">
        <v>32</v>
      </c>
      <c r="L616">
        <v>45</v>
      </c>
      <c r="M616" t="s">
        <v>18</v>
      </c>
    </row>
    <row r="617" spans="1:13" x14ac:dyDescent="0.25">
      <c r="A617">
        <v>11538</v>
      </c>
      <c r="B617" t="s">
        <v>35</v>
      </c>
      <c r="C617" t="s">
        <v>33</v>
      </c>
      <c r="D617" s="5">
        <v>60000</v>
      </c>
      <c r="E617">
        <v>4</v>
      </c>
      <c r="F617" t="s">
        <v>31</v>
      </c>
      <c r="G617" t="s">
        <v>14</v>
      </c>
      <c r="H617" t="s">
        <v>18</v>
      </c>
      <c r="I617">
        <v>0</v>
      </c>
      <c r="J617" t="s">
        <v>16</v>
      </c>
      <c r="K617" t="s">
        <v>32</v>
      </c>
      <c r="L617">
        <v>47</v>
      </c>
      <c r="M617" t="s">
        <v>15</v>
      </c>
    </row>
    <row r="618" spans="1:13" x14ac:dyDescent="0.25">
      <c r="A618">
        <v>16245</v>
      </c>
      <c r="B618" t="s">
        <v>35</v>
      </c>
      <c r="C618" t="s">
        <v>33</v>
      </c>
      <c r="D618" s="5">
        <v>80000</v>
      </c>
      <c r="E618">
        <v>4</v>
      </c>
      <c r="F618" t="s">
        <v>31</v>
      </c>
      <c r="G618" t="s">
        <v>14</v>
      </c>
      <c r="H618" t="s">
        <v>15</v>
      </c>
      <c r="I618">
        <v>0</v>
      </c>
      <c r="J618" t="s">
        <v>26</v>
      </c>
      <c r="K618" t="s">
        <v>32</v>
      </c>
      <c r="L618">
        <v>47</v>
      </c>
      <c r="M618" t="s">
        <v>18</v>
      </c>
    </row>
    <row r="619" spans="1:13" x14ac:dyDescent="0.25">
      <c r="A619">
        <v>17858</v>
      </c>
      <c r="B619" t="s">
        <v>34</v>
      </c>
      <c r="C619" t="s">
        <v>34</v>
      </c>
      <c r="D619" s="5">
        <v>40000</v>
      </c>
      <c r="E619">
        <v>4</v>
      </c>
      <c r="F619" t="s">
        <v>27</v>
      </c>
      <c r="G619" t="s">
        <v>14</v>
      </c>
      <c r="H619" t="s">
        <v>15</v>
      </c>
      <c r="I619">
        <v>2</v>
      </c>
      <c r="J619" t="s">
        <v>22</v>
      </c>
      <c r="K619" t="s">
        <v>32</v>
      </c>
      <c r="L619">
        <v>44</v>
      </c>
      <c r="M619" t="s">
        <v>15</v>
      </c>
    </row>
    <row r="620" spans="1:13" x14ac:dyDescent="0.25">
      <c r="A620">
        <v>25347</v>
      </c>
      <c r="B620" t="s">
        <v>35</v>
      </c>
      <c r="C620" t="s">
        <v>33</v>
      </c>
      <c r="D620" s="5">
        <v>20000</v>
      </c>
      <c r="E620">
        <v>3</v>
      </c>
      <c r="F620" t="s">
        <v>29</v>
      </c>
      <c r="G620" t="s">
        <v>20</v>
      </c>
      <c r="H620" t="s">
        <v>18</v>
      </c>
      <c r="I620">
        <v>2</v>
      </c>
      <c r="J620" t="s">
        <v>16</v>
      </c>
      <c r="K620" t="s">
        <v>32</v>
      </c>
      <c r="L620">
        <v>49</v>
      </c>
      <c r="M620" t="s">
        <v>18</v>
      </c>
    </row>
    <row r="621" spans="1:13" x14ac:dyDescent="0.25">
      <c r="A621">
        <v>15814</v>
      </c>
      <c r="B621" t="s">
        <v>35</v>
      </c>
      <c r="C621" t="s">
        <v>33</v>
      </c>
      <c r="D621" s="5">
        <v>40000</v>
      </c>
      <c r="E621">
        <v>0</v>
      </c>
      <c r="F621" t="s">
        <v>27</v>
      </c>
      <c r="G621" t="s">
        <v>14</v>
      </c>
      <c r="H621" t="s">
        <v>15</v>
      </c>
      <c r="I621">
        <v>1</v>
      </c>
      <c r="J621" t="s">
        <v>23</v>
      </c>
      <c r="K621" t="s">
        <v>32</v>
      </c>
      <c r="L621">
        <v>30</v>
      </c>
      <c r="M621" t="s">
        <v>18</v>
      </c>
    </row>
    <row r="622" spans="1:13" x14ac:dyDescent="0.25">
      <c r="A622">
        <v>11259</v>
      </c>
      <c r="B622" t="s">
        <v>34</v>
      </c>
      <c r="C622" t="s">
        <v>33</v>
      </c>
      <c r="D622" s="5">
        <v>100000</v>
      </c>
      <c r="E622">
        <v>4</v>
      </c>
      <c r="F622" t="s">
        <v>19</v>
      </c>
      <c r="G622" t="s">
        <v>21</v>
      </c>
      <c r="H622" t="s">
        <v>15</v>
      </c>
      <c r="I622">
        <v>4</v>
      </c>
      <c r="J622" t="s">
        <v>22</v>
      </c>
      <c r="K622" t="s">
        <v>32</v>
      </c>
      <c r="L622">
        <v>41</v>
      </c>
      <c r="M622" t="s">
        <v>15</v>
      </c>
    </row>
    <row r="623" spans="1:13" x14ac:dyDescent="0.25">
      <c r="A623">
        <v>11200</v>
      </c>
      <c r="B623" t="s">
        <v>34</v>
      </c>
      <c r="C623" t="s">
        <v>34</v>
      </c>
      <c r="D623" s="5">
        <v>70000</v>
      </c>
      <c r="E623">
        <v>4</v>
      </c>
      <c r="F623" t="s">
        <v>13</v>
      </c>
      <c r="G623" t="s">
        <v>28</v>
      </c>
      <c r="H623" t="s">
        <v>15</v>
      </c>
      <c r="I623">
        <v>1</v>
      </c>
      <c r="J623" t="s">
        <v>26</v>
      </c>
      <c r="K623" t="s">
        <v>32</v>
      </c>
      <c r="L623">
        <v>58</v>
      </c>
      <c r="M623" t="s">
        <v>18</v>
      </c>
    </row>
    <row r="624" spans="1:13" x14ac:dyDescent="0.25">
      <c r="A624">
        <v>25101</v>
      </c>
      <c r="B624" t="s">
        <v>34</v>
      </c>
      <c r="C624" t="s">
        <v>34</v>
      </c>
      <c r="D624" s="5">
        <v>60000</v>
      </c>
      <c r="E624">
        <v>5</v>
      </c>
      <c r="F624" t="s">
        <v>13</v>
      </c>
      <c r="G624" t="s">
        <v>21</v>
      </c>
      <c r="H624" t="s">
        <v>15</v>
      </c>
      <c r="I624">
        <v>1</v>
      </c>
      <c r="J624" t="s">
        <v>22</v>
      </c>
      <c r="K624" t="s">
        <v>32</v>
      </c>
      <c r="L624">
        <v>47</v>
      </c>
      <c r="M624" t="s">
        <v>18</v>
      </c>
    </row>
    <row r="625" spans="1:13" x14ac:dyDescent="0.25">
      <c r="A625">
        <v>21801</v>
      </c>
      <c r="B625" t="s">
        <v>34</v>
      </c>
      <c r="C625" t="s">
        <v>33</v>
      </c>
      <c r="D625" s="5">
        <v>70000</v>
      </c>
      <c r="E625">
        <v>4</v>
      </c>
      <c r="F625" t="s">
        <v>19</v>
      </c>
      <c r="G625" t="s">
        <v>21</v>
      </c>
      <c r="H625" t="s">
        <v>15</v>
      </c>
      <c r="I625">
        <v>1</v>
      </c>
      <c r="J625" t="s">
        <v>26</v>
      </c>
      <c r="K625" t="s">
        <v>32</v>
      </c>
      <c r="L625">
        <v>55</v>
      </c>
      <c r="M625" t="s">
        <v>18</v>
      </c>
    </row>
    <row r="626" spans="1:13" x14ac:dyDescent="0.25">
      <c r="A626">
        <v>25943</v>
      </c>
      <c r="B626" t="s">
        <v>35</v>
      </c>
      <c r="C626" t="s">
        <v>33</v>
      </c>
      <c r="D626" s="5">
        <v>70000</v>
      </c>
      <c r="E626">
        <v>0</v>
      </c>
      <c r="F626" t="s">
        <v>19</v>
      </c>
      <c r="G626" t="s">
        <v>14</v>
      </c>
      <c r="H626" t="s">
        <v>18</v>
      </c>
      <c r="I626">
        <v>2</v>
      </c>
      <c r="J626" t="s">
        <v>16</v>
      </c>
      <c r="K626" t="s">
        <v>32</v>
      </c>
      <c r="L626">
        <v>27</v>
      </c>
      <c r="M626" t="s">
        <v>15</v>
      </c>
    </row>
    <row r="627" spans="1:13" x14ac:dyDescent="0.25">
      <c r="A627">
        <v>22127</v>
      </c>
      <c r="B627" t="s">
        <v>34</v>
      </c>
      <c r="C627" t="s">
        <v>34</v>
      </c>
      <c r="D627" s="5">
        <v>60000</v>
      </c>
      <c r="E627">
        <v>3</v>
      </c>
      <c r="F627" t="s">
        <v>31</v>
      </c>
      <c r="G627" t="s">
        <v>28</v>
      </c>
      <c r="H627" t="s">
        <v>15</v>
      </c>
      <c r="I627">
        <v>2</v>
      </c>
      <c r="J627" t="s">
        <v>26</v>
      </c>
      <c r="K627" t="s">
        <v>32</v>
      </c>
      <c r="L627">
        <v>67</v>
      </c>
      <c r="M627" t="s">
        <v>18</v>
      </c>
    </row>
    <row r="628" spans="1:13" x14ac:dyDescent="0.25">
      <c r="A628">
        <v>20414</v>
      </c>
      <c r="B628" t="s">
        <v>34</v>
      </c>
      <c r="C628" t="s">
        <v>33</v>
      </c>
      <c r="D628" s="5">
        <v>60000</v>
      </c>
      <c r="E628">
        <v>0</v>
      </c>
      <c r="F628" t="s">
        <v>19</v>
      </c>
      <c r="G628" t="s">
        <v>14</v>
      </c>
      <c r="H628" t="s">
        <v>15</v>
      </c>
      <c r="I628">
        <v>2</v>
      </c>
      <c r="J628" t="s">
        <v>23</v>
      </c>
      <c r="K628" t="s">
        <v>32</v>
      </c>
      <c r="L628">
        <v>29</v>
      </c>
      <c r="M628" t="s">
        <v>18</v>
      </c>
    </row>
    <row r="629" spans="1:13" x14ac:dyDescent="0.25">
      <c r="A629">
        <v>23672</v>
      </c>
      <c r="B629" t="s">
        <v>34</v>
      </c>
      <c r="C629" t="s">
        <v>33</v>
      </c>
      <c r="D629" s="5">
        <v>60000</v>
      </c>
      <c r="E629">
        <v>3</v>
      </c>
      <c r="F629" t="s">
        <v>31</v>
      </c>
      <c r="G629" t="s">
        <v>28</v>
      </c>
      <c r="H629" t="s">
        <v>15</v>
      </c>
      <c r="I629">
        <v>2</v>
      </c>
      <c r="J629" t="s">
        <v>26</v>
      </c>
      <c r="K629" t="s">
        <v>32</v>
      </c>
      <c r="L629">
        <v>67</v>
      </c>
      <c r="M629" t="s">
        <v>18</v>
      </c>
    </row>
    <row r="630" spans="1:13" x14ac:dyDescent="0.25">
      <c r="A630">
        <v>29255</v>
      </c>
      <c r="B630" t="s">
        <v>35</v>
      </c>
      <c r="C630" t="s">
        <v>34</v>
      </c>
      <c r="D630" s="5">
        <v>80000</v>
      </c>
      <c r="E630">
        <v>3</v>
      </c>
      <c r="F630" t="s">
        <v>19</v>
      </c>
      <c r="G630" t="s">
        <v>21</v>
      </c>
      <c r="H630" t="s">
        <v>18</v>
      </c>
      <c r="I630">
        <v>1</v>
      </c>
      <c r="J630" t="s">
        <v>26</v>
      </c>
      <c r="K630" t="s">
        <v>32</v>
      </c>
      <c r="L630">
        <v>51</v>
      </c>
      <c r="M630" t="s">
        <v>15</v>
      </c>
    </row>
    <row r="631" spans="1:13" x14ac:dyDescent="0.25">
      <c r="A631">
        <v>28815</v>
      </c>
      <c r="B631" t="s">
        <v>34</v>
      </c>
      <c r="C631" t="s">
        <v>33</v>
      </c>
      <c r="D631" s="5">
        <v>50000</v>
      </c>
      <c r="E631">
        <v>1</v>
      </c>
      <c r="F631" t="s">
        <v>31</v>
      </c>
      <c r="G631" t="s">
        <v>14</v>
      </c>
      <c r="H631" t="s">
        <v>15</v>
      </c>
      <c r="I631">
        <v>0</v>
      </c>
      <c r="J631" t="s">
        <v>16</v>
      </c>
      <c r="K631" t="s">
        <v>32</v>
      </c>
      <c r="L631">
        <v>35</v>
      </c>
      <c r="M631" t="s">
        <v>18</v>
      </c>
    </row>
    <row r="632" spans="1:13" x14ac:dyDescent="0.25">
      <c r="A632">
        <v>27753</v>
      </c>
      <c r="B632" t="s">
        <v>34</v>
      </c>
      <c r="C632" t="s">
        <v>34</v>
      </c>
      <c r="D632" s="5">
        <v>40000</v>
      </c>
      <c r="E632">
        <v>0</v>
      </c>
      <c r="F632" t="s">
        <v>27</v>
      </c>
      <c r="G632" t="s">
        <v>14</v>
      </c>
      <c r="H632" t="s">
        <v>18</v>
      </c>
      <c r="I632">
        <v>2</v>
      </c>
      <c r="J632" t="s">
        <v>26</v>
      </c>
      <c r="K632" t="s">
        <v>32</v>
      </c>
      <c r="L632">
        <v>30</v>
      </c>
      <c r="M632" t="s">
        <v>18</v>
      </c>
    </row>
    <row r="633" spans="1:13" x14ac:dyDescent="0.25">
      <c r="A633">
        <v>27643</v>
      </c>
      <c r="B633" t="s">
        <v>35</v>
      </c>
      <c r="C633" t="s">
        <v>34</v>
      </c>
      <c r="D633" s="5">
        <v>70000</v>
      </c>
      <c r="E633">
        <v>5</v>
      </c>
      <c r="F633" t="s">
        <v>19</v>
      </c>
      <c r="G633" t="s">
        <v>21</v>
      </c>
      <c r="H633" t="s">
        <v>15</v>
      </c>
      <c r="I633">
        <v>3</v>
      </c>
      <c r="J633" t="s">
        <v>22</v>
      </c>
      <c r="K633" t="s">
        <v>32</v>
      </c>
      <c r="L633">
        <v>44</v>
      </c>
      <c r="M633" t="s">
        <v>18</v>
      </c>
    </row>
    <row r="634" spans="1:13" x14ac:dyDescent="0.25">
      <c r="A634">
        <v>13754</v>
      </c>
      <c r="B634" t="s">
        <v>35</v>
      </c>
      <c r="C634" t="s">
        <v>33</v>
      </c>
      <c r="D634" s="5">
        <v>80000</v>
      </c>
      <c r="E634">
        <v>4</v>
      </c>
      <c r="F634" t="s">
        <v>31</v>
      </c>
      <c r="G634" t="s">
        <v>14</v>
      </c>
      <c r="H634" t="s">
        <v>15</v>
      </c>
      <c r="I634">
        <v>0</v>
      </c>
      <c r="J634" t="s">
        <v>26</v>
      </c>
      <c r="K634" t="s">
        <v>32</v>
      </c>
      <c r="L634">
        <v>48</v>
      </c>
      <c r="M634" t="s">
        <v>18</v>
      </c>
    </row>
    <row r="635" spans="1:13" x14ac:dyDescent="0.25">
      <c r="A635">
        <v>22088</v>
      </c>
      <c r="B635" t="s">
        <v>34</v>
      </c>
      <c r="C635" t="s">
        <v>33</v>
      </c>
      <c r="D635" s="5">
        <v>130000</v>
      </c>
      <c r="E635">
        <v>1</v>
      </c>
      <c r="F635" t="s">
        <v>13</v>
      </c>
      <c r="G635" t="s">
        <v>28</v>
      </c>
      <c r="H635" t="s">
        <v>15</v>
      </c>
      <c r="I635">
        <v>2</v>
      </c>
      <c r="J635" t="s">
        <v>16</v>
      </c>
      <c r="K635" t="s">
        <v>32</v>
      </c>
      <c r="L635">
        <v>45</v>
      </c>
      <c r="M635" t="s">
        <v>15</v>
      </c>
    </row>
    <row r="636" spans="1:13" x14ac:dyDescent="0.25">
      <c r="A636">
        <v>27388</v>
      </c>
      <c r="B636" t="s">
        <v>34</v>
      </c>
      <c r="C636" t="s">
        <v>34</v>
      </c>
      <c r="D636" s="5">
        <v>60000</v>
      </c>
      <c r="E636">
        <v>3</v>
      </c>
      <c r="F636" t="s">
        <v>13</v>
      </c>
      <c r="G636" t="s">
        <v>28</v>
      </c>
      <c r="H636" t="s">
        <v>18</v>
      </c>
      <c r="I636">
        <v>2</v>
      </c>
      <c r="J636" t="s">
        <v>26</v>
      </c>
      <c r="K636" t="s">
        <v>32</v>
      </c>
      <c r="L636">
        <v>66</v>
      </c>
      <c r="M636" t="s">
        <v>18</v>
      </c>
    </row>
    <row r="637" spans="1:13" x14ac:dyDescent="0.25">
      <c r="A637">
        <v>24745</v>
      </c>
      <c r="B637" t="s">
        <v>35</v>
      </c>
      <c r="C637" t="s">
        <v>33</v>
      </c>
      <c r="D637" s="5">
        <v>30000</v>
      </c>
      <c r="E637">
        <v>2</v>
      </c>
      <c r="F637" t="s">
        <v>27</v>
      </c>
      <c r="G637" t="s">
        <v>14</v>
      </c>
      <c r="H637" t="s">
        <v>18</v>
      </c>
      <c r="I637">
        <v>2</v>
      </c>
      <c r="J637" t="s">
        <v>16</v>
      </c>
      <c r="K637" t="s">
        <v>32</v>
      </c>
      <c r="L637">
        <v>49</v>
      </c>
      <c r="M637" t="s">
        <v>18</v>
      </c>
    </row>
    <row r="638" spans="1:13" x14ac:dyDescent="0.25">
      <c r="A638">
        <v>29237</v>
      </c>
      <c r="B638" t="s">
        <v>35</v>
      </c>
      <c r="C638" t="s">
        <v>33</v>
      </c>
      <c r="D638" s="5">
        <v>120000</v>
      </c>
      <c r="E638">
        <v>4</v>
      </c>
      <c r="F638" t="s">
        <v>19</v>
      </c>
      <c r="G638" t="s">
        <v>21</v>
      </c>
      <c r="H638" t="s">
        <v>15</v>
      </c>
      <c r="I638">
        <v>3</v>
      </c>
      <c r="J638" t="s">
        <v>23</v>
      </c>
      <c r="K638" t="s">
        <v>32</v>
      </c>
      <c r="L638">
        <v>43</v>
      </c>
      <c r="M638" t="s">
        <v>15</v>
      </c>
    </row>
    <row r="639" spans="1:13" x14ac:dyDescent="0.25">
      <c r="A639">
        <v>15272</v>
      </c>
      <c r="B639" t="s">
        <v>35</v>
      </c>
      <c r="C639" t="s">
        <v>34</v>
      </c>
      <c r="D639" s="5">
        <v>40000</v>
      </c>
      <c r="E639">
        <v>0</v>
      </c>
      <c r="F639" t="s">
        <v>27</v>
      </c>
      <c r="G639" t="s">
        <v>14</v>
      </c>
      <c r="H639" t="s">
        <v>18</v>
      </c>
      <c r="I639">
        <v>2</v>
      </c>
      <c r="J639" t="s">
        <v>26</v>
      </c>
      <c r="K639" t="s">
        <v>32</v>
      </c>
      <c r="L639">
        <v>30</v>
      </c>
      <c r="M639" t="s">
        <v>18</v>
      </c>
    </row>
    <row r="640" spans="1:13" x14ac:dyDescent="0.25">
      <c r="A640">
        <v>18949</v>
      </c>
      <c r="B640" t="s">
        <v>35</v>
      </c>
      <c r="C640" t="s">
        <v>34</v>
      </c>
      <c r="D640" s="5">
        <v>70000</v>
      </c>
      <c r="E640">
        <v>0</v>
      </c>
      <c r="F640" t="s">
        <v>31</v>
      </c>
      <c r="G640" t="s">
        <v>28</v>
      </c>
      <c r="H640" t="s">
        <v>15</v>
      </c>
      <c r="I640">
        <v>2</v>
      </c>
      <c r="J640" t="s">
        <v>23</v>
      </c>
      <c r="K640" t="s">
        <v>32</v>
      </c>
      <c r="L640">
        <v>74</v>
      </c>
      <c r="M640" t="s">
        <v>15</v>
      </c>
    </row>
    <row r="641" spans="1:13" x14ac:dyDescent="0.25">
      <c r="A641">
        <v>14507</v>
      </c>
      <c r="B641" t="s">
        <v>34</v>
      </c>
      <c r="C641" t="s">
        <v>34</v>
      </c>
      <c r="D641" s="5">
        <v>100000</v>
      </c>
      <c r="E641">
        <v>2</v>
      </c>
      <c r="F641" t="s">
        <v>31</v>
      </c>
      <c r="G641" t="s">
        <v>28</v>
      </c>
      <c r="H641" t="s">
        <v>15</v>
      </c>
      <c r="I641">
        <v>3</v>
      </c>
      <c r="J641" t="s">
        <v>26</v>
      </c>
      <c r="K641" t="s">
        <v>32</v>
      </c>
      <c r="L641">
        <v>65</v>
      </c>
      <c r="M641" t="s">
        <v>18</v>
      </c>
    </row>
    <row r="642" spans="1:13" x14ac:dyDescent="0.25">
      <c r="A642">
        <v>25886</v>
      </c>
      <c r="B642" t="s">
        <v>34</v>
      </c>
      <c r="C642" t="s">
        <v>33</v>
      </c>
      <c r="D642" s="5">
        <v>60000</v>
      </c>
      <c r="E642">
        <v>2</v>
      </c>
      <c r="F642" t="s">
        <v>19</v>
      </c>
      <c r="G642" t="s">
        <v>21</v>
      </c>
      <c r="H642" t="s">
        <v>15</v>
      </c>
      <c r="I642">
        <v>2</v>
      </c>
      <c r="J642" t="s">
        <v>22</v>
      </c>
      <c r="K642" t="s">
        <v>32</v>
      </c>
      <c r="L642">
        <v>56</v>
      </c>
      <c r="M642" t="s">
        <v>15</v>
      </c>
    </row>
    <row r="643" spans="1:13" x14ac:dyDescent="0.25">
      <c r="A643">
        <v>21441</v>
      </c>
      <c r="B643" t="s">
        <v>34</v>
      </c>
      <c r="C643" t="s">
        <v>34</v>
      </c>
      <c r="D643" s="5">
        <v>50000</v>
      </c>
      <c r="E643">
        <v>4</v>
      </c>
      <c r="F643" t="s">
        <v>13</v>
      </c>
      <c r="G643" t="s">
        <v>28</v>
      </c>
      <c r="H643" t="s">
        <v>15</v>
      </c>
      <c r="I643">
        <v>2</v>
      </c>
      <c r="J643" t="s">
        <v>30</v>
      </c>
      <c r="K643" t="s">
        <v>32</v>
      </c>
      <c r="L643">
        <v>64</v>
      </c>
      <c r="M643" t="s">
        <v>18</v>
      </c>
    </row>
    <row r="644" spans="1:13" x14ac:dyDescent="0.25">
      <c r="A644">
        <v>21741</v>
      </c>
      <c r="B644" t="s">
        <v>34</v>
      </c>
      <c r="C644" t="s">
        <v>33</v>
      </c>
      <c r="D644" s="5">
        <v>70000</v>
      </c>
      <c r="E644">
        <v>3</v>
      </c>
      <c r="F644" t="s">
        <v>19</v>
      </c>
      <c r="G644" t="s">
        <v>21</v>
      </c>
      <c r="H644" t="s">
        <v>15</v>
      </c>
      <c r="I644">
        <v>2</v>
      </c>
      <c r="J644" t="s">
        <v>23</v>
      </c>
      <c r="K644" t="s">
        <v>32</v>
      </c>
      <c r="L644">
        <v>50</v>
      </c>
      <c r="M644" t="s">
        <v>15</v>
      </c>
    </row>
    <row r="645" spans="1:13" x14ac:dyDescent="0.25">
      <c r="A645">
        <v>14572</v>
      </c>
      <c r="B645" t="s">
        <v>34</v>
      </c>
      <c r="C645" t="s">
        <v>33</v>
      </c>
      <c r="D645" s="5">
        <v>70000</v>
      </c>
      <c r="E645">
        <v>3</v>
      </c>
      <c r="F645" t="s">
        <v>31</v>
      </c>
      <c r="G645" t="s">
        <v>21</v>
      </c>
      <c r="H645" t="s">
        <v>15</v>
      </c>
      <c r="I645">
        <v>0</v>
      </c>
      <c r="J645" t="s">
        <v>22</v>
      </c>
      <c r="K645" t="s">
        <v>32</v>
      </c>
      <c r="L645">
        <v>35</v>
      </c>
      <c r="M645" t="s">
        <v>15</v>
      </c>
    </row>
    <row r="646" spans="1:13" x14ac:dyDescent="0.25">
      <c r="A646">
        <v>23368</v>
      </c>
      <c r="B646" t="s">
        <v>34</v>
      </c>
      <c r="C646" t="s">
        <v>33</v>
      </c>
      <c r="D646" s="5">
        <v>60000</v>
      </c>
      <c r="E646">
        <v>5</v>
      </c>
      <c r="F646" t="s">
        <v>13</v>
      </c>
      <c r="G646" t="s">
        <v>14</v>
      </c>
      <c r="H646" t="s">
        <v>15</v>
      </c>
      <c r="I646">
        <v>3</v>
      </c>
      <c r="J646" t="s">
        <v>30</v>
      </c>
      <c r="K646" t="s">
        <v>32</v>
      </c>
      <c r="L646">
        <v>41</v>
      </c>
      <c r="M646" t="s">
        <v>18</v>
      </c>
    </row>
    <row r="647" spans="1:13" x14ac:dyDescent="0.25">
      <c r="A647">
        <v>16217</v>
      </c>
      <c r="B647" t="s">
        <v>35</v>
      </c>
      <c r="C647" t="s">
        <v>33</v>
      </c>
      <c r="D647" s="5">
        <v>60000</v>
      </c>
      <c r="E647">
        <v>0</v>
      </c>
      <c r="F647" t="s">
        <v>31</v>
      </c>
      <c r="G647" t="s">
        <v>14</v>
      </c>
      <c r="H647" t="s">
        <v>15</v>
      </c>
      <c r="I647">
        <v>0</v>
      </c>
      <c r="J647" t="s">
        <v>16</v>
      </c>
      <c r="K647" t="s">
        <v>32</v>
      </c>
      <c r="L647">
        <v>39</v>
      </c>
      <c r="M647" t="s">
        <v>18</v>
      </c>
    </row>
    <row r="648" spans="1:13" x14ac:dyDescent="0.25">
      <c r="A648">
        <v>16247</v>
      </c>
      <c r="B648" t="s">
        <v>35</v>
      </c>
      <c r="C648" t="s">
        <v>33</v>
      </c>
      <c r="D648" s="5">
        <v>60000</v>
      </c>
      <c r="E648">
        <v>4</v>
      </c>
      <c r="F648" t="s">
        <v>31</v>
      </c>
      <c r="G648" t="s">
        <v>14</v>
      </c>
      <c r="H648" t="s">
        <v>18</v>
      </c>
      <c r="I648">
        <v>0</v>
      </c>
      <c r="J648" t="s">
        <v>26</v>
      </c>
      <c r="K648" t="s">
        <v>32</v>
      </c>
      <c r="L648">
        <v>47</v>
      </c>
      <c r="M648" t="s">
        <v>18</v>
      </c>
    </row>
    <row r="649" spans="1:13" x14ac:dyDescent="0.25">
      <c r="A649">
        <v>22010</v>
      </c>
      <c r="B649" t="s">
        <v>35</v>
      </c>
      <c r="C649" t="s">
        <v>34</v>
      </c>
      <c r="D649" s="5">
        <v>40000</v>
      </c>
      <c r="E649">
        <v>0</v>
      </c>
      <c r="F649" t="s">
        <v>27</v>
      </c>
      <c r="G649" t="s">
        <v>14</v>
      </c>
      <c r="H649" t="s">
        <v>15</v>
      </c>
      <c r="I649">
        <v>2</v>
      </c>
      <c r="J649" t="s">
        <v>23</v>
      </c>
      <c r="K649" t="s">
        <v>32</v>
      </c>
      <c r="L649">
        <v>31</v>
      </c>
      <c r="M649" t="s">
        <v>18</v>
      </c>
    </row>
    <row r="650" spans="1:13" x14ac:dyDescent="0.25">
      <c r="A650">
        <v>25872</v>
      </c>
      <c r="B650" t="s">
        <v>35</v>
      </c>
      <c r="C650" t="s">
        <v>33</v>
      </c>
      <c r="D650" s="5">
        <v>70000</v>
      </c>
      <c r="E650">
        <v>2</v>
      </c>
      <c r="F650" t="s">
        <v>13</v>
      </c>
      <c r="G650" t="s">
        <v>28</v>
      </c>
      <c r="H650" t="s">
        <v>18</v>
      </c>
      <c r="I650">
        <v>1</v>
      </c>
      <c r="J650" t="s">
        <v>22</v>
      </c>
      <c r="K650" t="s">
        <v>32</v>
      </c>
      <c r="L650">
        <v>58</v>
      </c>
      <c r="M650" t="s">
        <v>15</v>
      </c>
    </row>
    <row r="651" spans="1:13" x14ac:dyDescent="0.25">
      <c r="A651">
        <v>19164</v>
      </c>
      <c r="B651" t="s">
        <v>35</v>
      </c>
      <c r="C651" t="s">
        <v>33</v>
      </c>
      <c r="D651" s="5">
        <v>70000</v>
      </c>
      <c r="E651">
        <v>0</v>
      </c>
      <c r="F651" t="s">
        <v>13</v>
      </c>
      <c r="G651" t="s">
        <v>21</v>
      </c>
      <c r="H651" t="s">
        <v>18</v>
      </c>
      <c r="I651">
        <v>1</v>
      </c>
      <c r="J651" t="s">
        <v>22</v>
      </c>
      <c r="K651" t="s">
        <v>32</v>
      </c>
      <c r="L651">
        <v>38</v>
      </c>
      <c r="M651" t="s">
        <v>15</v>
      </c>
    </row>
    <row r="652" spans="1:13" x14ac:dyDescent="0.25">
      <c r="A652">
        <v>18435</v>
      </c>
      <c r="B652" t="s">
        <v>35</v>
      </c>
      <c r="C652" t="s">
        <v>33</v>
      </c>
      <c r="D652" s="5">
        <v>70000</v>
      </c>
      <c r="E652">
        <v>5</v>
      </c>
      <c r="F652" t="s">
        <v>31</v>
      </c>
      <c r="G652" t="s">
        <v>28</v>
      </c>
      <c r="H652" t="s">
        <v>15</v>
      </c>
      <c r="I652">
        <v>2</v>
      </c>
      <c r="J652" t="s">
        <v>30</v>
      </c>
      <c r="K652" t="s">
        <v>32</v>
      </c>
      <c r="L652">
        <v>67</v>
      </c>
      <c r="M652" t="s">
        <v>15</v>
      </c>
    </row>
    <row r="653" spans="1:13" x14ac:dyDescent="0.25">
      <c r="A653">
        <v>14284</v>
      </c>
      <c r="B653" t="s">
        <v>35</v>
      </c>
      <c r="C653" t="s">
        <v>34</v>
      </c>
      <c r="D653" s="5">
        <v>60000</v>
      </c>
      <c r="E653">
        <v>0</v>
      </c>
      <c r="F653" t="s">
        <v>19</v>
      </c>
      <c r="G653" t="s">
        <v>21</v>
      </c>
      <c r="H653" t="s">
        <v>18</v>
      </c>
      <c r="I653">
        <v>2</v>
      </c>
      <c r="J653" t="s">
        <v>26</v>
      </c>
      <c r="K653" t="s">
        <v>32</v>
      </c>
      <c r="L653">
        <v>32</v>
      </c>
      <c r="M653" t="s">
        <v>15</v>
      </c>
    </row>
    <row r="654" spans="1:13" x14ac:dyDescent="0.25">
      <c r="A654">
        <v>11287</v>
      </c>
      <c r="B654" t="s">
        <v>34</v>
      </c>
      <c r="C654" t="s">
        <v>34</v>
      </c>
      <c r="D654" s="5">
        <v>70000</v>
      </c>
      <c r="E654">
        <v>5</v>
      </c>
      <c r="F654" t="s">
        <v>19</v>
      </c>
      <c r="G654" t="s">
        <v>21</v>
      </c>
      <c r="H654" t="s">
        <v>18</v>
      </c>
      <c r="I654">
        <v>3</v>
      </c>
      <c r="J654" t="s">
        <v>23</v>
      </c>
      <c r="K654" t="s">
        <v>32</v>
      </c>
      <c r="L654">
        <v>45</v>
      </c>
      <c r="M654" t="s">
        <v>18</v>
      </c>
    </row>
    <row r="655" spans="1:13" x14ac:dyDescent="0.25">
      <c r="A655">
        <v>13066</v>
      </c>
      <c r="B655" t="s">
        <v>35</v>
      </c>
      <c r="C655" t="s">
        <v>34</v>
      </c>
      <c r="D655" s="5">
        <v>30000</v>
      </c>
      <c r="E655">
        <v>0</v>
      </c>
      <c r="F655" t="s">
        <v>27</v>
      </c>
      <c r="G655" t="s">
        <v>14</v>
      </c>
      <c r="H655" t="s">
        <v>18</v>
      </c>
      <c r="I655">
        <v>2</v>
      </c>
      <c r="J655" t="s">
        <v>26</v>
      </c>
      <c r="K655" t="s">
        <v>32</v>
      </c>
      <c r="L655">
        <v>31</v>
      </c>
      <c r="M655" t="s">
        <v>15</v>
      </c>
    </row>
    <row r="656" spans="1:13" x14ac:dyDescent="0.25">
      <c r="A656">
        <v>29106</v>
      </c>
      <c r="B656" t="s">
        <v>35</v>
      </c>
      <c r="C656" t="s">
        <v>34</v>
      </c>
      <c r="D656" s="5">
        <v>40000</v>
      </c>
      <c r="E656">
        <v>0</v>
      </c>
      <c r="F656" t="s">
        <v>27</v>
      </c>
      <c r="G656" t="s">
        <v>14</v>
      </c>
      <c r="H656" t="s">
        <v>18</v>
      </c>
      <c r="I656">
        <v>2</v>
      </c>
      <c r="J656" t="s">
        <v>26</v>
      </c>
      <c r="K656" t="s">
        <v>32</v>
      </c>
      <c r="L656">
        <v>31</v>
      </c>
      <c r="M656" t="s">
        <v>15</v>
      </c>
    </row>
    <row r="657" spans="1:13" x14ac:dyDescent="0.25">
      <c r="A657">
        <v>26236</v>
      </c>
      <c r="B657" t="s">
        <v>34</v>
      </c>
      <c r="C657" t="s">
        <v>33</v>
      </c>
      <c r="D657" s="5">
        <v>40000</v>
      </c>
      <c r="E657">
        <v>3</v>
      </c>
      <c r="F657" t="s">
        <v>19</v>
      </c>
      <c r="G657" t="s">
        <v>20</v>
      </c>
      <c r="H657" t="s">
        <v>15</v>
      </c>
      <c r="I657">
        <v>1</v>
      </c>
      <c r="J657" t="s">
        <v>16</v>
      </c>
      <c r="K657" t="s">
        <v>32</v>
      </c>
      <c r="L657">
        <v>31</v>
      </c>
      <c r="M657" t="s">
        <v>18</v>
      </c>
    </row>
    <row r="658" spans="1:13" x14ac:dyDescent="0.25">
      <c r="A658">
        <v>17531</v>
      </c>
      <c r="B658" t="s">
        <v>34</v>
      </c>
      <c r="C658" t="s">
        <v>34</v>
      </c>
      <c r="D658" s="5">
        <v>60000</v>
      </c>
      <c r="E658">
        <v>2</v>
      </c>
      <c r="F658" t="s">
        <v>27</v>
      </c>
      <c r="G658" t="s">
        <v>21</v>
      </c>
      <c r="H658" t="s">
        <v>18</v>
      </c>
      <c r="I658">
        <v>2</v>
      </c>
      <c r="J658" t="s">
        <v>23</v>
      </c>
      <c r="K658" t="s">
        <v>32</v>
      </c>
      <c r="L658">
        <v>50</v>
      </c>
      <c r="M658" t="s">
        <v>18</v>
      </c>
    </row>
    <row r="659" spans="1:13" x14ac:dyDescent="0.25">
      <c r="A659">
        <v>12964</v>
      </c>
      <c r="B659" t="s">
        <v>34</v>
      </c>
      <c r="C659" t="s">
        <v>34</v>
      </c>
      <c r="D659" s="5">
        <v>70000</v>
      </c>
      <c r="E659">
        <v>1</v>
      </c>
      <c r="F659" t="s">
        <v>19</v>
      </c>
      <c r="G659" t="s">
        <v>14</v>
      </c>
      <c r="H659" t="s">
        <v>15</v>
      </c>
      <c r="I659">
        <v>1</v>
      </c>
      <c r="J659" t="s">
        <v>16</v>
      </c>
      <c r="K659" t="s">
        <v>32</v>
      </c>
      <c r="L659">
        <v>44</v>
      </c>
      <c r="M659" t="s">
        <v>18</v>
      </c>
    </row>
    <row r="660" spans="1:13" x14ac:dyDescent="0.25">
      <c r="A660">
        <v>19133</v>
      </c>
      <c r="B660" t="s">
        <v>35</v>
      </c>
      <c r="C660" t="s">
        <v>34</v>
      </c>
      <c r="D660" s="5">
        <v>50000</v>
      </c>
      <c r="E660">
        <v>2</v>
      </c>
      <c r="F660" t="s">
        <v>13</v>
      </c>
      <c r="G660" t="s">
        <v>14</v>
      </c>
      <c r="H660" t="s">
        <v>15</v>
      </c>
      <c r="I660">
        <v>1</v>
      </c>
      <c r="J660" t="s">
        <v>22</v>
      </c>
      <c r="K660" t="s">
        <v>32</v>
      </c>
      <c r="L660">
        <v>38</v>
      </c>
      <c r="M660" t="s">
        <v>15</v>
      </c>
    </row>
    <row r="661" spans="1:13" x14ac:dyDescent="0.25">
      <c r="A661">
        <v>24643</v>
      </c>
      <c r="B661" t="s">
        <v>35</v>
      </c>
      <c r="C661" t="s">
        <v>33</v>
      </c>
      <c r="D661" s="5">
        <v>60000</v>
      </c>
      <c r="E661">
        <v>4</v>
      </c>
      <c r="F661" t="s">
        <v>13</v>
      </c>
      <c r="G661" t="s">
        <v>28</v>
      </c>
      <c r="H661" t="s">
        <v>15</v>
      </c>
      <c r="I661">
        <v>2</v>
      </c>
      <c r="J661" t="s">
        <v>30</v>
      </c>
      <c r="K661" t="s">
        <v>32</v>
      </c>
      <c r="L661">
        <v>63</v>
      </c>
      <c r="M661" t="s">
        <v>18</v>
      </c>
    </row>
    <row r="662" spans="1:13" x14ac:dyDescent="0.25">
      <c r="A662">
        <v>21599</v>
      </c>
      <c r="B662" t="s">
        <v>34</v>
      </c>
      <c r="C662" t="s">
        <v>33</v>
      </c>
      <c r="D662" s="5">
        <v>60000</v>
      </c>
      <c r="E662">
        <v>1</v>
      </c>
      <c r="F662" t="s">
        <v>31</v>
      </c>
      <c r="G662" t="s">
        <v>21</v>
      </c>
      <c r="H662" t="s">
        <v>15</v>
      </c>
      <c r="I662">
        <v>0</v>
      </c>
      <c r="J662" t="s">
        <v>22</v>
      </c>
      <c r="K662" t="s">
        <v>32</v>
      </c>
      <c r="L662">
        <v>36</v>
      </c>
      <c r="M662" t="s">
        <v>15</v>
      </c>
    </row>
    <row r="663" spans="1:13" x14ac:dyDescent="0.25">
      <c r="A663">
        <v>22976</v>
      </c>
      <c r="B663" t="s">
        <v>35</v>
      </c>
      <c r="C663" t="s">
        <v>34</v>
      </c>
      <c r="D663" s="5">
        <v>40000</v>
      </c>
      <c r="E663">
        <v>0</v>
      </c>
      <c r="F663" t="s">
        <v>27</v>
      </c>
      <c r="G663" t="s">
        <v>14</v>
      </c>
      <c r="H663" t="s">
        <v>18</v>
      </c>
      <c r="I663">
        <v>2</v>
      </c>
      <c r="J663" t="s">
        <v>16</v>
      </c>
      <c r="K663" t="s">
        <v>32</v>
      </c>
      <c r="L663">
        <v>28</v>
      </c>
      <c r="M663" t="s">
        <v>15</v>
      </c>
    </row>
    <row r="664" spans="1:13" x14ac:dyDescent="0.25">
      <c r="A664">
        <v>27637</v>
      </c>
      <c r="B664" t="s">
        <v>35</v>
      </c>
      <c r="C664" t="s">
        <v>33</v>
      </c>
      <c r="D664" s="5">
        <v>100000</v>
      </c>
      <c r="E664">
        <v>1</v>
      </c>
      <c r="F664" t="s">
        <v>19</v>
      </c>
      <c r="G664" t="s">
        <v>21</v>
      </c>
      <c r="H664" t="s">
        <v>18</v>
      </c>
      <c r="I664">
        <v>3</v>
      </c>
      <c r="J664" t="s">
        <v>26</v>
      </c>
      <c r="K664" t="s">
        <v>32</v>
      </c>
      <c r="L664">
        <v>44</v>
      </c>
      <c r="M664" t="s">
        <v>18</v>
      </c>
    </row>
    <row r="665" spans="1:13" x14ac:dyDescent="0.25">
      <c r="A665">
        <v>11890</v>
      </c>
      <c r="B665" t="s">
        <v>34</v>
      </c>
      <c r="C665" t="s">
        <v>33</v>
      </c>
      <c r="D665" s="5">
        <v>70000</v>
      </c>
      <c r="E665">
        <v>5</v>
      </c>
      <c r="F665" t="s">
        <v>31</v>
      </c>
      <c r="G665" t="s">
        <v>21</v>
      </c>
      <c r="H665" t="s">
        <v>15</v>
      </c>
      <c r="I665">
        <v>1</v>
      </c>
      <c r="J665" t="s">
        <v>16</v>
      </c>
      <c r="K665" t="s">
        <v>32</v>
      </c>
      <c r="L665">
        <v>47</v>
      </c>
      <c r="M665" t="s">
        <v>18</v>
      </c>
    </row>
    <row r="666" spans="1:13" x14ac:dyDescent="0.25">
      <c r="A666">
        <v>28580</v>
      </c>
      <c r="B666" t="s">
        <v>34</v>
      </c>
      <c r="C666" t="s">
        <v>33</v>
      </c>
      <c r="D666" s="5">
        <v>80000</v>
      </c>
      <c r="E666">
        <v>0</v>
      </c>
      <c r="F666" t="s">
        <v>31</v>
      </c>
      <c r="G666" t="s">
        <v>14</v>
      </c>
      <c r="H666" t="s">
        <v>15</v>
      </c>
      <c r="I666">
        <v>0</v>
      </c>
      <c r="J666" t="s">
        <v>26</v>
      </c>
      <c r="K666" t="s">
        <v>32</v>
      </c>
      <c r="L666">
        <v>40</v>
      </c>
      <c r="M666" t="s">
        <v>15</v>
      </c>
    </row>
    <row r="667" spans="1:13" x14ac:dyDescent="0.25">
      <c r="A667">
        <v>14443</v>
      </c>
      <c r="B667" t="s">
        <v>34</v>
      </c>
      <c r="C667" t="s">
        <v>34</v>
      </c>
      <c r="D667" s="5">
        <v>130000</v>
      </c>
      <c r="E667">
        <v>1</v>
      </c>
      <c r="F667" t="s">
        <v>31</v>
      </c>
      <c r="G667" t="s">
        <v>28</v>
      </c>
      <c r="H667" t="s">
        <v>15</v>
      </c>
      <c r="I667">
        <v>4</v>
      </c>
      <c r="J667" t="s">
        <v>16</v>
      </c>
      <c r="K667" t="s">
        <v>32</v>
      </c>
      <c r="L667">
        <v>40</v>
      </c>
      <c r="M667" t="s">
        <v>18</v>
      </c>
    </row>
    <row r="668" spans="1:13" x14ac:dyDescent="0.25">
      <c r="A668">
        <v>17864</v>
      </c>
      <c r="B668" t="s">
        <v>34</v>
      </c>
      <c r="C668" t="s">
        <v>33</v>
      </c>
      <c r="D668" s="5">
        <v>60000</v>
      </c>
      <c r="E668">
        <v>1</v>
      </c>
      <c r="F668" t="s">
        <v>19</v>
      </c>
      <c r="G668" t="s">
        <v>14</v>
      </c>
      <c r="H668" t="s">
        <v>15</v>
      </c>
      <c r="I668">
        <v>1</v>
      </c>
      <c r="J668" t="s">
        <v>22</v>
      </c>
      <c r="K668" t="s">
        <v>32</v>
      </c>
      <c r="L668">
        <v>46</v>
      </c>
      <c r="M668" t="s">
        <v>15</v>
      </c>
    </row>
    <row r="669" spans="1:13" x14ac:dyDescent="0.25">
      <c r="A669">
        <v>20505</v>
      </c>
      <c r="B669" t="s">
        <v>34</v>
      </c>
      <c r="C669" t="s">
        <v>33</v>
      </c>
      <c r="D669" s="5">
        <v>40000</v>
      </c>
      <c r="E669">
        <v>5</v>
      </c>
      <c r="F669" t="s">
        <v>27</v>
      </c>
      <c r="G669" t="s">
        <v>21</v>
      </c>
      <c r="H669" t="s">
        <v>18</v>
      </c>
      <c r="I669">
        <v>2</v>
      </c>
      <c r="J669" t="s">
        <v>30</v>
      </c>
      <c r="K669" t="s">
        <v>32</v>
      </c>
      <c r="L669">
        <v>61</v>
      </c>
      <c r="M669" t="s">
        <v>18</v>
      </c>
    </row>
    <row r="670" spans="1:13" x14ac:dyDescent="0.25">
      <c r="A670">
        <v>14592</v>
      </c>
      <c r="B670" t="s">
        <v>34</v>
      </c>
      <c r="C670" t="s">
        <v>33</v>
      </c>
      <c r="D670" s="5">
        <v>60000</v>
      </c>
      <c r="E670">
        <v>0</v>
      </c>
      <c r="F670" t="s">
        <v>31</v>
      </c>
      <c r="G670" t="s">
        <v>21</v>
      </c>
      <c r="H670" t="s">
        <v>15</v>
      </c>
      <c r="I670">
        <v>0</v>
      </c>
      <c r="J670" t="s">
        <v>16</v>
      </c>
      <c r="K670" t="s">
        <v>32</v>
      </c>
      <c r="L670">
        <v>40</v>
      </c>
      <c r="M670" t="s">
        <v>18</v>
      </c>
    </row>
    <row r="671" spans="1:13" x14ac:dyDescent="0.25">
      <c r="A671">
        <v>22227</v>
      </c>
      <c r="B671" t="s">
        <v>34</v>
      </c>
      <c r="C671" t="s">
        <v>33</v>
      </c>
      <c r="D671" s="5">
        <v>60000</v>
      </c>
      <c r="E671">
        <v>2</v>
      </c>
      <c r="F671" t="s">
        <v>27</v>
      </c>
      <c r="G671" t="s">
        <v>21</v>
      </c>
      <c r="H671" t="s">
        <v>15</v>
      </c>
      <c r="I671">
        <v>2</v>
      </c>
      <c r="J671" t="s">
        <v>23</v>
      </c>
      <c r="K671" t="s">
        <v>32</v>
      </c>
      <c r="L671">
        <v>50</v>
      </c>
      <c r="M671" t="s">
        <v>18</v>
      </c>
    </row>
    <row r="672" spans="1:13" x14ac:dyDescent="0.25">
      <c r="A672">
        <v>21471</v>
      </c>
      <c r="B672" t="s">
        <v>34</v>
      </c>
      <c r="C672" t="s">
        <v>34</v>
      </c>
      <c r="D672" s="5">
        <v>70000</v>
      </c>
      <c r="E672">
        <v>2</v>
      </c>
      <c r="F672" t="s">
        <v>19</v>
      </c>
      <c r="G672" t="s">
        <v>21</v>
      </c>
      <c r="H672" t="s">
        <v>15</v>
      </c>
      <c r="I672">
        <v>1</v>
      </c>
      <c r="J672" t="s">
        <v>30</v>
      </c>
      <c r="K672" t="s">
        <v>32</v>
      </c>
      <c r="L672">
        <v>59</v>
      </c>
      <c r="M672" t="s">
        <v>18</v>
      </c>
    </row>
    <row r="673" spans="1:13" x14ac:dyDescent="0.25">
      <c r="A673">
        <v>22252</v>
      </c>
      <c r="B673" t="s">
        <v>35</v>
      </c>
      <c r="C673" t="s">
        <v>33</v>
      </c>
      <c r="D673" s="5">
        <v>60000</v>
      </c>
      <c r="E673">
        <v>1</v>
      </c>
      <c r="F673" t="s">
        <v>31</v>
      </c>
      <c r="G673" t="s">
        <v>21</v>
      </c>
      <c r="H673" t="s">
        <v>15</v>
      </c>
      <c r="I673">
        <v>0</v>
      </c>
      <c r="J673" t="s">
        <v>22</v>
      </c>
      <c r="K673" t="s">
        <v>32</v>
      </c>
      <c r="L673">
        <v>36</v>
      </c>
      <c r="M673" t="s">
        <v>15</v>
      </c>
    </row>
    <row r="674" spans="1:13" x14ac:dyDescent="0.25">
      <c r="A674">
        <v>21260</v>
      </c>
      <c r="B674" t="s">
        <v>35</v>
      </c>
      <c r="C674" t="s">
        <v>33</v>
      </c>
      <c r="D674" s="5">
        <v>40000</v>
      </c>
      <c r="E674">
        <v>0</v>
      </c>
      <c r="F674" t="s">
        <v>27</v>
      </c>
      <c r="G674" t="s">
        <v>14</v>
      </c>
      <c r="H674" t="s">
        <v>15</v>
      </c>
      <c r="I674">
        <v>2</v>
      </c>
      <c r="J674" t="s">
        <v>23</v>
      </c>
      <c r="K674" t="s">
        <v>32</v>
      </c>
      <c r="L674">
        <v>30</v>
      </c>
      <c r="M674" t="s">
        <v>18</v>
      </c>
    </row>
    <row r="675" spans="1:13" x14ac:dyDescent="0.25">
      <c r="A675">
        <v>11817</v>
      </c>
      <c r="B675" t="s">
        <v>35</v>
      </c>
      <c r="C675" t="s">
        <v>33</v>
      </c>
      <c r="D675" s="5">
        <v>70000</v>
      </c>
      <c r="E675">
        <v>4</v>
      </c>
      <c r="F675" t="s">
        <v>31</v>
      </c>
      <c r="G675" t="s">
        <v>21</v>
      </c>
      <c r="H675" t="s">
        <v>15</v>
      </c>
      <c r="I675">
        <v>0</v>
      </c>
      <c r="J675" t="s">
        <v>22</v>
      </c>
      <c r="K675" t="s">
        <v>32</v>
      </c>
      <c r="L675">
        <v>35</v>
      </c>
      <c r="M675" t="s">
        <v>15</v>
      </c>
    </row>
    <row r="676" spans="1:13" x14ac:dyDescent="0.25">
      <c r="A676">
        <v>19223</v>
      </c>
      <c r="B676" t="s">
        <v>34</v>
      </c>
      <c r="C676" t="s">
        <v>33</v>
      </c>
      <c r="D676" s="5">
        <v>30000</v>
      </c>
      <c r="E676">
        <v>2</v>
      </c>
      <c r="F676" t="s">
        <v>27</v>
      </c>
      <c r="G676" t="s">
        <v>14</v>
      </c>
      <c r="H676" t="s">
        <v>15</v>
      </c>
      <c r="I676">
        <v>2</v>
      </c>
      <c r="J676" t="s">
        <v>26</v>
      </c>
      <c r="K676" t="s">
        <v>32</v>
      </c>
      <c r="L676">
        <v>48</v>
      </c>
      <c r="M676" t="s">
        <v>18</v>
      </c>
    </row>
    <row r="677" spans="1:13" x14ac:dyDescent="0.25">
      <c r="A677">
        <v>18517</v>
      </c>
      <c r="B677" t="s">
        <v>34</v>
      </c>
      <c r="C677" t="s">
        <v>34</v>
      </c>
      <c r="D677" s="5">
        <v>100000</v>
      </c>
      <c r="E677">
        <v>3</v>
      </c>
      <c r="F677" t="s">
        <v>13</v>
      </c>
      <c r="G677" t="s">
        <v>28</v>
      </c>
      <c r="H677" t="s">
        <v>15</v>
      </c>
      <c r="I677">
        <v>4</v>
      </c>
      <c r="J677" t="s">
        <v>16</v>
      </c>
      <c r="K677" t="s">
        <v>32</v>
      </c>
      <c r="L677">
        <v>41</v>
      </c>
      <c r="M677" t="s">
        <v>18</v>
      </c>
    </row>
    <row r="678" spans="1:13" x14ac:dyDescent="0.25">
      <c r="A678">
        <v>21717</v>
      </c>
      <c r="B678" t="s">
        <v>34</v>
      </c>
      <c r="C678" t="s">
        <v>34</v>
      </c>
      <c r="D678" s="5">
        <v>40000</v>
      </c>
      <c r="E678">
        <v>2</v>
      </c>
      <c r="F678" t="s">
        <v>19</v>
      </c>
      <c r="G678" t="s">
        <v>20</v>
      </c>
      <c r="H678" t="s">
        <v>15</v>
      </c>
      <c r="I678">
        <v>1</v>
      </c>
      <c r="J678" t="s">
        <v>16</v>
      </c>
      <c r="K678" t="s">
        <v>32</v>
      </c>
      <c r="L678">
        <v>47</v>
      </c>
      <c r="M678" t="s">
        <v>18</v>
      </c>
    </row>
    <row r="679" spans="1:13" x14ac:dyDescent="0.25">
      <c r="A679">
        <v>13760</v>
      </c>
      <c r="B679" t="s">
        <v>34</v>
      </c>
      <c r="C679" t="s">
        <v>34</v>
      </c>
      <c r="D679" s="5">
        <v>60000</v>
      </c>
      <c r="E679">
        <v>4</v>
      </c>
      <c r="F679" t="s">
        <v>31</v>
      </c>
      <c r="G679" t="s">
        <v>14</v>
      </c>
      <c r="H679" t="s">
        <v>18</v>
      </c>
      <c r="I679">
        <v>0</v>
      </c>
      <c r="J679" t="s">
        <v>16</v>
      </c>
      <c r="K679" t="s">
        <v>32</v>
      </c>
      <c r="L679">
        <v>47</v>
      </c>
      <c r="M679" t="s">
        <v>18</v>
      </c>
    </row>
    <row r="680" spans="1:13" x14ac:dyDescent="0.25">
      <c r="A680">
        <v>18145</v>
      </c>
      <c r="B680" t="s">
        <v>34</v>
      </c>
      <c r="C680" t="s">
        <v>34</v>
      </c>
      <c r="D680" s="5">
        <v>80000</v>
      </c>
      <c r="E680">
        <v>5</v>
      </c>
      <c r="F680" t="s">
        <v>13</v>
      </c>
      <c r="G680" t="s">
        <v>28</v>
      </c>
      <c r="H680" t="s">
        <v>18</v>
      </c>
      <c r="I680">
        <v>2</v>
      </c>
      <c r="J680" t="s">
        <v>22</v>
      </c>
      <c r="K680" t="s">
        <v>17</v>
      </c>
      <c r="L680">
        <v>62</v>
      </c>
      <c r="M680" t="s">
        <v>18</v>
      </c>
    </row>
    <row r="681" spans="1:13" x14ac:dyDescent="0.25">
      <c r="A681">
        <v>21770</v>
      </c>
      <c r="B681" t="s">
        <v>34</v>
      </c>
      <c r="C681" t="s">
        <v>34</v>
      </c>
      <c r="D681" s="5">
        <v>60000</v>
      </c>
      <c r="E681">
        <v>4</v>
      </c>
      <c r="F681" t="s">
        <v>13</v>
      </c>
      <c r="G681" t="s">
        <v>28</v>
      </c>
      <c r="H681" t="s">
        <v>15</v>
      </c>
      <c r="I681">
        <v>2</v>
      </c>
      <c r="J681" t="s">
        <v>30</v>
      </c>
      <c r="K681" t="s">
        <v>32</v>
      </c>
      <c r="L681">
        <v>60</v>
      </c>
      <c r="M681" t="s">
        <v>18</v>
      </c>
    </row>
    <row r="682" spans="1:13" x14ac:dyDescent="0.25">
      <c r="A682">
        <v>11165</v>
      </c>
      <c r="B682" t="s">
        <v>34</v>
      </c>
      <c r="C682" t="s">
        <v>33</v>
      </c>
      <c r="D682" s="5">
        <v>60000</v>
      </c>
      <c r="E682">
        <v>0</v>
      </c>
      <c r="F682" t="s">
        <v>19</v>
      </c>
      <c r="G682" t="s">
        <v>14</v>
      </c>
      <c r="H682" t="s">
        <v>18</v>
      </c>
      <c r="I682">
        <v>1</v>
      </c>
      <c r="J682" t="s">
        <v>26</v>
      </c>
      <c r="K682" t="s">
        <v>32</v>
      </c>
      <c r="L682">
        <v>33</v>
      </c>
      <c r="M682" t="s">
        <v>18</v>
      </c>
    </row>
    <row r="683" spans="1:13" x14ac:dyDescent="0.25">
      <c r="A683">
        <v>16377</v>
      </c>
      <c r="B683" t="s">
        <v>35</v>
      </c>
      <c r="C683" t="s">
        <v>33</v>
      </c>
      <c r="D683" s="5">
        <v>80000</v>
      </c>
      <c r="E683">
        <v>4</v>
      </c>
      <c r="F683" t="s">
        <v>31</v>
      </c>
      <c r="G683" t="s">
        <v>14</v>
      </c>
      <c r="H683" t="s">
        <v>18</v>
      </c>
      <c r="I683">
        <v>0</v>
      </c>
      <c r="J683" t="s">
        <v>16</v>
      </c>
      <c r="K683" t="s">
        <v>32</v>
      </c>
      <c r="L683">
        <v>47</v>
      </c>
      <c r="M683" t="s">
        <v>18</v>
      </c>
    </row>
    <row r="684" spans="1:13" x14ac:dyDescent="0.25">
      <c r="A684">
        <v>26248</v>
      </c>
      <c r="B684" t="s">
        <v>34</v>
      </c>
      <c r="C684" t="s">
        <v>34</v>
      </c>
      <c r="D684" s="5">
        <v>20000</v>
      </c>
      <c r="E684">
        <v>3</v>
      </c>
      <c r="F684" t="s">
        <v>29</v>
      </c>
      <c r="G684" t="s">
        <v>20</v>
      </c>
      <c r="H684" t="s">
        <v>18</v>
      </c>
      <c r="I684">
        <v>2</v>
      </c>
      <c r="J684" t="s">
        <v>16</v>
      </c>
      <c r="K684" t="s">
        <v>32</v>
      </c>
      <c r="L684">
        <v>52</v>
      </c>
      <c r="M684" t="s">
        <v>18</v>
      </c>
    </row>
    <row r="685" spans="1:13" x14ac:dyDescent="0.25">
      <c r="A685">
        <v>23461</v>
      </c>
      <c r="B685" t="s">
        <v>34</v>
      </c>
      <c r="C685" t="s">
        <v>33</v>
      </c>
      <c r="D685" s="5">
        <v>90000</v>
      </c>
      <c r="E685">
        <v>5</v>
      </c>
      <c r="F685" t="s">
        <v>19</v>
      </c>
      <c r="G685" t="s">
        <v>21</v>
      </c>
      <c r="H685" t="s">
        <v>15</v>
      </c>
      <c r="I685">
        <v>3</v>
      </c>
      <c r="J685" t="s">
        <v>22</v>
      </c>
      <c r="K685" t="s">
        <v>32</v>
      </c>
      <c r="L685">
        <v>40</v>
      </c>
      <c r="M685" t="s">
        <v>18</v>
      </c>
    </row>
    <row r="686" spans="1:13" x14ac:dyDescent="0.25">
      <c r="A686">
        <v>29133</v>
      </c>
      <c r="B686" t="s">
        <v>35</v>
      </c>
      <c r="C686" t="s">
        <v>33</v>
      </c>
      <c r="D686" s="5">
        <v>60000</v>
      </c>
      <c r="E686">
        <v>4</v>
      </c>
      <c r="F686" t="s">
        <v>13</v>
      </c>
      <c r="G686" t="s">
        <v>14</v>
      </c>
      <c r="H686" t="s">
        <v>18</v>
      </c>
      <c r="I686">
        <v>2</v>
      </c>
      <c r="J686" t="s">
        <v>16</v>
      </c>
      <c r="K686" t="s">
        <v>32</v>
      </c>
      <c r="L686">
        <v>42</v>
      </c>
      <c r="M686" t="s">
        <v>18</v>
      </c>
    </row>
    <row r="687" spans="1:13" x14ac:dyDescent="0.25">
      <c r="A687">
        <v>27673</v>
      </c>
      <c r="B687" t="s">
        <v>35</v>
      </c>
      <c r="C687" t="s">
        <v>33</v>
      </c>
      <c r="D687" s="5">
        <v>60000</v>
      </c>
      <c r="E687">
        <v>3</v>
      </c>
      <c r="F687" t="s">
        <v>31</v>
      </c>
      <c r="G687" t="s">
        <v>28</v>
      </c>
      <c r="H687" t="s">
        <v>15</v>
      </c>
      <c r="I687">
        <v>2</v>
      </c>
      <c r="J687" t="s">
        <v>23</v>
      </c>
      <c r="K687" t="s">
        <v>32</v>
      </c>
      <c r="L687">
        <v>53</v>
      </c>
      <c r="M687" t="s">
        <v>15</v>
      </c>
    </row>
    <row r="688" spans="1:13" x14ac:dyDescent="0.25">
      <c r="A688">
        <v>12774</v>
      </c>
      <c r="B688" t="s">
        <v>34</v>
      </c>
      <c r="C688" t="s">
        <v>33</v>
      </c>
      <c r="D688" s="5">
        <v>40000</v>
      </c>
      <c r="E688">
        <v>1</v>
      </c>
      <c r="F688" t="s">
        <v>19</v>
      </c>
      <c r="G688" t="s">
        <v>20</v>
      </c>
      <c r="H688" t="s">
        <v>15</v>
      </c>
      <c r="I688">
        <v>1</v>
      </c>
      <c r="J688" t="s">
        <v>26</v>
      </c>
      <c r="K688" t="s">
        <v>32</v>
      </c>
      <c r="L688">
        <v>51</v>
      </c>
      <c r="M688" t="s">
        <v>15</v>
      </c>
    </row>
    <row r="689" spans="1:13" x14ac:dyDescent="0.25">
      <c r="A689">
        <v>18910</v>
      </c>
      <c r="B689" t="s">
        <v>35</v>
      </c>
      <c r="C689" t="s">
        <v>34</v>
      </c>
      <c r="D689" s="5">
        <v>30000</v>
      </c>
      <c r="E689">
        <v>0</v>
      </c>
      <c r="F689" t="s">
        <v>19</v>
      </c>
      <c r="G689" t="s">
        <v>14</v>
      </c>
      <c r="H689" t="s">
        <v>15</v>
      </c>
      <c r="I689">
        <v>2</v>
      </c>
      <c r="J689" t="s">
        <v>23</v>
      </c>
      <c r="K689" t="s">
        <v>32</v>
      </c>
      <c r="L689">
        <v>30</v>
      </c>
      <c r="M689" t="s">
        <v>18</v>
      </c>
    </row>
    <row r="690" spans="1:13" x14ac:dyDescent="0.25">
      <c r="A690">
        <v>11699</v>
      </c>
      <c r="B690" t="s">
        <v>35</v>
      </c>
      <c r="C690" t="s">
        <v>34</v>
      </c>
      <c r="D690" s="5">
        <v>60000</v>
      </c>
      <c r="E690">
        <v>0</v>
      </c>
      <c r="F690" t="s">
        <v>13</v>
      </c>
      <c r="G690" t="s">
        <v>14</v>
      </c>
      <c r="H690" t="s">
        <v>18</v>
      </c>
      <c r="I690">
        <v>2</v>
      </c>
      <c r="J690" t="s">
        <v>16</v>
      </c>
      <c r="K690" t="s">
        <v>32</v>
      </c>
      <c r="L690">
        <v>30</v>
      </c>
      <c r="M690" t="s">
        <v>18</v>
      </c>
    </row>
    <row r="691" spans="1:13" x14ac:dyDescent="0.25">
      <c r="A691">
        <v>16725</v>
      </c>
      <c r="B691" t="s">
        <v>34</v>
      </c>
      <c r="C691" t="s">
        <v>34</v>
      </c>
      <c r="D691" s="5">
        <v>30000</v>
      </c>
      <c r="E691">
        <v>0</v>
      </c>
      <c r="F691" t="s">
        <v>27</v>
      </c>
      <c r="G691" t="s">
        <v>14</v>
      </c>
      <c r="H691" t="s">
        <v>15</v>
      </c>
      <c r="I691">
        <v>2</v>
      </c>
      <c r="J691" t="s">
        <v>23</v>
      </c>
      <c r="K691" t="s">
        <v>32</v>
      </c>
      <c r="L691">
        <v>26</v>
      </c>
      <c r="M691" t="s">
        <v>18</v>
      </c>
    </row>
    <row r="692" spans="1:13" x14ac:dyDescent="0.25">
      <c r="A692">
        <v>28269</v>
      </c>
      <c r="B692" t="s">
        <v>35</v>
      </c>
      <c r="C692" t="s">
        <v>33</v>
      </c>
      <c r="D692" s="5">
        <v>130000</v>
      </c>
      <c r="E692">
        <v>1</v>
      </c>
      <c r="F692" t="s">
        <v>13</v>
      </c>
      <c r="G692" t="s">
        <v>28</v>
      </c>
      <c r="H692" t="s">
        <v>18</v>
      </c>
      <c r="I692">
        <v>1</v>
      </c>
      <c r="J692" t="s">
        <v>22</v>
      </c>
      <c r="K692" t="s">
        <v>32</v>
      </c>
      <c r="L692">
        <v>45</v>
      </c>
      <c r="M692" t="s">
        <v>18</v>
      </c>
    </row>
    <row r="693" spans="1:13" x14ac:dyDescent="0.25">
      <c r="A693">
        <v>23144</v>
      </c>
      <c r="B693" t="s">
        <v>34</v>
      </c>
      <c r="C693" t="s">
        <v>34</v>
      </c>
      <c r="D693" s="5">
        <v>50000</v>
      </c>
      <c r="E693">
        <v>1</v>
      </c>
      <c r="F693" t="s">
        <v>13</v>
      </c>
      <c r="G693" t="s">
        <v>14</v>
      </c>
      <c r="H693" t="s">
        <v>15</v>
      </c>
      <c r="I693">
        <v>0</v>
      </c>
      <c r="J693" t="s">
        <v>16</v>
      </c>
      <c r="K693" t="s">
        <v>32</v>
      </c>
      <c r="L693">
        <v>34</v>
      </c>
      <c r="M693" t="s">
        <v>15</v>
      </c>
    </row>
    <row r="694" spans="1:13" x14ac:dyDescent="0.25">
      <c r="A694">
        <v>23376</v>
      </c>
      <c r="B694" t="s">
        <v>34</v>
      </c>
      <c r="C694" t="s">
        <v>34</v>
      </c>
      <c r="D694" s="5">
        <v>70000</v>
      </c>
      <c r="E694">
        <v>1</v>
      </c>
      <c r="F694" t="s">
        <v>13</v>
      </c>
      <c r="G694" t="s">
        <v>21</v>
      </c>
      <c r="H694" t="s">
        <v>15</v>
      </c>
      <c r="I694">
        <v>1</v>
      </c>
      <c r="J694" t="s">
        <v>22</v>
      </c>
      <c r="K694" t="s">
        <v>32</v>
      </c>
      <c r="L694">
        <v>44</v>
      </c>
      <c r="M694" t="s">
        <v>15</v>
      </c>
    </row>
    <row r="695" spans="1:13" x14ac:dyDescent="0.25">
      <c r="A695">
        <v>25970</v>
      </c>
      <c r="B695" t="s">
        <v>35</v>
      </c>
      <c r="C695" t="s">
        <v>33</v>
      </c>
      <c r="D695" s="5">
        <v>60000</v>
      </c>
      <c r="E695">
        <v>4</v>
      </c>
      <c r="F695" t="s">
        <v>13</v>
      </c>
      <c r="G695" t="s">
        <v>14</v>
      </c>
      <c r="H695" t="s">
        <v>18</v>
      </c>
      <c r="I695">
        <v>2</v>
      </c>
      <c r="J695" t="s">
        <v>16</v>
      </c>
      <c r="K695" t="s">
        <v>32</v>
      </c>
      <c r="L695">
        <v>41</v>
      </c>
      <c r="M695" t="s">
        <v>15</v>
      </c>
    </row>
    <row r="696" spans="1:13" x14ac:dyDescent="0.25">
      <c r="A696">
        <v>28068</v>
      </c>
      <c r="B696" t="s">
        <v>35</v>
      </c>
      <c r="C696" t="s">
        <v>33</v>
      </c>
      <c r="D696" s="5">
        <v>80000</v>
      </c>
      <c r="E696">
        <v>3</v>
      </c>
      <c r="F696" t="s">
        <v>31</v>
      </c>
      <c r="G696" t="s">
        <v>21</v>
      </c>
      <c r="H696" t="s">
        <v>18</v>
      </c>
      <c r="I696">
        <v>0</v>
      </c>
      <c r="J696" t="s">
        <v>16</v>
      </c>
      <c r="K696" t="s">
        <v>32</v>
      </c>
      <c r="L696">
        <v>36</v>
      </c>
      <c r="M696" t="s">
        <v>15</v>
      </c>
    </row>
    <row r="697" spans="1:13" x14ac:dyDescent="0.25">
      <c r="A697">
        <v>18390</v>
      </c>
      <c r="B697" t="s">
        <v>34</v>
      </c>
      <c r="C697" t="s">
        <v>34</v>
      </c>
      <c r="D697" s="5">
        <v>80000</v>
      </c>
      <c r="E697">
        <v>5</v>
      </c>
      <c r="F697" t="s">
        <v>19</v>
      </c>
      <c r="G697" t="s">
        <v>21</v>
      </c>
      <c r="H697" t="s">
        <v>15</v>
      </c>
      <c r="I697">
        <v>2</v>
      </c>
      <c r="J697" t="s">
        <v>16</v>
      </c>
      <c r="K697" t="s">
        <v>32</v>
      </c>
      <c r="L697">
        <v>44</v>
      </c>
      <c r="M697" t="s">
        <v>18</v>
      </c>
    </row>
    <row r="698" spans="1:13" x14ac:dyDescent="0.25">
      <c r="A698">
        <v>29112</v>
      </c>
      <c r="B698" t="s">
        <v>35</v>
      </c>
      <c r="C698" t="s">
        <v>34</v>
      </c>
      <c r="D698" s="5">
        <v>60000</v>
      </c>
      <c r="E698">
        <v>0</v>
      </c>
      <c r="F698" t="s">
        <v>19</v>
      </c>
      <c r="G698" t="s">
        <v>21</v>
      </c>
      <c r="H698" t="s">
        <v>18</v>
      </c>
      <c r="I698">
        <v>2</v>
      </c>
      <c r="J698" t="s">
        <v>26</v>
      </c>
      <c r="K698" t="s">
        <v>32</v>
      </c>
      <c r="L698">
        <v>30</v>
      </c>
      <c r="M698" t="s">
        <v>18</v>
      </c>
    </row>
    <row r="699" spans="1:13" x14ac:dyDescent="0.25">
      <c r="A699">
        <v>14090</v>
      </c>
      <c r="B699" t="s">
        <v>34</v>
      </c>
      <c r="C699" t="s">
        <v>33</v>
      </c>
      <c r="D699" s="5">
        <v>30000</v>
      </c>
      <c r="E699">
        <v>0</v>
      </c>
      <c r="F699" t="s">
        <v>29</v>
      </c>
      <c r="G699" t="s">
        <v>20</v>
      </c>
      <c r="H699" t="s">
        <v>18</v>
      </c>
      <c r="I699">
        <v>2</v>
      </c>
      <c r="J699" t="s">
        <v>16</v>
      </c>
      <c r="K699" t="s">
        <v>32</v>
      </c>
      <c r="L699">
        <v>28</v>
      </c>
      <c r="M699" t="s">
        <v>18</v>
      </c>
    </row>
    <row r="700" spans="1:13" x14ac:dyDescent="0.25">
      <c r="A700">
        <v>27040</v>
      </c>
      <c r="B700" t="s">
        <v>34</v>
      </c>
      <c r="C700" t="s">
        <v>34</v>
      </c>
      <c r="D700" s="5">
        <v>20000</v>
      </c>
      <c r="E700">
        <v>2</v>
      </c>
      <c r="F700" t="s">
        <v>29</v>
      </c>
      <c r="G700" t="s">
        <v>20</v>
      </c>
      <c r="H700" t="s">
        <v>15</v>
      </c>
      <c r="I700">
        <v>2</v>
      </c>
      <c r="J700" t="s">
        <v>26</v>
      </c>
      <c r="K700" t="s">
        <v>32</v>
      </c>
      <c r="L700">
        <v>49</v>
      </c>
      <c r="M700" t="s">
        <v>18</v>
      </c>
    </row>
    <row r="701" spans="1:13" x14ac:dyDescent="0.25">
      <c r="A701">
        <v>23479</v>
      </c>
      <c r="B701" t="s">
        <v>35</v>
      </c>
      <c r="C701" t="s">
        <v>34</v>
      </c>
      <c r="D701" s="5">
        <v>90000</v>
      </c>
      <c r="E701">
        <v>0</v>
      </c>
      <c r="F701" t="s">
        <v>19</v>
      </c>
      <c r="G701" t="s">
        <v>21</v>
      </c>
      <c r="H701" t="s">
        <v>18</v>
      </c>
      <c r="I701">
        <v>2</v>
      </c>
      <c r="J701" t="s">
        <v>16</v>
      </c>
      <c r="K701" t="s">
        <v>32</v>
      </c>
      <c r="L701">
        <v>43</v>
      </c>
      <c r="M701" t="s">
        <v>15</v>
      </c>
    </row>
    <row r="702" spans="1:13" x14ac:dyDescent="0.25">
      <c r="A702">
        <v>16795</v>
      </c>
      <c r="B702" t="s">
        <v>34</v>
      </c>
      <c r="C702" t="s">
        <v>33</v>
      </c>
      <c r="D702" s="5">
        <v>70000</v>
      </c>
      <c r="E702">
        <v>4</v>
      </c>
      <c r="F702" t="s">
        <v>13</v>
      </c>
      <c r="G702" t="s">
        <v>28</v>
      </c>
      <c r="H702" t="s">
        <v>15</v>
      </c>
      <c r="I702">
        <v>1</v>
      </c>
      <c r="J702" t="s">
        <v>26</v>
      </c>
      <c r="K702" t="s">
        <v>32</v>
      </c>
      <c r="L702">
        <v>59</v>
      </c>
      <c r="M702" t="s">
        <v>18</v>
      </c>
    </row>
    <row r="703" spans="1:13" x14ac:dyDescent="0.25">
      <c r="A703">
        <v>22014</v>
      </c>
      <c r="B703" t="s">
        <v>35</v>
      </c>
      <c r="C703" t="s">
        <v>34</v>
      </c>
      <c r="D703" s="5">
        <v>30000</v>
      </c>
      <c r="E703">
        <v>0</v>
      </c>
      <c r="F703" t="s">
        <v>27</v>
      </c>
      <c r="G703" t="s">
        <v>14</v>
      </c>
      <c r="H703" t="s">
        <v>15</v>
      </c>
      <c r="I703">
        <v>2</v>
      </c>
      <c r="J703" t="s">
        <v>23</v>
      </c>
      <c r="K703" t="s">
        <v>32</v>
      </c>
      <c r="L703">
        <v>26</v>
      </c>
      <c r="M703" t="s">
        <v>18</v>
      </c>
    </row>
    <row r="704" spans="1:13" x14ac:dyDescent="0.25">
      <c r="A704">
        <v>13314</v>
      </c>
      <c r="B704" t="s">
        <v>34</v>
      </c>
      <c r="C704" t="s">
        <v>34</v>
      </c>
      <c r="D704" s="5">
        <v>120000</v>
      </c>
      <c r="E704">
        <v>1</v>
      </c>
      <c r="F704" t="s">
        <v>27</v>
      </c>
      <c r="G704" t="s">
        <v>21</v>
      </c>
      <c r="H704" t="s">
        <v>15</v>
      </c>
      <c r="I704">
        <v>4</v>
      </c>
      <c r="J704" t="s">
        <v>23</v>
      </c>
      <c r="K704" t="s">
        <v>32</v>
      </c>
      <c r="L704">
        <v>46</v>
      </c>
      <c r="M704" t="s">
        <v>15</v>
      </c>
    </row>
    <row r="705" spans="1:13" x14ac:dyDescent="0.25">
      <c r="A705">
        <v>11619</v>
      </c>
      <c r="B705" t="s">
        <v>35</v>
      </c>
      <c r="C705" t="s">
        <v>33</v>
      </c>
      <c r="D705" s="5">
        <v>50000</v>
      </c>
      <c r="E705">
        <v>0</v>
      </c>
      <c r="F705" t="s">
        <v>31</v>
      </c>
      <c r="G705" t="s">
        <v>14</v>
      </c>
      <c r="H705" t="s">
        <v>15</v>
      </c>
      <c r="I705">
        <v>0</v>
      </c>
      <c r="J705" t="s">
        <v>26</v>
      </c>
      <c r="K705" t="s">
        <v>32</v>
      </c>
      <c r="L705">
        <v>33</v>
      </c>
      <c r="M705" t="s">
        <v>18</v>
      </c>
    </row>
    <row r="706" spans="1:13" x14ac:dyDescent="0.25">
      <c r="A706">
        <v>29132</v>
      </c>
      <c r="B706" t="s">
        <v>35</v>
      </c>
      <c r="C706" t="s">
        <v>33</v>
      </c>
      <c r="D706" s="5">
        <v>40000</v>
      </c>
      <c r="E706">
        <v>0</v>
      </c>
      <c r="F706" t="s">
        <v>13</v>
      </c>
      <c r="G706" t="s">
        <v>21</v>
      </c>
      <c r="H706" t="s">
        <v>15</v>
      </c>
      <c r="I706">
        <v>1</v>
      </c>
      <c r="J706" t="s">
        <v>22</v>
      </c>
      <c r="K706" t="s">
        <v>32</v>
      </c>
      <c r="L706">
        <v>42</v>
      </c>
      <c r="M706" t="s">
        <v>15</v>
      </c>
    </row>
    <row r="707" spans="1:13" x14ac:dyDescent="0.25">
      <c r="A707">
        <v>11199</v>
      </c>
      <c r="B707" t="s">
        <v>34</v>
      </c>
      <c r="C707" t="s">
        <v>33</v>
      </c>
      <c r="D707" s="5">
        <v>70000</v>
      </c>
      <c r="E707">
        <v>4</v>
      </c>
      <c r="F707" t="s">
        <v>13</v>
      </c>
      <c r="G707" t="s">
        <v>28</v>
      </c>
      <c r="H707" t="s">
        <v>15</v>
      </c>
      <c r="I707">
        <v>1</v>
      </c>
      <c r="J707" t="s">
        <v>30</v>
      </c>
      <c r="K707" t="s">
        <v>32</v>
      </c>
      <c r="L707">
        <v>59</v>
      </c>
      <c r="M707" t="s">
        <v>18</v>
      </c>
    </row>
    <row r="708" spans="1:13" x14ac:dyDescent="0.25">
      <c r="A708">
        <v>20296</v>
      </c>
      <c r="B708" t="s">
        <v>35</v>
      </c>
      <c r="C708" t="s">
        <v>33</v>
      </c>
      <c r="D708" s="5">
        <v>60000</v>
      </c>
      <c r="E708">
        <v>0</v>
      </c>
      <c r="F708" t="s">
        <v>19</v>
      </c>
      <c r="G708" t="s">
        <v>14</v>
      </c>
      <c r="H708" t="s">
        <v>18</v>
      </c>
      <c r="I708">
        <v>1</v>
      </c>
      <c r="J708" t="s">
        <v>26</v>
      </c>
      <c r="K708" t="s">
        <v>32</v>
      </c>
      <c r="L708">
        <v>33</v>
      </c>
      <c r="M708" t="s">
        <v>15</v>
      </c>
    </row>
    <row r="709" spans="1:13" x14ac:dyDescent="0.25">
      <c r="A709">
        <v>17546</v>
      </c>
      <c r="B709" t="s">
        <v>34</v>
      </c>
      <c r="C709" t="s">
        <v>33</v>
      </c>
      <c r="D709" s="5">
        <v>70000</v>
      </c>
      <c r="E709">
        <v>1</v>
      </c>
      <c r="F709" t="s">
        <v>19</v>
      </c>
      <c r="G709" t="s">
        <v>14</v>
      </c>
      <c r="H709" t="s">
        <v>15</v>
      </c>
      <c r="I709">
        <v>1</v>
      </c>
      <c r="J709" t="s">
        <v>16</v>
      </c>
      <c r="K709" t="s">
        <v>32</v>
      </c>
      <c r="L709">
        <v>44</v>
      </c>
      <c r="M709" t="s">
        <v>15</v>
      </c>
    </row>
    <row r="710" spans="1:13" x14ac:dyDescent="0.25">
      <c r="A710">
        <v>18069</v>
      </c>
      <c r="B710" t="s">
        <v>34</v>
      </c>
      <c r="C710" t="s">
        <v>34</v>
      </c>
      <c r="D710" s="5">
        <v>70000</v>
      </c>
      <c r="E710">
        <v>5</v>
      </c>
      <c r="F710" t="s">
        <v>13</v>
      </c>
      <c r="G710" t="s">
        <v>28</v>
      </c>
      <c r="H710" t="s">
        <v>15</v>
      </c>
      <c r="I710">
        <v>4</v>
      </c>
      <c r="J710" t="s">
        <v>30</v>
      </c>
      <c r="K710" t="s">
        <v>32</v>
      </c>
      <c r="L710">
        <v>60</v>
      </c>
      <c r="M710" t="s">
        <v>18</v>
      </c>
    </row>
    <row r="711" spans="1:13" x14ac:dyDescent="0.25">
      <c r="A711">
        <v>23712</v>
      </c>
      <c r="B711" t="s">
        <v>35</v>
      </c>
      <c r="C711" t="s">
        <v>33</v>
      </c>
      <c r="D711" s="5">
        <v>70000</v>
      </c>
      <c r="E711">
        <v>2</v>
      </c>
      <c r="F711" t="s">
        <v>13</v>
      </c>
      <c r="G711" t="s">
        <v>28</v>
      </c>
      <c r="H711" t="s">
        <v>15</v>
      </c>
      <c r="I711">
        <v>1</v>
      </c>
      <c r="J711" t="s">
        <v>30</v>
      </c>
      <c r="K711" t="s">
        <v>32</v>
      </c>
      <c r="L711">
        <v>59</v>
      </c>
      <c r="M711" t="s">
        <v>18</v>
      </c>
    </row>
    <row r="712" spans="1:13" x14ac:dyDescent="0.25">
      <c r="A712">
        <v>23358</v>
      </c>
      <c r="B712" t="s">
        <v>34</v>
      </c>
      <c r="C712" t="s">
        <v>34</v>
      </c>
      <c r="D712" s="5">
        <v>60000</v>
      </c>
      <c r="E712">
        <v>0</v>
      </c>
      <c r="F712" t="s">
        <v>27</v>
      </c>
      <c r="G712" t="s">
        <v>21</v>
      </c>
      <c r="H712" t="s">
        <v>15</v>
      </c>
      <c r="I712">
        <v>2</v>
      </c>
      <c r="J712" t="s">
        <v>23</v>
      </c>
      <c r="K712" t="s">
        <v>32</v>
      </c>
      <c r="L712">
        <v>32</v>
      </c>
      <c r="M712" t="s">
        <v>15</v>
      </c>
    </row>
    <row r="713" spans="1:13" x14ac:dyDescent="0.25">
      <c r="A713">
        <v>20518</v>
      </c>
      <c r="B713" t="s">
        <v>34</v>
      </c>
      <c r="C713" t="s">
        <v>33</v>
      </c>
      <c r="D713" s="5">
        <v>70000</v>
      </c>
      <c r="E713">
        <v>2</v>
      </c>
      <c r="F713" t="s">
        <v>19</v>
      </c>
      <c r="G713" t="s">
        <v>21</v>
      </c>
      <c r="H713" t="s">
        <v>15</v>
      </c>
      <c r="I713">
        <v>1</v>
      </c>
      <c r="J713" t="s">
        <v>30</v>
      </c>
      <c r="K713" t="s">
        <v>32</v>
      </c>
      <c r="L713">
        <v>58</v>
      </c>
      <c r="M713" t="s">
        <v>18</v>
      </c>
    </row>
    <row r="714" spans="1:13" x14ac:dyDescent="0.25">
      <c r="A714">
        <v>28026</v>
      </c>
      <c r="B714" t="s">
        <v>34</v>
      </c>
      <c r="C714" t="s">
        <v>33</v>
      </c>
      <c r="D714" s="5">
        <v>40000</v>
      </c>
      <c r="E714">
        <v>2</v>
      </c>
      <c r="F714" t="s">
        <v>27</v>
      </c>
      <c r="G714" t="s">
        <v>21</v>
      </c>
      <c r="H714" t="s">
        <v>18</v>
      </c>
      <c r="I714">
        <v>2</v>
      </c>
      <c r="J714" t="s">
        <v>22</v>
      </c>
      <c r="K714" t="s">
        <v>32</v>
      </c>
      <c r="L714">
        <v>59</v>
      </c>
      <c r="M714" t="s">
        <v>18</v>
      </c>
    </row>
    <row r="715" spans="1:13" x14ac:dyDescent="0.25">
      <c r="A715">
        <v>11669</v>
      </c>
      <c r="B715" t="s">
        <v>35</v>
      </c>
      <c r="C715" t="s">
        <v>33</v>
      </c>
      <c r="D715" s="5">
        <v>70000</v>
      </c>
      <c r="E715">
        <v>2</v>
      </c>
      <c r="F715" t="s">
        <v>13</v>
      </c>
      <c r="G715" t="s">
        <v>14</v>
      </c>
      <c r="H715" t="s">
        <v>15</v>
      </c>
      <c r="I715">
        <v>1</v>
      </c>
      <c r="J715" t="s">
        <v>22</v>
      </c>
      <c r="K715" t="s">
        <v>32</v>
      </c>
      <c r="L715">
        <v>38</v>
      </c>
      <c r="M715" t="s">
        <v>18</v>
      </c>
    </row>
    <row r="716" spans="1:13" x14ac:dyDescent="0.25">
      <c r="A716">
        <v>16020</v>
      </c>
      <c r="B716" t="s">
        <v>34</v>
      </c>
      <c r="C716" t="s">
        <v>34</v>
      </c>
      <c r="D716" s="5">
        <v>40000</v>
      </c>
      <c r="E716">
        <v>0</v>
      </c>
      <c r="F716" t="s">
        <v>27</v>
      </c>
      <c r="G716" t="s">
        <v>14</v>
      </c>
      <c r="H716" t="s">
        <v>15</v>
      </c>
      <c r="I716">
        <v>2</v>
      </c>
      <c r="J716" t="s">
        <v>23</v>
      </c>
      <c r="K716" t="s">
        <v>32</v>
      </c>
      <c r="L716">
        <v>28</v>
      </c>
      <c r="M716" t="s">
        <v>15</v>
      </c>
    </row>
    <row r="717" spans="1:13" x14ac:dyDescent="0.25">
      <c r="A717">
        <v>27090</v>
      </c>
      <c r="B717" t="s">
        <v>34</v>
      </c>
      <c r="C717" t="s">
        <v>33</v>
      </c>
      <c r="D717" s="5">
        <v>60000</v>
      </c>
      <c r="E717">
        <v>1</v>
      </c>
      <c r="F717" t="s">
        <v>31</v>
      </c>
      <c r="G717" t="s">
        <v>21</v>
      </c>
      <c r="H717" t="s">
        <v>15</v>
      </c>
      <c r="I717">
        <v>0</v>
      </c>
      <c r="J717" t="s">
        <v>22</v>
      </c>
      <c r="K717" t="s">
        <v>32</v>
      </c>
      <c r="L717">
        <v>37</v>
      </c>
      <c r="M717" t="s">
        <v>15</v>
      </c>
    </row>
    <row r="718" spans="1:13" x14ac:dyDescent="0.25">
      <c r="A718">
        <v>27198</v>
      </c>
      <c r="B718" t="s">
        <v>35</v>
      </c>
      <c r="C718" t="s">
        <v>33</v>
      </c>
      <c r="D718" s="5">
        <v>80000</v>
      </c>
      <c r="E718">
        <v>0</v>
      </c>
      <c r="F718" t="s">
        <v>31</v>
      </c>
      <c r="G718" t="s">
        <v>14</v>
      </c>
      <c r="H718" t="s">
        <v>18</v>
      </c>
      <c r="I718">
        <v>0</v>
      </c>
      <c r="J718" t="s">
        <v>16</v>
      </c>
      <c r="K718" t="s">
        <v>32</v>
      </c>
      <c r="L718">
        <v>40</v>
      </c>
      <c r="M718" t="s">
        <v>18</v>
      </c>
    </row>
    <row r="719" spans="1:13" x14ac:dyDescent="0.25">
      <c r="A719">
        <v>19661</v>
      </c>
      <c r="B719" t="s">
        <v>35</v>
      </c>
      <c r="C719" t="s">
        <v>34</v>
      </c>
      <c r="D719" s="5">
        <v>90000</v>
      </c>
      <c r="E719">
        <v>4</v>
      </c>
      <c r="F719" t="s">
        <v>13</v>
      </c>
      <c r="G719" t="s">
        <v>28</v>
      </c>
      <c r="H719" t="s">
        <v>15</v>
      </c>
      <c r="I719">
        <v>1</v>
      </c>
      <c r="J719" t="s">
        <v>26</v>
      </c>
      <c r="K719" t="s">
        <v>32</v>
      </c>
      <c r="L719">
        <v>38</v>
      </c>
      <c r="M719" t="s">
        <v>15</v>
      </c>
    </row>
    <row r="720" spans="1:13" x14ac:dyDescent="0.25">
      <c r="A720">
        <v>26327</v>
      </c>
      <c r="B720" t="s">
        <v>34</v>
      </c>
      <c r="C720" t="s">
        <v>34</v>
      </c>
      <c r="D720" s="5">
        <v>70000</v>
      </c>
      <c r="E720">
        <v>4</v>
      </c>
      <c r="F720" t="s">
        <v>31</v>
      </c>
      <c r="G720" t="s">
        <v>21</v>
      </c>
      <c r="H720" t="s">
        <v>15</v>
      </c>
      <c r="I720">
        <v>0</v>
      </c>
      <c r="J720" t="s">
        <v>22</v>
      </c>
      <c r="K720" t="s">
        <v>32</v>
      </c>
      <c r="L720">
        <v>36</v>
      </c>
      <c r="M720" t="s">
        <v>15</v>
      </c>
    </row>
    <row r="721" spans="1:13" x14ac:dyDescent="0.25">
      <c r="A721">
        <v>26341</v>
      </c>
      <c r="B721" t="s">
        <v>34</v>
      </c>
      <c r="C721" t="s">
        <v>33</v>
      </c>
      <c r="D721" s="5">
        <v>70000</v>
      </c>
      <c r="E721">
        <v>5</v>
      </c>
      <c r="F721" t="s">
        <v>31</v>
      </c>
      <c r="G721" t="s">
        <v>21</v>
      </c>
      <c r="H721" t="s">
        <v>15</v>
      </c>
      <c r="I721">
        <v>2</v>
      </c>
      <c r="J721" t="s">
        <v>16</v>
      </c>
      <c r="K721" t="s">
        <v>32</v>
      </c>
      <c r="L721">
        <v>37</v>
      </c>
      <c r="M721" t="s">
        <v>18</v>
      </c>
    </row>
    <row r="722" spans="1:13" x14ac:dyDescent="0.25">
      <c r="A722">
        <v>24958</v>
      </c>
      <c r="B722" t="s">
        <v>35</v>
      </c>
      <c r="C722" t="s">
        <v>33</v>
      </c>
      <c r="D722" s="5">
        <v>40000</v>
      </c>
      <c r="E722">
        <v>5</v>
      </c>
      <c r="F722" t="s">
        <v>27</v>
      </c>
      <c r="G722" t="s">
        <v>21</v>
      </c>
      <c r="H722" t="s">
        <v>18</v>
      </c>
      <c r="I722">
        <v>3</v>
      </c>
      <c r="J722" t="s">
        <v>22</v>
      </c>
      <c r="K722" t="s">
        <v>32</v>
      </c>
      <c r="L722">
        <v>60</v>
      </c>
      <c r="M722" t="s">
        <v>15</v>
      </c>
    </row>
    <row r="723" spans="1:13" x14ac:dyDescent="0.25">
      <c r="A723">
        <v>13287</v>
      </c>
      <c r="B723" t="s">
        <v>35</v>
      </c>
      <c r="C723" t="s">
        <v>34</v>
      </c>
      <c r="D723" s="5">
        <v>110000</v>
      </c>
      <c r="E723">
        <v>4</v>
      </c>
      <c r="F723" t="s">
        <v>13</v>
      </c>
      <c r="G723" t="s">
        <v>28</v>
      </c>
      <c r="H723" t="s">
        <v>15</v>
      </c>
      <c r="I723">
        <v>4</v>
      </c>
      <c r="J723" t="s">
        <v>23</v>
      </c>
      <c r="K723" t="s">
        <v>32</v>
      </c>
      <c r="L723">
        <v>42</v>
      </c>
      <c r="M723" t="s">
        <v>15</v>
      </c>
    </row>
    <row r="724" spans="1:13" x14ac:dyDescent="0.25">
      <c r="A724">
        <v>14493</v>
      </c>
      <c r="B724" t="s">
        <v>35</v>
      </c>
      <c r="C724" t="s">
        <v>33</v>
      </c>
      <c r="D724" s="5">
        <v>70000</v>
      </c>
      <c r="E724">
        <v>3</v>
      </c>
      <c r="F724" t="s">
        <v>31</v>
      </c>
      <c r="G724" t="s">
        <v>28</v>
      </c>
      <c r="H724" t="s">
        <v>18</v>
      </c>
      <c r="I724">
        <v>2</v>
      </c>
      <c r="J724" t="s">
        <v>26</v>
      </c>
      <c r="K724" t="s">
        <v>32</v>
      </c>
      <c r="L724">
        <v>53</v>
      </c>
      <c r="M724" t="s">
        <v>18</v>
      </c>
    </row>
    <row r="725" spans="1:13" x14ac:dyDescent="0.25">
      <c r="A725">
        <v>26678</v>
      </c>
      <c r="B725" t="s">
        <v>35</v>
      </c>
      <c r="C725" t="s">
        <v>33</v>
      </c>
      <c r="D725" s="5">
        <v>80000</v>
      </c>
      <c r="E725">
        <v>2</v>
      </c>
      <c r="F725" t="s">
        <v>29</v>
      </c>
      <c r="G725" t="s">
        <v>14</v>
      </c>
      <c r="H725" t="s">
        <v>15</v>
      </c>
      <c r="I725">
        <v>2</v>
      </c>
      <c r="J725" t="s">
        <v>23</v>
      </c>
      <c r="K725" t="s">
        <v>32</v>
      </c>
      <c r="L725">
        <v>49</v>
      </c>
      <c r="M725" t="s">
        <v>18</v>
      </c>
    </row>
    <row r="726" spans="1:13" x14ac:dyDescent="0.25">
      <c r="A726">
        <v>23275</v>
      </c>
      <c r="B726" t="s">
        <v>34</v>
      </c>
      <c r="C726" t="s">
        <v>34</v>
      </c>
      <c r="D726" s="5">
        <v>30000</v>
      </c>
      <c r="E726">
        <v>2</v>
      </c>
      <c r="F726" t="s">
        <v>27</v>
      </c>
      <c r="G726" t="s">
        <v>14</v>
      </c>
      <c r="H726" t="s">
        <v>15</v>
      </c>
      <c r="I726">
        <v>2</v>
      </c>
      <c r="J726" t="s">
        <v>26</v>
      </c>
      <c r="K726" t="s">
        <v>32</v>
      </c>
      <c r="L726">
        <v>49</v>
      </c>
      <c r="M726" t="s">
        <v>18</v>
      </c>
    </row>
    <row r="727" spans="1:13" x14ac:dyDescent="0.25">
      <c r="A727">
        <v>11270</v>
      </c>
      <c r="B727" t="s">
        <v>34</v>
      </c>
      <c r="C727" t="s">
        <v>34</v>
      </c>
      <c r="D727" s="5">
        <v>130000</v>
      </c>
      <c r="E727">
        <v>2</v>
      </c>
      <c r="F727" t="s">
        <v>31</v>
      </c>
      <c r="G727" t="s">
        <v>28</v>
      </c>
      <c r="H727" t="s">
        <v>15</v>
      </c>
      <c r="I727">
        <v>3</v>
      </c>
      <c r="J727" t="s">
        <v>16</v>
      </c>
      <c r="K727" t="s">
        <v>32</v>
      </c>
      <c r="L727">
        <v>42</v>
      </c>
      <c r="M727" t="s">
        <v>15</v>
      </c>
    </row>
    <row r="728" spans="1:13" x14ac:dyDescent="0.25">
      <c r="A728">
        <v>20084</v>
      </c>
      <c r="B728" t="s">
        <v>34</v>
      </c>
      <c r="C728" t="s">
        <v>34</v>
      </c>
      <c r="D728" s="5">
        <v>20000</v>
      </c>
      <c r="E728">
        <v>2</v>
      </c>
      <c r="F728" t="s">
        <v>27</v>
      </c>
      <c r="G728" t="s">
        <v>25</v>
      </c>
      <c r="H728" t="s">
        <v>18</v>
      </c>
      <c r="I728">
        <v>2</v>
      </c>
      <c r="J728" t="s">
        <v>16</v>
      </c>
      <c r="K728" t="s">
        <v>32</v>
      </c>
      <c r="L728">
        <v>53</v>
      </c>
      <c r="M728" t="s">
        <v>18</v>
      </c>
    </row>
    <row r="729" spans="1:13" x14ac:dyDescent="0.25">
      <c r="A729">
        <v>16144</v>
      </c>
      <c r="B729" t="s">
        <v>34</v>
      </c>
      <c r="C729" t="s">
        <v>34</v>
      </c>
      <c r="D729" s="5">
        <v>70000</v>
      </c>
      <c r="E729">
        <v>1</v>
      </c>
      <c r="F729" t="s">
        <v>31</v>
      </c>
      <c r="G729" t="s">
        <v>21</v>
      </c>
      <c r="H729" t="s">
        <v>15</v>
      </c>
      <c r="I729">
        <v>1</v>
      </c>
      <c r="J729" t="s">
        <v>16</v>
      </c>
      <c r="K729" t="s">
        <v>32</v>
      </c>
      <c r="L729">
        <v>46</v>
      </c>
      <c r="M729" t="s">
        <v>15</v>
      </c>
    </row>
    <row r="730" spans="1:13" x14ac:dyDescent="0.25">
      <c r="A730">
        <v>27731</v>
      </c>
      <c r="B730" t="s">
        <v>34</v>
      </c>
      <c r="C730" t="s">
        <v>34</v>
      </c>
      <c r="D730" s="5">
        <v>40000</v>
      </c>
      <c r="E730">
        <v>0</v>
      </c>
      <c r="F730" t="s">
        <v>27</v>
      </c>
      <c r="G730" t="s">
        <v>14</v>
      </c>
      <c r="H730" t="s">
        <v>15</v>
      </c>
      <c r="I730">
        <v>2</v>
      </c>
      <c r="J730" t="s">
        <v>23</v>
      </c>
      <c r="K730" t="s">
        <v>32</v>
      </c>
      <c r="L730">
        <v>27</v>
      </c>
      <c r="M730" t="s">
        <v>18</v>
      </c>
    </row>
    <row r="731" spans="1:13" x14ac:dyDescent="0.25">
      <c r="A731">
        <v>11886</v>
      </c>
      <c r="B731" t="s">
        <v>34</v>
      </c>
      <c r="C731" t="s">
        <v>33</v>
      </c>
      <c r="D731" s="5">
        <v>60000</v>
      </c>
      <c r="E731">
        <v>3</v>
      </c>
      <c r="F731" t="s">
        <v>13</v>
      </c>
      <c r="G731" t="s">
        <v>21</v>
      </c>
      <c r="H731" t="s">
        <v>15</v>
      </c>
      <c r="I731">
        <v>1</v>
      </c>
      <c r="J731" t="s">
        <v>16</v>
      </c>
      <c r="K731" t="s">
        <v>32</v>
      </c>
      <c r="L731">
        <v>48</v>
      </c>
      <c r="M731" t="s">
        <v>15</v>
      </c>
    </row>
    <row r="732" spans="1:13" x14ac:dyDescent="0.25">
      <c r="A732">
        <v>24324</v>
      </c>
      <c r="B732" t="s">
        <v>35</v>
      </c>
      <c r="C732" t="s">
        <v>33</v>
      </c>
      <c r="D732" s="5">
        <v>60000</v>
      </c>
      <c r="E732">
        <v>4</v>
      </c>
      <c r="F732" t="s">
        <v>13</v>
      </c>
      <c r="G732" t="s">
        <v>14</v>
      </c>
      <c r="H732" t="s">
        <v>15</v>
      </c>
      <c r="I732">
        <v>2</v>
      </c>
      <c r="J732" t="s">
        <v>22</v>
      </c>
      <c r="K732" t="s">
        <v>32</v>
      </c>
      <c r="L732">
        <v>41</v>
      </c>
      <c r="M732" t="s">
        <v>15</v>
      </c>
    </row>
    <row r="733" spans="1:13" x14ac:dyDescent="0.25">
      <c r="A733">
        <v>22220</v>
      </c>
      <c r="B733" t="s">
        <v>34</v>
      </c>
      <c r="C733" t="s">
        <v>34</v>
      </c>
      <c r="D733" s="5">
        <v>60000</v>
      </c>
      <c r="E733">
        <v>2</v>
      </c>
      <c r="F733" t="s">
        <v>27</v>
      </c>
      <c r="G733" t="s">
        <v>21</v>
      </c>
      <c r="H733" t="s">
        <v>18</v>
      </c>
      <c r="I733">
        <v>2</v>
      </c>
      <c r="J733" t="s">
        <v>26</v>
      </c>
      <c r="K733" t="s">
        <v>32</v>
      </c>
      <c r="L733">
        <v>49</v>
      </c>
      <c r="M733" t="s">
        <v>15</v>
      </c>
    </row>
    <row r="734" spans="1:13" x14ac:dyDescent="0.25">
      <c r="A734">
        <v>26625</v>
      </c>
      <c r="B734" t="s">
        <v>35</v>
      </c>
      <c r="C734" t="s">
        <v>33</v>
      </c>
      <c r="D734" s="5">
        <v>60000</v>
      </c>
      <c r="E734">
        <v>0</v>
      </c>
      <c r="F734" t="s">
        <v>31</v>
      </c>
      <c r="G734" t="s">
        <v>21</v>
      </c>
      <c r="H734" t="s">
        <v>15</v>
      </c>
      <c r="I734">
        <v>1</v>
      </c>
      <c r="J734" t="s">
        <v>22</v>
      </c>
      <c r="K734" t="s">
        <v>32</v>
      </c>
      <c r="L734">
        <v>38</v>
      </c>
      <c r="M734" t="s">
        <v>15</v>
      </c>
    </row>
    <row r="735" spans="1:13" x14ac:dyDescent="0.25">
      <c r="A735">
        <v>23027</v>
      </c>
      <c r="B735" t="s">
        <v>35</v>
      </c>
      <c r="C735" t="s">
        <v>34</v>
      </c>
      <c r="D735" s="5">
        <v>130000</v>
      </c>
      <c r="E735">
        <v>1</v>
      </c>
      <c r="F735" t="s">
        <v>13</v>
      </c>
      <c r="G735" t="s">
        <v>28</v>
      </c>
      <c r="H735" t="s">
        <v>18</v>
      </c>
      <c r="I735">
        <v>4</v>
      </c>
      <c r="J735" t="s">
        <v>16</v>
      </c>
      <c r="K735" t="s">
        <v>32</v>
      </c>
      <c r="L735">
        <v>44</v>
      </c>
      <c r="M735" t="s">
        <v>18</v>
      </c>
    </row>
    <row r="736" spans="1:13" x14ac:dyDescent="0.25">
      <c r="A736">
        <v>16867</v>
      </c>
      <c r="B736" t="s">
        <v>35</v>
      </c>
      <c r="C736" t="s">
        <v>33</v>
      </c>
      <c r="D736" s="5">
        <v>130000</v>
      </c>
      <c r="E736">
        <v>1</v>
      </c>
      <c r="F736" t="s">
        <v>13</v>
      </c>
      <c r="G736" t="s">
        <v>28</v>
      </c>
      <c r="H736" t="s">
        <v>18</v>
      </c>
      <c r="I736">
        <v>3</v>
      </c>
      <c r="J736" t="s">
        <v>16</v>
      </c>
      <c r="K736" t="s">
        <v>32</v>
      </c>
      <c r="L736">
        <v>45</v>
      </c>
      <c r="M736" t="s">
        <v>15</v>
      </c>
    </row>
    <row r="737" spans="1:13" x14ac:dyDescent="0.25">
      <c r="A737">
        <v>14514</v>
      </c>
      <c r="B737" t="s">
        <v>35</v>
      </c>
      <c r="C737" t="s">
        <v>33</v>
      </c>
      <c r="D737" s="5">
        <v>30000</v>
      </c>
      <c r="E737">
        <v>0</v>
      </c>
      <c r="F737" t="s">
        <v>19</v>
      </c>
      <c r="G737" t="s">
        <v>14</v>
      </c>
      <c r="H737" t="s">
        <v>15</v>
      </c>
      <c r="I737">
        <v>1</v>
      </c>
      <c r="J737" t="s">
        <v>23</v>
      </c>
      <c r="K737" t="s">
        <v>32</v>
      </c>
      <c r="L737">
        <v>26</v>
      </c>
      <c r="M737" t="s">
        <v>18</v>
      </c>
    </row>
    <row r="738" spans="1:13" x14ac:dyDescent="0.25">
      <c r="A738">
        <v>19634</v>
      </c>
      <c r="B738" t="s">
        <v>34</v>
      </c>
      <c r="C738" t="s">
        <v>34</v>
      </c>
      <c r="D738" s="5">
        <v>40000</v>
      </c>
      <c r="E738">
        <v>0</v>
      </c>
      <c r="F738" t="s">
        <v>27</v>
      </c>
      <c r="G738" t="s">
        <v>14</v>
      </c>
      <c r="H738" t="s">
        <v>15</v>
      </c>
      <c r="I738">
        <v>1</v>
      </c>
      <c r="J738" t="s">
        <v>23</v>
      </c>
      <c r="K738" t="s">
        <v>32</v>
      </c>
      <c r="L738">
        <v>31</v>
      </c>
      <c r="M738" t="s">
        <v>18</v>
      </c>
    </row>
    <row r="739" spans="1:13" x14ac:dyDescent="0.25">
      <c r="A739">
        <v>18504</v>
      </c>
      <c r="B739" t="s">
        <v>34</v>
      </c>
      <c r="C739" t="s">
        <v>34</v>
      </c>
      <c r="D739" s="5">
        <v>70000</v>
      </c>
      <c r="E739">
        <v>2</v>
      </c>
      <c r="F739" t="s">
        <v>29</v>
      </c>
      <c r="G739" t="s">
        <v>14</v>
      </c>
      <c r="H739" t="s">
        <v>18</v>
      </c>
      <c r="I739">
        <v>2</v>
      </c>
      <c r="J739" t="s">
        <v>26</v>
      </c>
      <c r="K739" t="s">
        <v>32</v>
      </c>
      <c r="L739">
        <v>49</v>
      </c>
      <c r="M739" t="s">
        <v>18</v>
      </c>
    </row>
    <row r="740" spans="1:13" x14ac:dyDescent="0.25">
      <c r="A740">
        <v>28799</v>
      </c>
      <c r="B740" t="s">
        <v>35</v>
      </c>
      <c r="C740" t="s">
        <v>33</v>
      </c>
      <c r="D740" s="5">
        <v>40000</v>
      </c>
      <c r="E740">
        <v>2</v>
      </c>
      <c r="F740" t="s">
        <v>19</v>
      </c>
      <c r="G740" t="s">
        <v>20</v>
      </c>
      <c r="H740" t="s">
        <v>18</v>
      </c>
      <c r="I740">
        <v>1</v>
      </c>
      <c r="J740" t="s">
        <v>26</v>
      </c>
      <c r="K740" t="s">
        <v>32</v>
      </c>
      <c r="L740">
        <v>47</v>
      </c>
      <c r="M740" t="s">
        <v>15</v>
      </c>
    </row>
    <row r="741" spans="1:13" x14ac:dyDescent="0.25">
      <c r="A741">
        <v>11225</v>
      </c>
      <c r="B741" t="s">
        <v>34</v>
      </c>
      <c r="C741" t="s">
        <v>33</v>
      </c>
      <c r="D741" s="5">
        <v>60000</v>
      </c>
      <c r="E741">
        <v>2</v>
      </c>
      <c r="F741" t="s">
        <v>19</v>
      </c>
      <c r="G741" t="s">
        <v>21</v>
      </c>
      <c r="H741" t="s">
        <v>15</v>
      </c>
      <c r="I741">
        <v>1</v>
      </c>
      <c r="J741" t="s">
        <v>30</v>
      </c>
      <c r="K741" t="s">
        <v>32</v>
      </c>
      <c r="L741">
        <v>55</v>
      </c>
      <c r="M741" t="s">
        <v>18</v>
      </c>
    </row>
    <row r="742" spans="1:13" x14ac:dyDescent="0.25">
      <c r="A742">
        <v>17657</v>
      </c>
      <c r="B742" t="s">
        <v>34</v>
      </c>
      <c r="C742" t="s">
        <v>34</v>
      </c>
      <c r="D742" s="5">
        <v>40000</v>
      </c>
      <c r="E742">
        <v>4</v>
      </c>
      <c r="F742" t="s">
        <v>19</v>
      </c>
      <c r="G742" t="s">
        <v>20</v>
      </c>
      <c r="H742" t="s">
        <v>18</v>
      </c>
      <c r="I742">
        <v>0</v>
      </c>
      <c r="J742" t="s">
        <v>16</v>
      </c>
      <c r="K742" t="s">
        <v>32</v>
      </c>
      <c r="L742">
        <v>30</v>
      </c>
      <c r="M742" t="s">
        <v>18</v>
      </c>
    </row>
    <row r="743" spans="1:13" x14ac:dyDescent="0.25">
      <c r="A743">
        <v>14913</v>
      </c>
      <c r="B743" t="s">
        <v>34</v>
      </c>
      <c r="C743" t="s">
        <v>33</v>
      </c>
      <c r="D743" s="5">
        <v>40000</v>
      </c>
      <c r="E743">
        <v>1</v>
      </c>
      <c r="F743" t="s">
        <v>19</v>
      </c>
      <c r="G743" t="s">
        <v>20</v>
      </c>
      <c r="H743" t="s">
        <v>15</v>
      </c>
      <c r="I743">
        <v>1</v>
      </c>
      <c r="J743" t="s">
        <v>26</v>
      </c>
      <c r="K743" t="s">
        <v>32</v>
      </c>
      <c r="L743">
        <v>48</v>
      </c>
      <c r="M743" t="s">
        <v>15</v>
      </c>
    </row>
    <row r="744" spans="1:13" x14ac:dyDescent="0.25">
      <c r="A744">
        <v>14077</v>
      </c>
      <c r="B744" t="s">
        <v>35</v>
      </c>
      <c r="C744" t="s">
        <v>34</v>
      </c>
      <c r="D744" s="5">
        <v>30000</v>
      </c>
      <c r="E744">
        <v>0</v>
      </c>
      <c r="F744" t="s">
        <v>27</v>
      </c>
      <c r="G744" t="s">
        <v>14</v>
      </c>
      <c r="H744" t="s">
        <v>15</v>
      </c>
      <c r="I744">
        <v>2</v>
      </c>
      <c r="J744" t="s">
        <v>23</v>
      </c>
      <c r="K744" t="s">
        <v>32</v>
      </c>
      <c r="L744">
        <v>30</v>
      </c>
      <c r="M744" t="s">
        <v>18</v>
      </c>
    </row>
    <row r="745" spans="1:13" x14ac:dyDescent="0.25">
      <c r="A745">
        <v>13296</v>
      </c>
      <c r="B745" t="s">
        <v>34</v>
      </c>
      <c r="C745" t="s">
        <v>34</v>
      </c>
      <c r="D745" s="5">
        <v>110000</v>
      </c>
      <c r="E745">
        <v>1</v>
      </c>
      <c r="F745" t="s">
        <v>13</v>
      </c>
      <c r="G745" t="s">
        <v>28</v>
      </c>
      <c r="H745" t="s">
        <v>15</v>
      </c>
      <c r="I745">
        <v>3</v>
      </c>
      <c r="J745" t="s">
        <v>23</v>
      </c>
      <c r="K745" t="s">
        <v>32</v>
      </c>
      <c r="L745">
        <v>45</v>
      </c>
      <c r="M745" t="s">
        <v>18</v>
      </c>
    </row>
    <row r="746" spans="1:13" x14ac:dyDescent="0.25">
      <c r="A746">
        <v>20535</v>
      </c>
      <c r="B746" t="s">
        <v>34</v>
      </c>
      <c r="C746" t="s">
        <v>33</v>
      </c>
      <c r="D746" s="5">
        <v>70000</v>
      </c>
      <c r="E746">
        <v>4</v>
      </c>
      <c r="F746" t="s">
        <v>19</v>
      </c>
      <c r="G746" t="s">
        <v>21</v>
      </c>
      <c r="H746" t="s">
        <v>15</v>
      </c>
      <c r="I746">
        <v>1</v>
      </c>
      <c r="J746" t="s">
        <v>30</v>
      </c>
      <c r="K746" t="s">
        <v>32</v>
      </c>
      <c r="L746">
        <v>56</v>
      </c>
      <c r="M746" t="s">
        <v>18</v>
      </c>
    </row>
    <row r="747" spans="1:13" x14ac:dyDescent="0.25">
      <c r="A747">
        <v>12452</v>
      </c>
      <c r="B747" t="s">
        <v>34</v>
      </c>
      <c r="C747" t="s">
        <v>34</v>
      </c>
      <c r="D747" s="5">
        <v>60000</v>
      </c>
      <c r="E747">
        <v>4</v>
      </c>
      <c r="F747" t="s">
        <v>31</v>
      </c>
      <c r="G747" t="s">
        <v>14</v>
      </c>
      <c r="H747" t="s">
        <v>15</v>
      </c>
      <c r="I747">
        <v>0</v>
      </c>
      <c r="J747" t="s">
        <v>26</v>
      </c>
      <c r="K747" t="s">
        <v>32</v>
      </c>
      <c r="L747">
        <v>47</v>
      </c>
      <c r="M747" t="s">
        <v>15</v>
      </c>
    </row>
    <row r="748" spans="1:13" x14ac:dyDescent="0.25">
      <c r="A748">
        <v>28043</v>
      </c>
      <c r="B748" t="s">
        <v>34</v>
      </c>
      <c r="C748" t="s">
        <v>33</v>
      </c>
      <c r="D748" s="5">
        <v>60000</v>
      </c>
      <c r="E748">
        <v>2</v>
      </c>
      <c r="F748" t="s">
        <v>13</v>
      </c>
      <c r="G748" t="s">
        <v>28</v>
      </c>
      <c r="H748" t="s">
        <v>15</v>
      </c>
      <c r="I748">
        <v>0</v>
      </c>
      <c r="J748" t="s">
        <v>30</v>
      </c>
      <c r="K748" t="s">
        <v>32</v>
      </c>
      <c r="L748">
        <v>56</v>
      </c>
      <c r="M748" t="s">
        <v>18</v>
      </c>
    </row>
    <row r="749" spans="1:13" x14ac:dyDescent="0.25">
      <c r="A749">
        <v>12957</v>
      </c>
      <c r="B749" t="s">
        <v>35</v>
      </c>
      <c r="C749" t="s">
        <v>33</v>
      </c>
      <c r="D749" s="5">
        <v>70000</v>
      </c>
      <c r="E749">
        <v>1</v>
      </c>
      <c r="F749" t="s">
        <v>13</v>
      </c>
      <c r="G749" t="s">
        <v>21</v>
      </c>
      <c r="H749" t="s">
        <v>18</v>
      </c>
      <c r="I749">
        <v>1</v>
      </c>
      <c r="J749" t="s">
        <v>16</v>
      </c>
      <c r="K749" t="s">
        <v>32</v>
      </c>
      <c r="L749">
        <v>44</v>
      </c>
      <c r="M749" t="s">
        <v>18</v>
      </c>
    </row>
    <row r="750" spans="1:13" x14ac:dyDescent="0.25">
      <c r="A750">
        <v>15412</v>
      </c>
      <c r="B750" t="s">
        <v>34</v>
      </c>
      <c r="C750" t="s">
        <v>34</v>
      </c>
      <c r="D750" s="5">
        <v>130000</v>
      </c>
      <c r="E750">
        <v>2</v>
      </c>
      <c r="F750" t="s">
        <v>31</v>
      </c>
      <c r="G750" t="s">
        <v>28</v>
      </c>
      <c r="H750" t="s">
        <v>15</v>
      </c>
      <c r="I750">
        <v>3</v>
      </c>
      <c r="J750" t="s">
        <v>22</v>
      </c>
      <c r="K750" t="s">
        <v>32</v>
      </c>
      <c r="L750">
        <v>69</v>
      </c>
      <c r="M750" t="s">
        <v>18</v>
      </c>
    </row>
    <row r="751" spans="1:13" x14ac:dyDescent="0.25">
      <c r="A751">
        <v>20514</v>
      </c>
      <c r="B751" t="s">
        <v>34</v>
      </c>
      <c r="C751" t="s">
        <v>33</v>
      </c>
      <c r="D751" s="5">
        <v>70000</v>
      </c>
      <c r="E751">
        <v>2</v>
      </c>
      <c r="F751" t="s">
        <v>19</v>
      </c>
      <c r="G751" t="s">
        <v>21</v>
      </c>
      <c r="H751" t="s">
        <v>15</v>
      </c>
      <c r="I751">
        <v>1</v>
      </c>
      <c r="J751" t="s">
        <v>22</v>
      </c>
      <c r="K751" t="s">
        <v>32</v>
      </c>
      <c r="L751">
        <v>59</v>
      </c>
      <c r="M751" t="s">
        <v>18</v>
      </c>
    </row>
    <row r="752" spans="1:13" x14ac:dyDescent="0.25">
      <c r="A752">
        <v>20758</v>
      </c>
      <c r="B752" t="s">
        <v>34</v>
      </c>
      <c r="C752" t="s">
        <v>34</v>
      </c>
      <c r="D752" s="5">
        <v>30000</v>
      </c>
      <c r="E752">
        <v>2</v>
      </c>
      <c r="F752" t="s">
        <v>27</v>
      </c>
      <c r="G752" t="s">
        <v>14</v>
      </c>
      <c r="H752" t="s">
        <v>15</v>
      </c>
      <c r="I752">
        <v>2</v>
      </c>
      <c r="J752" t="s">
        <v>26</v>
      </c>
      <c r="K752" t="s">
        <v>32</v>
      </c>
      <c r="L752">
        <v>50</v>
      </c>
      <c r="M752" t="s">
        <v>18</v>
      </c>
    </row>
    <row r="753" spans="1:13" x14ac:dyDescent="0.25">
      <c r="A753">
        <v>11801</v>
      </c>
      <c r="B753" t="s">
        <v>34</v>
      </c>
      <c r="C753" t="s">
        <v>34</v>
      </c>
      <c r="D753" s="5">
        <v>60000</v>
      </c>
      <c r="E753">
        <v>1</v>
      </c>
      <c r="F753" t="s">
        <v>31</v>
      </c>
      <c r="G753" t="s">
        <v>21</v>
      </c>
      <c r="H753" t="s">
        <v>15</v>
      </c>
      <c r="I753">
        <v>0</v>
      </c>
      <c r="J753" t="s">
        <v>22</v>
      </c>
      <c r="K753" t="s">
        <v>32</v>
      </c>
      <c r="L753">
        <v>36</v>
      </c>
      <c r="M753" t="s">
        <v>18</v>
      </c>
    </row>
    <row r="754" spans="1:13" x14ac:dyDescent="0.25">
      <c r="A754">
        <v>22211</v>
      </c>
      <c r="B754" t="s">
        <v>34</v>
      </c>
      <c r="C754" t="s">
        <v>34</v>
      </c>
      <c r="D754" s="5">
        <v>60000</v>
      </c>
      <c r="E754">
        <v>0</v>
      </c>
      <c r="F754" t="s">
        <v>19</v>
      </c>
      <c r="G754" t="s">
        <v>21</v>
      </c>
      <c r="H754" t="s">
        <v>15</v>
      </c>
      <c r="I754">
        <v>2</v>
      </c>
      <c r="J754" t="s">
        <v>23</v>
      </c>
      <c r="K754" t="s">
        <v>32</v>
      </c>
      <c r="L754">
        <v>32</v>
      </c>
      <c r="M754" t="s">
        <v>18</v>
      </c>
    </row>
    <row r="755" spans="1:13" x14ac:dyDescent="0.25">
      <c r="A755">
        <v>28087</v>
      </c>
      <c r="B755" t="s">
        <v>35</v>
      </c>
      <c r="C755" t="s">
        <v>33</v>
      </c>
      <c r="D755" s="5">
        <v>40000</v>
      </c>
      <c r="E755">
        <v>0</v>
      </c>
      <c r="F755" t="s">
        <v>19</v>
      </c>
      <c r="G755" t="s">
        <v>14</v>
      </c>
      <c r="H755" t="s">
        <v>18</v>
      </c>
      <c r="I755">
        <v>1</v>
      </c>
      <c r="J755" t="s">
        <v>26</v>
      </c>
      <c r="K755" t="s">
        <v>32</v>
      </c>
      <c r="L755">
        <v>27</v>
      </c>
      <c r="M755" t="s">
        <v>18</v>
      </c>
    </row>
    <row r="756" spans="1:13" x14ac:dyDescent="0.25">
      <c r="A756">
        <v>23668</v>
      </c>
      <c r="B756" t="s">
        <v>34</v>
      </c>
      <c r="C756" t="s">
        <v>33</v>
      </c>
      <c r="D756" s="5">
        <v>40000</v>
      </c>
      <c r="E756">
        <v>4</v>
      </c>
      <c r="F756" t="s">
        <v>27</v>
      </c>
      <c r="G756" t="s">
        <v>21</v>
      </c>
      <c r="H756" t="s">
        <v>15</v>
      </c>
      <c r="I756">
        <v>2</v>
      </c>
      <c r="J756" t="s">
        <v>23</v>
      </c>
      <c r="K756" t="s">
        <v>32</v>
      </c>
      <c r="L756">
        <v>59</v>
      </c>
      <c r="M756" t="s">
        <v>15</v>
      </c>
    </row>
    <row r="757" spans="1:13" x14ac:dyDescent="0.25">
      <c r="A757">
        <v>27441</v>
      </c>
      <c r="B757" t="s">
        <v>34</v>
      </c>
      <c r="C757" t="s">
        <v>34</v>
      </c>
      <c r="D757" s="5">
        <v>60000</v>
      </c>
      <c r="E757">
        <v>3</v>
      </c>
      <c r="F757" t="s">
        <v>27</v>
      </c>
      <c r="G757" t="s">
        <v>21</v>
      </c>
      <c r="H757" t="s">
        <v>18</v>
      </c>
      <c r="I757">
        <v>2</v>
      </c>
      <c r="J757" t="s">
        <v>22</v>
      </c>
      <c r="K757" t="s">
        <v>32</v>
      </c>
      <c r="L757">
        <v>53</v>
      </c>
      <c r="M757" t="s">
        <v>18</v>
      </c>
    </row>
    <row r="758" spans="1:13" x14ac:dyDescent="0.25">
      <c r="A758">
        <v>27261</v>
      </c>
      <c r="B758" t="s">
        <v>34</v>
      </c>
      <c r="C758" t="s">
        <v>34</v>
      </c>
      <c r="D758" s="5">
        <v>40000</v>
      </c>
      <c r="E758">
        <v>1</v>
      </c>
      <c r="F758" t="s">
        <v>13</v>
      </c>
      <c r="G758" t="s">
        <v>14</v>
      </c>
      <c r="H758" t="s">
        <v>18</v>
      </c>
      <c r="I758">
        <v>1</v>
      </c>
      <c r="J758" t="s">
        <v>16</v>
      </c>
      <c r="K758" t="s">
        <v>32</v>
      </c>
      <c r="L758">
        <v>36</v>
      </c>
      <c r="M758" t="s">
        <v>15</v>
      </c>
    </row>
    <row r="759" spans="1:13" x14ac:dyDescent="0.25">
      <c r="A759">
        <v>18649</v>
      </c>
      <c r="B759" t="s">
        <v>35</v>
      </c>
      <c r="C759" t="s">
        <v>34</v>
      </c>
      <c r="D759" s="5">
        <v>30000</v>
      </c>
      <c r="E759">
        <v>1</v>
      </c>
      <c r="F759" t="s">
        <v>27</v>
      </c>
      <c r="G759" t="s">
        <v>20</v>
      </c>
      <c r="H759" t="s">
        <v>15</v>
      </c>
      <c r="I759">
        <v>2</v>
      </c>
      <c r="J759" t="s">
        <v>26</v>
      </c>
      <c r="K759" t="s">
        <v>32</v>
      </c>
      <c r="L759">
        <v>51</v>
      </c>
      <c r="M759" t="s">
        <v>15</v>
      </c>
    </row>
    <row r="760" spans="1:13" x14ac:dyDescent="0.25">
      <c r="A760">
        <v>21714</v>
      </c>
      <c r="B760" t="s">
        <v>35</v>
      </c>
      <c r="C760" t="s">
        <v>33</v>
      </c>
      <c r="D760" s="5">
        <v>80000</v>
      </c>
      <c r="E760">
        <v>5</v>
      </c>
      <c r="F760" t="s">
        <v>31</v>
      </c>
      <c r="G760" t="s">
        <v>14</v>
      </c>
      <c r="H760" t="s">
        <v>18</v>
      </c>
      <c r="I760">
        <v>0</v>
      </c>
      <c r="J760" t="s">
        <v>16</v>
      </c>
      <c r="K760" t="s">
        <v>32</v>
      </c>
      <c r="L760">
        <v>47</v>
      </c>
      <c r="M760" t="s">
        <v>18</v>
      </c>
    </row>
    <row r="761" spans="1:13" x14ac:dyDescent="0.25">
      <c r="A761">
        <v>23217</v>
      </c>
      <c r="B761" t="s">
        <v>35</v>
      </c>
      <c r="C761" t="s">
        <v>33</v>
      </c>
      <c r="D761" s="5">
        <v>60000</v>
      </c>
      <c r="E761">
        <v>3</v>
      </c>
      <c r="F761" t="s">
        <v>31</v>
      </c>
      <c r="G761" t="s">
        <v>21</v>
      </c>
      <c r="H761" t="s">
        <v>15</v>
      </c>
      <c r="I761">
        <v>0</v>
      </c>
      <c r="J761" t="s">
        <v>22</v>
      </c>
      <c r="K761" t="s">
        <v>32</v>
      </c>
      <c r="L761">
        <v>43</v>
      </c>
      <c r="M761" t="s">
        <v>15</v>
      </c>
    </row>
    <row r="762" spans="1:13" x14ac:dyDescent="0.25">
      <c r="A762">
        <v>23797</v>
      </c>
      <c r="B762" t="s">
        <v>35</v>
      </c>
      <c r="C762" t="s">
        <v>34</v>
      </c>
      <c r="D762" s="5">
        <v>20000</v>
      </c>
      <c r="E762">
        <v>3</v>
      </c>
      <c r="F762" t="s">
        <v>29</v>
      </c>
      <c r="G762" t="s">
        <v>20</v>
      </c>
      <c r="H762" t="s">
        <v>18</v>
      </c>
      <c r="I762">
        <v>2</v>
      </c>
      <c r="J762" t="s">
        <v>16</v>
      </c>
      <c r="K762" t="s">
        <v>32</v>
      </c>
      <c r="L762">
        <v>50</v>
      </c>
      <c r="M762" t="s">
        <v>18</v>
      </c>
    </row>
    <row r="763" spans="1:13" x14ac:dyDescent="0.25">
      <c r="A763">
        <v>13216</v>
      </c>
      <c r="B763" t="s">
        <v>34</v>
      </c>
      <c r="C763" t="s">
        <v>33</v>
      </c>
      <c r="D763" s="5">
        <v>60000</v>
      </c>
      <c r="E763">
        <v>5</v>
      </c>
      <c r="F763" t="s">
        <v>13</v>
      </c>
      <c r="G763" t="s">
        <v>28</v>
      </c>
      <c r="H763" t="s">
        <v>15</v>
      </c>
      <c r="I763">
        <v>3</v>
      </c>
      <c r="J763" t="s">
        <v>30</v>
      </c>
      <c r="K763" t="s">
        <v>32</v>
      </c>
      <c r="L763">
        <v>59</v>
      </c>
      <c r="M763" t="s">
        <v>18</v>
      </c>
    </row>
    <row r="764" spans="1:13" x14ac:dyDescent="0.25">
      <c r="A764">
        <v>20657</v>
      </c>
      <c r="B764" t="s">
        <v>35</v>
      </c>
      <c r="C764" t="s">
        <v>34</v>
      </c>
      <c r="D764" s="5">
        <v>50000</v>
      </c>
      <c r="E764">
        <v>2</v>
      </c>
      <c r="F764" t="s">
        <v>13</v>
      </c>
      <c r="G764" t="s">
        <v>14</v>
      </c>
      <c r="H764" t="s">
        <v>15</v>
      </c>
      <c r="I764">
        <v>0</v>
      </c>
      <c r="J764" t="s">
        <v>22</v>
      </c>
      <c r="K764" t="s">
        <v>32</v>
      </c>
      <c r="L764">
        <v>37</v>
      </c>
      <c r="M764" t="s">
        <v>15</v>
      </c>
    </row>
    <row r="765" spans="1:13" x14ac:dyDescent="0.25">
      <c r="A765">
        <v>12882</v>
      </c>
      <c r="B765" t="s">
        <v>34</v>
      </c>
      <c r="C765" t="s">
        <v>34</v>
      </c>
      <c r="D765" s="5">
        <v>50000</v>
      </c>
      <c r="E765">
        <v>1</v>
      </c>
      <c r="F765" t="s">
        <v>31</v>
      </c>
      <c r="G765" t="s">
        <v>14</v>
      </c>
      <c r="H765" t="s">
        <v>15</v>
      </c>
      <c r="I765">
        <v>0</v>
      </c>
      <c r="J765" t="s">
        <v>16</v>
      </c>
      <c r="K765" t="s">
        <v>32</v>
      </c>
      <c r="L765">
        <v>33</v>
      </c>
      <c r="M765" t="s">
        <v>15</v>
      </c>
    </row>
    <row r="766" spans="1:13" x14ac:dyDescent="0.25">
      <c r="A766">
        <v>25908</v>
      </c>
      <c r="B766" t="s">
        <v>34</v>
      </c>
      <c r="C766" t="s">
        <v>33</v>
      </c>
      <c r="D766" s="5">
        <v>60000</v>
      </c>
      <c r="E766">
        <v>0</v>
      </c>
      <c r="F766" t="s">
        <v>19</v>
      </c>
      <c r="G766" t="s">
        <v>14</v>
      </c>
      <c r="H766" t="s">
        <v>18</v>
      </c>
      <c r="I766">
        <v>1</v>
      </c>
      <c r="J766" t="s">
        <v>26</v>
      </c>
      <c r="K766" t="s">
        <v>32</v>
      </c>
      <c r="L766">
        <v>27</v>
      </c>
      <c r="M766" t="s">
        <v>18</v>
      </c>
    </row>
    <row r="767" spans="1:13" x14ac:dyDescent="0.25">
      <c r="A767">
        <v>16753</v>
      </c>
      <c r="B767" t="s">
        <v>35</v>
      </c>
      <c r="C767" t="s">
        <v>33</v>
      </c>
      <c r="D767" s="5">
        <v>70000</v>
      </c>
      <c r="E767">
        <v>0</v>
      </c>
      <c r="F767" t="s">
        <v>19</v>
      </c>
      <c r="G767" t="s">
        <v>14</v>
      </c>
      <c r="H767" t="s">
        <v>15</v>
      </c>
      <c r="I767">
        <v>2</v>
      </c>
      <c r="J767" t="s">
        <v>23</v>
      </c>
      <c r="K767" t="s">
        <v>32</v>
      </c>
      <c r="L767">
        <v>34</v>
      </c>
      <c r="M767" t="s">
        <v>15</v>
      </c>
    </row>
    <row r="768" spans="1:13" x14ac:dyDescent="0.25">
      <c r="A768">
        <v>14608</v>
      </c>
      <c r="B768" t="s">
        <v>34</v>
      </c>
      <c r="C768" t="s">
        <v>34</v>
      </c>
      <c r="D768" s="5">
        <v>50000</v>
      </c>
      <c r="E768">
        <v>4</v>
      </c>
      <c r="F768" t="s">
        <v>13</v>
      </c>
      <c r="G768" t="s">
        <v>14</v>
      </c>
      <c r="H768" t="s">
        <v>15</v>
      </c>
      <c r="I768">
        <v>3</v>
      </c>
      <c r="J768" t="s">
        <v>30</v>
      </c>
      <c r="K768" t="s">
        <v>32</v>
      </c>
      <c r="L768">
        <v>42</v>
      </c>
      <c r="M768" t="s">
        <v>18</v>
      </c>
    </row>
    <row r="769" spans="1:13" x14ac:dyDescent="0.25">
      <c r="A769">
        <v>24979</v>
      </c>
      <c r="B769" t="s">
        <v>34</v>
      </c>
      <c r="C769" t="s">
        <v>33</v>
      </c>
      <c r="D769" s="5">
        <v>60000</v>
      </c>
      <c r="E769">
        <v>2</v>
      </c>
      <c r="F769" t="s">
        <v>19</v>
      </c>
      <c r="G769" t="s">
        <v>21</v>
      </c>
      <c r="H769" t="s">
        <v>15</v>
      </c>
      <c r="I769">
        <v>2</v>
      </c>
      <c r="J769" t="s">
        <v>22</v>
      </c>
      <c r="K769" t="s">
        <v>32</v>
      </c>
      <c r="L769">
        <v>57</v>
      </c>
      <c r="M769" t="s">
        <v>15</v>
      </c>
    </row>
    <row r="770" spans="1:13" x14ac:dyDescent="0.25">
      <c r="A770">
        <v>13313</v>
      </c>
      <c r="B770" t="s">
        <v>34</v>
      </c>
      <c r="C770" t="s">
        <v>33</v>
      </c>
      <c r="D770" s="5">
        <v>120000</v>
      </c>
      <c r="E770">
        <v>1</v>
      </c>
      <c r="F770" t="s">
        <v>27</v>
      </c>
      <c r="G770" t="s">
        <v>21</v>
      </c>
      <c r="H770" t="s">
        <v>18</v>
      </c>
      <c r="I770">
        <v>4</v>
      </c>
      <c r="J770" t="s">
        <v>22</v>
      </c>
      <c r="K770" t="s">
        <v>32</v>
      </c>
      <c r="L770">
        <v>45</v>
      </c>
      <c r="M770" t="s">
        <v>18</v>
      </c>
    </row>
    <row r="771" spans="1:13" x14ac:dyDescent="0.25">
      <c r="A771">
        <v>18952</v>
      </c>
      <c r="B771" t="s">
        <v>34</v>
      </c>
      <c r="C771" t="s">
        <v>33</v>
      </c>
      <c r="D771" s="5">
        <v>100000</v>
      </c>
      <c r="E771">
        <v>4</v>
      </c>
      <c r="F771" t="s">
        <v>13</v>
      </c>
      <c r="G771" t="s">
        <v>28</v>
      </c>
      <c r="H771" t="s">
        <v>15</v>
      </c>
      <c r="I771">
        <v>4</v>
      </c>
      <c r="J771" t="s">
        <v>16</v>
      </c>
      <c r="K771" t="s">
        <v>32</v>
      </c>
      <c r="L771">
        <v>40</v>
      </c>
      <c r="M771" t="s">
        <v>18</v>
      </c>
    </row>
    <row r="772" spans="1:13" x14ac:dyDescent="0.25">
      <c r="A772">
        <v>17699</v>
      </c>
      <c r="B772" t="s">
        <v>34</v>
      </c>
      <c r="C772" t="s">
        <v>34</v>
      </c>
      <c r="D772" s="5">
        <v>60000</v>
      </c>
      <c r="E772">
        <v>1</v>
      </c>
      <c r="F772" t="s">
        <v>31</v>
      </c>
      <c r="G772" t="s">
        <v>14</v>
      </c>
      <c r="H772" t="s">
        <v>18</v>
      </c>
      <c r="I772">
        <v>0</v>
      </c>
      <c r="J772" t="s">
        <v>16</v>
      </c>
      <c r="K772" t="s">
        <v>32</v>
      </c>
      <c r="L772">
        <v>55</v>
      </c>
      <c r="M772" t="s">
        <v>18</v>
      </c>
    </row>
    <row r="773" spans="1:13" x14ac:dyDescent="0.25">
      <c r="A773">
        <v>14657</v>
      </c>
      <c r="B773" t="s">
        <v>34</v>
      </c>
      <c r="C773" t="s">
        <v>34</v>
      </c>
      <c r="D773" s="5">
        <v>80000</v>
      </c>
      <c r="E773">
        <v>1</v>
      </c>
      <c r="F773" t="s">
        <v>19</v>
      </c>
      <c r="G773" t="s">
        <v>14</v>
      </c>
      <c r="H773" t="s">
        <v>18</v>
      </c>
      <c r="I773">
        <v>1</v>
      </c>
      <c r="J773" t="s">
        <v>16</v>
      </c>
      <c r="K773" t="s">
        <v>32</v>
      </c>
      <c r="L773">
        <v>47</v>
      </c>
      <c r="M773" t="s">
        <v>15</v>
      </c>
    </row>
    <row r="774" spans="1:13" x14ac:dyDescent="0.25">
      <c r="A774">
        <v>11540</v>
      </c>
      <c r="B774" t="s">
        <v>35</v>
      </c>
      <c r="C774" t="s">
        <v>34</v>
      </c>
      <c r="D774" s="5">
        <v>60000</v>
      </c>
      <c r="E774">
        <v>4</v>
      </c>
      <c r="F774" t="s">
        <v>31</v>
      </c>
      <c r="G774" t="s">
        <v>14</v>
      </c>
      <c r="H774" t="s">
        <v>15</v>
      </c>
      <c r="I774">
        <v>0</v>
      </c>
      <c r="J774" t="s">
        <v>26</v>
      </c>
      <c r="K774" t="s">
        <v>32</v>
      </c>
      <c r="L774">
        <v>47</v>
      </c>
      <c r="M774" t="s">
        <v>15</v>
      </c>
    </row>
    <row r="775" spans="1:13" x14ac:dyDescent="0.25">
      <c r="A775">
        <v>11783</v>
      </c>
      <c r="B775" t="s">
        <v>34</v>
      </c>
      <c r="C775" t="s">
        <v>33</v>
      </c>
      <c r="D775" s="5">
        <v>60000</v>
      </c>
      <c r="E775">
        <v>1</v>
      </c>
      <c r="F775" t="s">
        <v>31</v>
      </c>
      <c r="G775" t="s">
        <v>14</v>
      </c>
      <c r="H775" t="s">
        <v>15</v>
      </c>
      <c r="I775">
        <v>0</v>
      </c>
      <c r="J775" t="s">
        <v>16</v>
      </c>
      <c r="K775" t="s">
        <v>32</v>
      </c>
      <c r="L775">
        <v>34</v>
      </c>
      <c r="M775" t="s">
        <v>18</v>
      </c>
    </row>
    <row r="776" spans="1:13" x14ac:dyDescent="0.25">
      <c r="A776">
        <v>14602</v>
      </c>
      <c r="B776" t="s">
        <v>34</v>
      </c>
      <c r="C776" t="s">
        <v>33</v>
      </c>
      <c r="D776" s="5">
        <v>80000</v>
      </c>
      <c r="E776">
        <v>3</v>
      </c>
      <c r="F776" t="s">
        <v>31</v>
      </c>
      <c r="G776" t="s">
        <v>21</v>
      </c>
      <c r="H776" t="s">
        <v>15</v>
      </c>
      <c r="I776">
        <v>0</v>
      </c>
      <c r="J776" t="s">
        <v>16</v>
      </c>
      <c r="K776" t="s">
        <v>32</v>
      </c>
      <c r="L776">
        <v>36</v>
      </c>
      <c r="M776" t="s">
        <v>15</v>
      </c>
    </row>
    <row r="777" spans="1:13" x14ac:dyDescent="0.25">
      <c r="A777">
        <v>29030</v>
      </c>
      <c r="B777" t="s">
        <v>34</v>
      </c>
      <c r="C777" t="s">
        <v>34</v>
      </c>
      <c r="D777" s="5">
        <v>70000</v>
      </c>
      <c r="E777">
        <v>2</v>
      </c>
      <c r="F777" t="s">
        <v>29</v>
      </c>
      <c r="G777" t="s">
        <v>14</v>
      </c>
      <c r="H777" t="s">
        <v>15</v>
      </c>
      <c r="I777">
        <v>2</v>
      </c>
      <c r="J777" t="s">
        <v>30</v>
      </c>
      <c r="K777" t="s">
        <v>32</v>
      </c>
      <c r="L777">
        <v>54</v>
      </c>
      <c r="M777" t="s">
        <v>18</v>
      </c>
    </row>
    <row r="778" spans="1:13" x14ac:dyDescent="0.25">
      <c r="A778">
        <v>26490</v>
      </c>
      <c r="B778" t="s">
        <v>35</v>
      </c>
      <c r="C778" t="s">
        <v>34</v>
      </c>
      <c r="D778" s="5">
        <v>70000</v>
      </c>
      <c r="E778">
        <v>2</v>
      </c>
      <c r="F778" t="s">
        <v>13</v>
      </c>
      <c r="G778" t="s">
        <v>28</v>
      </c>
      <c r="H778" t="s">
        <v>18</v>
      </c>
      <c r="I778">
        <v>1</v>
      </c>
      <c r="J778" t="s">
        <v>22</v>
      </c>
      <c r="K778" t="s">
        <v>32</v>
      </c>
      <c r="L778">
        <v>59</v>
      </c>
      <c r="M778" t="s">
        <v>15</v>
      </c>
    </row>
    <row r="779" spans="1:13" x14ac:dyDescent="0.25">
      <c r="A779">
        <v>13151</v>
      </c>
      <c r="B779" t="s">
        <v>35</v>
      </c>
      <c r="C779" t="s">
        <v>34</v>
      </c>
      <c r="D779" s="5">
        <v>40000</v>
      </c>
      <c r="E779">
        <v>0</v>
      </c>
      <c r="F779" t="s">
        <v>27</v>
      </c>
      <c r="G779" t="s">
        <v>14</v>
      </c>
      <c r="H779" t="s">
        <v>15</v>
      </c>
      <c r="I779">
        <v>2</v>
      </c>
      <c r="J779" t="s">
        <v>23</v>
      </c>
      <c r="K779" t="s">
        <v>32</v>
      </c>
      <c r="L779">
        <v>27</v>
      </c>
      <c r="M779" t="s">
        <v>18</v>
      </c>
    </row>
    <row r="780" spans="1:13" x14ac:dyDescent="0.25">
      <c r="A780">
        <v>17260</v>
      </c>
      <c r="B780" t="s">
        <v>34</v>
      </c>
      <c r="C780" t="s">
        <v>34</v>
      </c>
      <c r="D780" s="5">
        <v>90000</v>
      </c>
      <c r="E780">
        <v>5</v>
      </c>
      <c r="F780" t="s">
        <v>19</v>
      </c>
      <c r="G780" t="s">
        <v>21</v>
      </c>
      <c r="H780" t="s">
        <v>15</v>
      </c>
      <c r="I780">
        <v>3</v>
      </c>
      <c r="J780" t="s">
        <v>16</v>
      </c>
      <c r="K780" t="s">
        <v>32</v>
      </c>
      <c r="L780">
        <v>41</v>
      </c>
      <c r="M780" t="s">
        <v>18</v>
      </c>
    </row>
    <row r="781" spans="1:13" x14ac:dyDescent="0.25">
      <c r="A781">
        <v>15372</v>
      </c>
      <c r="B781" t="s">
        <v>34</v>
      </c>
      <c r="C781" t="s">
        <v>34</v>
      </c>
      <c r="D781" s="5">
        <v>80000</v>
      </c>
      <c r="E781">
        <v>3</v>
      </c>
      <c r="F781" t="s">
        <v>19</v>
      </c>
      <c r="G781" t="s">
        <v>21</v>
      </c>
      <c r="H781" t="s">
        <v>18</v>
      </c>
      <c r="I781">
        <v>2</v>
      </c>
      <c r="J781" t="s">
        <v>22</v>
      </c>
      <c r="K781" t="s">
        <v>32</v>
      </c>
      <c r="L781">
        <v>50</v>
      </c>
      <c r="M781" t="s">
        <v>15</v>
      </c>
    </row>
    <row r="782" spans="1:13" x14ac:dyDescent="0.25">
      <c r="A782">
        <v>18105</v>
      </c>
      <c r="B782" t="s">
        <v>34</v>
      </c>
      <c r="C782" t="s">
        <v>33</v>
      </c>
      <c r="D782" s="5">
        <v>60000</v>
      </c>
      <c r="E782">
        <v>2</v>
      </c>
      <c r="F782" t="s">
        <v>19</v>
      </c>
      <c r="G782" t="s">
        <v>21</v>
      </c>
      <c r="H782" t="s">
        <v>15</v>
      </c>
      <c r="I782">
        <v>1</v>
      </c>
      <c r="J782" t="s">
        <v>30</v>
      </c>
      <c r="K782" t="s">
        <v>32</v>
      </c>
      <c r="L782">
        <v>55</v>
      </c>
      <c r="M782" t="s">
        <v>18</v>
      </c>
    </row>
    <row r="783" spans="1:13" x14ac:dyDescent="0.25">
      <c r="A783">
        <v>19660</v>
      </c>
      <c r="B783" t="s">
        <v>34</v>
      </c>
      <c r="C783" t="s">
        <v>34</v>
      </c>
      <c r="D783" s="5">
        <v>80000</v>
      </c>
      <c r="E783">
        <v>4</v>
      </c>
      <c r="F783" t="s">
        <v>13</v>
      </c>
      <c r="G783" t="s">
        <v>28</v>
      </c>
      <c r="H783" t="s">
        <v>15</v>
      </c>
      <c r="I783">
        <v>0</v>
      </c>
      <c r="J783" t="s">
        <v>16</v>
      </c>
      <c r="K783" t="s">
        <v>32</v>
      </c>
      <c r="L783">
        <v>43</v>
      </c>
      <c r="M783" t="s">
        <v>18</v>
      </c>
    </row>
    <row r="784" spans="1:13" x14ac:dyDescent="0.25">
      <c r="A784">
        <v>16112</v>
      </c>
      <c r="B784" t="s">
        <v>35</v>
      </c>
      <c r="C784" t="s">
        <v>34</v>
      </c>
      <c r="D784" s="5">
        <v>70000</v>
      </c>
      <c r="E784">
        <v>4</v>
      </c>
      <c r="F784" t="s">
        <v>13</v>
      </c>
      <c r="G784" t="s">
        <v>21</v>
      </c>
      <c r="H784" t="s">
        <v>15</v>
      </c>
      <c r="I784">
        <v>2</v>
      </c>
      <c r="J784" t="s">
        <v>22</v>
      </c>
      <c r="K784" t="s">
        <v>32</v>
      </c>
      <c r="L784">
        <v>43</v>
      </c>
      <c r="M784" t="s">
        <v>15</v>
      </c>
    </row>
    <row r="785" spans="1:13" x14ac:dyDescent="0.25">
      <c r="A785">
        <v>20698</v>
      </c>
      <c r="B785" t="s">
        <v>34</v>
      </c>
      <c r="C785" t="s">
        <v>34</v>
      </c>
      <c r="D785" s="5">
        <v>60000</v>
      </c>
      <c r="E785">
        <v>4</v>
      </c>
      <c r="F785" t="s">
        <v>13</v>
      </c>
      <c r="G785" t="s">
        <v>14</v>
      </c>
      <c r="H785" t="s">
        <v>15</v>
      </c>
      <c r="I785">
        <v>3</v>
      </c>
      <c r="J785" t="s">
        <v>23</v>
      </c>
      <c r="K785" t="s">
        <v>32</v>
      </c>
      <c r="L785">
        <v>42</v>
      </c>
      <c r="M785" t="s">
        <v>18</v>
      </c>
    </row>
    <row r="786" spans="1:13" x14ac:dyDescent="0.25">
      <c r="A786">
        <v>20076</v>
      </c>
      <c r="B786" t="s">
        <v>35</v>
      </c>
      <c r="C786" t="s">
        <v>33</v>
      </c>
      <c r="D786" s="5">
        <v>10000</v>
      </c>
      <c r="E786">
        <v>2</v>
      </c>
      <c r="F786" t="s">
        <v>27</v>
      </c>
      <c r="G786" t="s">
        <v>25</v>
      </c>
      <c r="H786" t="s">
        <v>15</v>
      </c>
      <c r="I786">
        <v>2</v>
      </c>
      <c r="J786" t="s">
        <v>26</v>
      </c>
      <c r="K786" t="s">
        <v>32</v>
      </c>
      <c r="L786">
        <v>53</v>
      </c>
      <c r="M786" t="s">
        <v>15</v>
      </c>
    </row>
    <row r="787" spans="1:13" x14ac:dyDescent="0.25">
      <c r="A787">
        <v>24496</v>
      </c>
      <c r="B787" t="s">
        <v>35</v>
      </c>
      <c r="C787" t="s">
        <v>33</v>
      </c>
      <c r="D787" s="5">
        <v>40000</v>
      </c>
      <c r="E787">
        <v>0</v>
      </c>
      <c r="F787" t="s">
        <v>27</v>
      </c>
      <c r="G787" t="s">
        <v>14</v>
      </c>
      <c r="H787" t="s">
        <v>18</v>
      </c>
      <c r="I787">
        <v>2</v>
      </c>
      <c r="J787" t="s">
        <v>16</v>
      </c>
      <c r="K787" t="s">
        <v>32</v>
      </c>
      <c r="L787">
        <v>28</v>
      </c>
      <c r="M787" t="s">
        <v>15</v>
      </c>
    </row>
    <row r="788" spans="1:13" x14ac:dyDescent="0.25">
      <c r="A788">
        <v>15468</v>
      </c>
      <c r="B788" t="s">
        <v>34</v>
      </c>
      <c r="C788" t="s">
        <v>33</v>
      </c>
      <c r="D788" s="5">
        <v>50000</v>
      </c>
      <c r="E788">
        <v>1</v>
      </c>
      <c r="F788" t="s">
        <v>13</v>
      </c>
      <c r="G788" t="s">
        <v>14</v>
      </c>
      <c r="H788" t="s">
        <v>15</v>
      </c>
      <c r="I788">
        <v>1</v>
      </c>
      <c r="J788" t="s">
        <v>16</v>
      </c>
      <c r="K788" t="s">
        <v>32</v>
      </c>
      <c r="L788">
        <v>35</v>
      </c>
      <c r="M788" t="s">
        <v>18</v>
      </c>
    </row>
    <row r="789" spans="1:13" x14ac:dyDescent="0.25">
      <c r="A789">
        <v>28031</v>
      </c>
      <c r="B789" t="s">
        <v>35</v>
      </c>
      <c r="C789" t="s">
        <v>33</v>
      </c>
      <c r="D789" s="5">
        <v>70000</v>
      </c>
      <c r="E789">
        <v>2</v>
      </c>
      <c r="F789" t="s">
        <v>13</v>
      </c>
      <c r="G789" t="s">
        <v>28</v>
      </c>
      <c r="H789" t="s">
        <v>18</v>
      </c>
      <c r="I789">
        <v>1</v>
      </c>
      <c r="J789" t="s">
        <v>22</v>
      </c>
      <c r="K789" t="s">
        <v>32</v>
      </c>
      <c r="L789">
        <v>59</v>
      </c>
      <c r="M789" t="s">
        <v>15</v>
      </c>
    </row>
    <row r="790" spans="1:13" x14ac:dyDescent="0.25">
      <c r="A790">
        <v>26270</v>
      </c>
      <c r="B790" t="s">
        <v>35</v>
      </c>
      <c r="C790" t="s">
        <v>33</v>
      </c>
      <c r="D790" s="5">
        <v>20000</v>
      </c>
      <c r="E790">
        <v>2</v>
      </c>
      <c r="F790" t="s">
        <v>29</v>
      </c>
      <c r="G790" t="s">
        <v>20</v>
      </c>
      <c r="H790" t="s">
        <v>15</v>
      </c>
      <c r="I790">
        <v>2</v>
      </c>
      <c r="J790" t="s">
        <v>26</v>
      </c>
      <c r="K790" t="s">
        <v>32</v>
      </c>
      <c r="L790">
        <v>49</v>
      </c>
      <c r="M790" t="s">
        <v>18</v>
      </c>
    </row>
    <row r="791" spans="1:13" x14ac:dyDescent="0.25">
      <c r="A791">
        <v>22221</v>
      </c>
      <c r="B791" t="s">
        <v>34</v>
      </c>
      <c r="C791" t="s">
        <v>34</v>
      </c>
      <c r="D791" s="5">
        <v>60000</v>
      </c>
      <c r="E791">
        <v>2</v>
      </c>
      <c r="F791" t="s">
        <v>27</v>
      </c>
      <c r="G791" t="s">
        <v>21</v>
      </c>
      <c r="H791" t="s">
        <v>18</v>
      </c>
      <c r="I791">
        <v>2</v>
      </c>
      <c r="J791" t="s">
        <v>26</v>
      </c>
      <c r="K791" t="s">
        <v>32</v>
      </c>
      <c r="L791">
        <v>48</v>
      </c>
      <c r="M791" t="s">
        <v>15</v>
      </c>
    </row>
    <row r="792" spans="1:13" x14ac:dyDescent="0.25">
      <c r="A792">
        <v>28228</v>
      </c>
      <c r="B792" t="s">
        <v>35</v>
      </c>
      <c r="C792" t="s">
        <v>33</v>
      </c>
      <c r="D792" s="5">
        <v>80000</v>
      </c>
      <c r="E792">
        <v>2</v>
      </c>
      <c r="F792" t="s">
        <v>29</v>
      </c>
      <c r="G792" t="s">
        <v>14</v>
      </c>
      <c r="H792" t="s">
        <v>18</v>
      </c>
      <c r="I792">
        <v>2</v>
      </c>
      <c r="J792" t="s">
        <v>26</v>
      </c>
      <c r="K792" t="s">
        <v>32</v>
      </c>
      <c r="L792">
        <v>50</v>
      </c>
      <c r="M792" t="s">
        <v>18</v>
      </c>
    </row>
    <row r="793" spans="1:13" x14ac:dyDescent="0.25">
      <c r="A793">
        <v>18363</v>
      </c>
      <c r="B793" t="s">
        <v>34</v>
      </c>
      <c r="C793" t="s">
        <v>34</v>
      </c>
      <c r="D793" s="5">
        <v>40000</v>
      </c>
      <c r="E793">
        <v>0</v>
      </c>
      <c r="F793" t="s">
        <v>27</v>
      </c>
      <c r="G793" t="s">
        <v>14</v>
      </c>
      <c r="H793" t="s">
        <v>15</v>
      </c>
      <c r="I793">
        <v>2</v>
      </c>
      <c r="J793" t="s">
        <v>23</v>
      </c>
      <c r="K793" t="s">
        <v>32</v>
      </c>
      <c r="L793">
        <v>28</v>
      </c>
      <c r="M793" t="s">
        <v>15</v>
      </c>
    </row>
    <row r="794" spans="1:13" x14ac:dyDescent="0.25">
      <c r="A794">
        <v>23256</v>
      </c>
      <c r="B794" t="s">
        <v>35</v>
      </c>
      <c r="C794" t="s">
        <v>34</v>
      </c>
      <c r="D794" s="5">
        <v>30000</v>
      </c>
      <c r="E794">
        <v>1</v>
      </c>
      <c r="F794" t="s">
        <v>27</v>
      </c>
      <c r="G794" t="s">
        <v>20</v>
      </c>
      <c r="H794" t="s">
        <v>18</v>
      </c>
      <c r="I794">
        <v>1</v>
      </c>
      <c r="J794" t="s">
        <v>23</v>
      </c>
      <c r="K794" t="s">
        <v>32</v>
      </c>
      <c r="L794">
        <v>52</v>
      </c>
      <c r="M794" t="s">
        <v>18</v>
      </c>
    </row>
    <row r="795" spans="1:13" x14ac:dyDescent="0.25">
      <c r="A795">
        <v>12768</v>
      </c>
      <c r="B795" t="s">
        <v>34</v>
      </c>
      <c r="C795" t="s">
        <v>34</v>
      </c>
      <c r="D795" s="5">
        <v>30000</v>
      </c>
      <c r="E795">
        <v>1</v>
      </c>
      <c r="F795" t="s">
        <v>27</v>
      </c>
      <c r="G795" t="s">
        <v>20</v>
      </c>
      <c r="H795" t="s">
        <v>15</v>
      </c>
      <c r="I795">
        <v>1</v>
      </c>
      <c r="J795" t="s">
        <v>22</v>
      </c>
      <c r="K795" t="s">
        <v>32</v>
      </c>
      <c r="L795">
        <v>52</v>
      </c>
      <c r="M795" t="s">
        <v>15</v>
      </c>
    </row>
    <row r="796" spans="1:13" x14ac:dyDescent="0.25">
      <c r="A796">
        <v>20361</v>
      </c>
      <c r="B796" t="s">
        <v>34</v>
      </c>
      <c r="C796" t="s">
        <v>34</v>
      </c>
      <c r="D796" s="5">
        <v>50000</v>
      </c>
      <c r="E796">
        <v>2</v>
      </c>
      <c r="F796" t="s">
        <v>31</v>
      </c>
      <c r="G796" t="s">
        <v>28</v>
      </c>
      <c r="H796" t="s">
        <v>15</v>
      </c>
      <c r="I796">
        <v>2</v>
      </c>
      <c r="J796" t="s">
        <v>23</v>
      </c>
      <c r="K796" t="s">
        <v>32</v>
      </c>
      <c r="L796">
        <v>69</v>
      </c>
      <c r="M796" t="s">
        <v>18</v>
      </c>
    </row>
    <row r="797" spans="1:13" x14ac:dyDescent="0.25">
      <c r="A797">
        <v>21306</v>
      </c>
      <c r="B797" t="s">
        <v>35</v>
      </c>
      <c r="C797" t="s">
        <v>34</v>
      </c>
      <c r="D797" s="5">
        <v>60000</v>
      </c>
      <c r="E797">
        <v>2</v>
      </c>
      <c r="F797" t="s">
        <v>27</v>
      </c>
      <c r="G797" t="s">
        <v>21</v>
      </c>
      <c r="H797" t="s">
        <v>15</v>
      </c>
      <c r="I797">
        <v>2</v>
      </c>
      <c r="J797" t="s">
        <v>23</v>
      </c>
      <c r="K797" t="s">
        <v>32</v>
      </c>
      <c r="L797">
        <v>51</v>
      </c>
      <c r="M797" t="s">
        <v>18</v>
      </c>
    </row>
    <row r="798" spans="1:13" x14ac:dyDescent="0.25">
      <c r="A798">
        <v>13382</v>
      </c>
      <c r="B798" t="s">
        <v>34</v>
      </c>
      <c r="C798" t="s">
        <v>34</v>
      </c>
      <c r="D798" s="5">
        <v>70000</v>
      </c>
      <c r="E798">
        <v>5</v>
      </c>
      <c r="F798" t="s">
        <v>19</v>
      </c>
      <c r="G798" t="s">
        <v>21</v>
      </c>
      <c r="H798" t="s">
        <v>15</v>
      </c>
      <c r="I798">
        <v>2</v>
      </c>
      <c r="J798" t="s">
        <v>26</v>
      </c>
      <c r="K798" t="s">
        <v>32</v>
      </c>
      <c r="L798">
        <v>57</v>
      </c>
      <c r="M798" t="s">
        <v>15</v>
      </c>
    </row>
    <row r="799" spans="1:13" x14ac:dyDescent="0.25">
      <c r="A799">
        <v>20310</v>
      </c>
      <c r="B799" t="s">
        <v>35</v>
      </c>
      <c r="C799" t="s">
        <v>34</v>
      </c>
      <c r="D799" s="5">
        <v>60000</v>
      </c>
      <c r="E799">
        <v>0</v>
      </c>
      <c r="F799" t="s">
        <v>19</v>
      </c>
      <c r="G799" t="s">
        <v>14</v>
      </c>
      <c r="H799" t="s">
        <v>15</v>
      </c>
      <c r="I799">
        <v>1</v>
      </c>
      <c r="J799" t="s">
        <v>23</v>
      </c>
      <c r="K799" t="s">
        <v>32</v>
      </c>
      <c r="L799">
        <v>27</v>
      </c>
      <c r="M799" t="s">
        <v>15</v>
      </c>
    </row>
    <row r="800" spans="1:13" x14ac:dyDescent="0.25">
      <c r="A800">
        <v>22971</v>
      </c>
      <c r="B800" t="s">
        <v>35</v>
      </c>
      <c r="C800" t="s">
        <v>33</v>
      </c>
      <c r="D800" s="5">
        <v>30000</v>
      </c>
      <c r="E800">
        <v>0</v>
      </c>
      <c r="F800" t="s">
        <v>27</v>
      </c>
      <c r="G800" t="s">
        <v>14</v>
      </c>
      <c r="H800" t="s">
        <v>18</v>
      </c>
      <c r="I800">
        <v>2</v>
      </c>
      <c r="J800" t="s">
        <v>16</v>
      </c>
      <c r="K800" t="s">
        <v>32</v>
      </c>
      <c r="L800">
        <v>25</v>
      </c>
      <c r="M800" t="s">
        <v>15</v>
      </c>
    </row>
    <row r="801" spans="1:13" x14ac:dyDescent="0.25">
      <c r="A801">
        <v>15287</v>
      </c>
      <c r="B801" t="s">
        <v>35</v>
      </c>
      <c r="C801" t="s">
        <v>33</v>
      </c>
      <c r="D801" s="5">
        <v>50000</v>
      </c>
      <c r="E801">
        <v>1</v>
      </c>
      <c r="F801" t="s">
        <v>31</v>
      </c>
      <c r="G801" t="s">
        <v>14</v>
      </c>
      <c r="H801" t="s">
        <v>15</v>
      </c>
      <c r="I801">
        <v>0</v>
      </c>
      <c r="J801" t="s">
        <v>26</v>
      </c>
      <c r="K801" t="s">
        <v>32</v>
      </c>
      <c r="L801">
        <v>33</v>
      </c>
      <c r="M801" t="s">
        <v>15</v>
      </c>
    </row>
    <row r="802" spans="1:13" x14ac:dyDescent="0.25">
      <c r="A802">
        <v>15532</v>
      </c>
      <c r="B802" t="s">
        <v>35</v>
      </c>
      <c r="C802" t="s">
        <v>34</v>
      </c>
      <c r="D802" s="5">
        <v>60000</v>
      </c>
      <c r="E802">
        <v>4</v>
      </c>
      <c r="F802" t="s">
        <v>13</v>
      </c>
      <c r="G802" t="s">
        <v>21</v>
      </c>
      <c r="H802" t="s">
        <v>15</v>
      </c>
      <c r="I802">
        <v>2</v>
      </c>
      <c r="J802" t="s">
        <v>22</v>
      </c>
      <c r="K802" t="s">
        <v>32</v>
      </c>
      <c r="L802">
        <v>43</v>
      </c>
      <c r="M802" t="s">
        <v>15</v>
      </c>
    </row>
    <row r="803" spans="1:13" x14ac:dyDescent="0.25">
      <c r="A803">
        <v>11255</v>
      </c>
      <c r="B803" t="s">
        <v>34</v>
      </c>
      <c r="C803" t="s">
        <v>34</v>
      </c>
      <c r="D803" s="5">
        <v>70000</v>
      </c>
      <c r="E803">
        <v>4</v>
      </c>
      <c r="F803" t="s">
        <v>31</v>
      </c>
      <c r="G803" t="s">
        <v>28</v>
      </c>
      <c r="H803" t="s">
        <v>15</v>
      </c>
      <c r="I803">
        <v>2</v>
      </c>
      <c r="J803" t="s">
        <v>23</v>
      </c>
      <c r="K803" t="s">
        <v>32</v>
      </c>
      <c r="L803">
        <v>73</v>
      </c>
      <c r="M803" t="s">
        <v>18</v>
      </c>
    </row>
    <row r="804" spans="1:13" x14ac:dyDescent="0.25">
      <c r="A804">
        <v>28090</v>
      </c>
      <c r="B804" t="s">
        <v>34</v>
      </c>
      <c r="C804" t="s">
        <v>34</v>
      </c>
      <c r="D804" s="5">
        <v>40000</v>
      </c>
      <c r="E804">
        <v>0</v>
      </c>
      <c r="F804" t="s">
        <v>19</v>
      </c>
      <c r="G804" t="s">
        <v>14</v>
      </c>
      <c r="H804" t="s">
        <v>15</v>
      </c>
      <c r="I804">
        <v>1</v>
      </c>
      <c r="J804" t="s">
        <v>23</v>
      </c>
      <c r="K804" t="s">
        <v>32</v>
      </c>
      <c r="L804">
        <v>27</v>
      </c>
      <c r="M804" t="s">
        <v>18</v>
      </c>
    </row>
    <row r="805" spans="1:13" x14ac:dyDescent="0.25">
      <c r="A805">
        <v>15255</v>
      </c>
      <c r="B805" t="s">
        <v>34</v>
      </c>
      <c r="C805" t="s">
        <v>34</v>
      </c>
      <c r="D805" s="5">
        <v>40000</v>
      </c>
      <c r="E805">
        <v>0</v>
      </c>
      <c r="F805" t="s">
        <v>27</v>
      </c>
      <c r="G805" t="s">
        <v>14</v>
      </c>
      <c r="H805" t="s">
        <v>15</v>
      </c>
      <c r="I805">
        <v>2</v>
      </c>
      <c r="J805" t="s">
        <v>23</v>
      </c>
      <c r="K805" t="s">
        <v>32</v>
      </c>
      <c r="L805">
        <v>28</v>
      </c>
      <c r="M805" t="s">
        <v>15</v>
      </c>
    </row>
    <row r="806" spans="1:13" x14ac:dyDescent="0.25">
      <c r="A806">
        <v>13154</v>
      </c>
      <c r="B806" t="s">
        <v>34</v>
      </c>
      <c r="C806" t="s">
        <v>34</v>
      </c>
      <c r="D806" s="5">
        <v>40000</v>
      </c>
      <c r="E806">
        <v>0</v>
      </c>
      <c r="F806" t="s">
        <v>27</v>
      </c>
      <c r="G806" t="s">
        <v>14</v>
      </c>
      <c r="H806" t="s">
        <v>18</v>
      </c>
      <c r="I806">
        <v>2</v>
      </c>
      <c r="J806" t="s">
        <v>16</v>
      </c>
      <c r="K806" t="s">
        <v>32</v>
      </c>
      <c r="L806">
        <v>27</v>
      </c>
      <c r="M806" t="s">
        <v>15</v>
      </c>
    </row>
    <row r="807" spans="1:13" x14ac:dyDescent="0.25">
      <c r="A807">
        <v>26778</v>
      </c>
      <c r="B807" t="s">
        <v>35</v>
      </c>
      <c r="C807" t="s">
        <v>33</v>
      </c>
      <c r="D807" s="5">
        <v>40000</v>
      </c>
      <c r="E807">
        <v>0</v>
      </c>
      <c r="F807" t="s">
        <v>27</v>
      </c>
      <c r="G807" t="s">
        <v>14</v>
      </c>
      <c r="H807" t="s">
        <v>15</v>
      </c>
      <c r="I807">
        <v>2</v>
      </c>
      <c r="J807" t="s">
        <v>23</v>
      </c>
      <c r="K807" t="s">
        <v>32</v>
      </c>
      <c r="L807">
        <v>31</v>
      </c>
      <c r="M807" t="s">
        <v>18</v>
      </c>
    </row>
    <row r="808" spans="1:13" x14ac:dyDescent="0.25">
      <c r="A808">
        <v>23248</v>
      </c>
      <c r="B808" t="s">
        <v>34</v>
      </c>
      <c r="C808" t="s">
        <v>33</v>
      </c>
      <c r="D808" s="5">
        <v>10000</v>
      </c>
      <c r="E808">
        <v>2</v>
      </c>
      <c r="F808" t="s">
        <v>27</v>
      </c>
      <c r="G808" t="s">
        <v>25</v>
      </c>
      <c r="H808" t="s">
        <v>15</v>
      </c>
      <c r="I808">
        <v>2</v>
      </c>
      <c r="J808" t="s">
        <v>26</v>
      </c>
      <c r="K808" t="s">
        <v>32</v>
      </c>
      <c r="L808">
        <v>53</v>
      </c>
      <c r="M808" t="s">
        <v>18</v>
      </c>
    </row>
    <row r="809" spans="1:13" x14ac:dyDescent="0.25">
      <c r="A809">
        <v>21417</v>
      </c>
      <c r="B809" t="s">
        <v>35</v>
      </c>
      <c r="C809" t="s">
        <v>33</v>
      </c>
      <c r="D809" s="5">
        <v>60000</v>
      </c>
      <c r="E809">
        <v>0</v>
      </c>
      <c r="F809" t="s">
        <v>19</v>
      </c>
      <c r="G809" t="s">
        <v>21</v>
      </c>
      <c r="H809" t="s">
        <v>18</v>
      </c>
      <c r="I809">
        <v>2</v>
      </c>
      <c r="J809" t="s">
        <v>26</v>
      </c>
      <c r="K809" t="s">
        <v>32</v>
      </c>
      <c r="L809">
        <v>32</v>
      </c>
      <c r="M809" t="s">
        <v>15</v>
      </c>
    </row>
    <row r="810" spans="1:13" x14ac:dyDescent="0.25">
      <c r="A810">
        <v>17668</v>
      </c>
      <c r="B810" t="s">
        <v>35</v>
      </c>
      <c r="C810" t="s">
        <v>34</v>
      </c>
      <c r="D810" s="5">
        <v>30000</v>
      </c>
      <c r="E810">
        <v>2</v>
      </c>
      <c r="F810" t="s">
        <v>27</v>
      </c>
      <c r="G810" t="s">
        <v>14</v>
      </c>
      <c r="H810" t="s">
        <v>15</v>
      </c>
      <c r="I810">
        <v>2</v>
      </c>
      <c r="J810" t="s">
        <v>26</v>
      </c>
      <c r="K810" t="s">
        <v>32</v>
      </c>
      <c r="L810">
        <v>50</v>
      </c>
      <c r="M810" t="s">
        <v>15</v>
      </c>
    </row>
    <row r="811" spans="1:13" x14ac:dyDescent="0.25">
      <c r="A811">
        <v>27994</v>
      </c>
      <c r="B811" t="s">
        <v>34</v>
      </c>
      <c r="C811" t="s">
        <v>33</v>
      </c>
      <c r="D811" s="5">
        <v>40000</v>
      </c>
      <c r="E811">
        <v>4</v>
      </c>
      <c r="F811" t="s">
        <v>27</v>
      </c>
      <c r="G811" t="s">
        <v>21</v>
      </c>
      <c r="H811" t="s">
        <v>15</v>
      </c>
      <c r="I811">
        <v>2</v>
      </c>
      <c r="J811" t="s">
        <v>23</v>
      </c>
      <c r="K811" t="s">
        <v>32</v>
      </c>
      <c r="L811">
        <v>69</v>
      </c>
      <c r="M811" t="s">
        <v>18</v>
      </c>
    </row>
    <row r="812" spans="1:13" x14ac:dyDescent="0.25">
      <c r="A812">
        <v>20376</v>
      </c>
      <c r="B812" t="s">
        <v>35</v>
      </c>
      <c r="C812" t="s">
        <v>33</v>
      </c>
      <c r="D812" s="5">
        <v>70000</v>
      </c>
      <c r="E812">
        <v>3</v>
      </c>
      <c r="F812" t="s">
        <v>31</v>
      </c>
      <c r="G812" t="s">
        <v>28</v>
      </c>
      <c r="H812" t="s">
        <v>15</v>
      </c>
      <c r="I812">
        <v>2</v>
      </c>
      <c r="J812" t="s">
        <v>23</v>
      </c>
      <c r="K812" t="s">
        <v>32</v>
      </c>
      <c r="L812">
        <v>52</v>
      </c>
      <c r="M812" t="s">
        <v>15</v>
      </c>
    </row>
    <row r="813" spans="1:13" x14ac:dyDescent="0.25">
      <c r="A813">
        <v>25954</v>
      </c>
      <c r="B813" t="s">
        <v>34</v>
      </c>
      <c r="C813" t="s">
        <v>34</v>
      </c>
      <c r="D813" s="5">
        <v>60000</v>
      </c>
      <c r="E813">
        <v>0</v>
      </c>
      <c r="F813" t="s">
        <v>19</v>
      </c>
      <c r="G813" t="s">
        <v>14</v>
      </c>
      <c r="H813" t="s">
        <v>18</v>
      </c>
      <c r="I813">
        <v>2</v>
      </c>
      <c r="J813" t="s">
        <v>26</v>
      </c>
      <c r="K813" t="s">
        <v>32</v>
      </c>
      <c r="L813">
        <v>31</v>
      </c>
      <c r="M813" t="s">
        <v>18</v>
      </c>
    </row>
    <row r="814" spans="1:13" x14ac:dyDescent="0.25">
      <c r="A814">
        <v>15749</v>
      </c>
      <c r="B814" t="s">
        <v>35</v>
      </c>
      <c r="C814" t="s">
        <v>33</v>
      </c>
      <c r="D814" s="5">
        <v>70000</v>
      </c>
      <c r="E814">
        <v>4</v>
      </c>
      <c r="F814" t="s">
        <v>13</v>
      </c>
      <c r="G814" t="s">
        <v>28</v>
      </c>
      <c r="H814" t="s">
        <v>15</v>
      </c>
      <c r="I814">
        <v>2</v>
      </c>
      <c r="J814" t="s">
        <v>30</v>
      </c>
      <c r="K814" t="s">
        <v>32</v>
      </c>
      <c r="L814">
        <v>61</v>
      </c>
      <c r="M814" t="s">
        <v>18</v>
      </c>
    </row>
    <row r="815" spans="1:13" x14ac:dyDescent="0.25">
      <c r="A815">
        <v>25899</v>
      </c>
      <c r="B815" t="s">
        <v>34</v>
      </c>
      <c r="C815" t="s">
        <v>33</v>
      </c>
      <c r="D815" s="5">
        <v>70000</v>
      </c>
      <c r="E815">
        <v>2</v>
      </c>
      <c r="F815" t="s">
        <v>27</v>
      </c>
      <c r="G815" t="s">
        <v>21</v>
      </c>
      <c r="H815" t="s">
        <v>15</v>
      </c>
      <c r="I815">
        <v>2</v>
      </c>
      <c r="J815" t="s">
        <v>30</v>
      </c>
      <c r="K815" t="s">
        <v>32</v>
      </c>
      <c r="L815">
        <v>53</v>
      </c>
      <c r="M815" t="s">
        <v>18</v>
      </c>
    </row>
    <row r="816" spans="1:13" x14ac:dyDescent="0.25">
      <c r="A816">
        <v>13351</v>
      </c>
      <c r="B816" t="s">
        <v>35</v>
      </c>
      <c r="C816" t="s">
        <v>33</v>
      </c>
      <c r="D816" s="5">
        <v>70000</v>
      </c>
      <c r="E816">
        <v>4</v>
      </c>
      <c r="F816" t="s">
        <v>13</v>
      </c>
      <c r="G816" t="s">
        <v>28</v>
      </c>
      <c r="H816" t="s">
        <v>15</v>
      </c>
      <c r="I816">
        <v>2</v>
      </c>
      <c r="J816" t="s">
        <v>26</v>
      </c>
      <c r="K816" t="s">
        <v>32</v>
      </c>
      <c r="L816">
        <v>62</v>
      </c>
      <c r="M816" t="s">
        <v>15</v>
      </c>
    </row>
    <row r="817" spans="1:13" x14ac:dyDescent="0.25">
      <c r="A817">
        <v>23333</v>
      </c>
      <c r="B817" t="s">
        <v>34</v>
      </c>
      <c r="C817" t="s">
        <v>34</v>
      </c>
      <c r="D817" s="5">
        <v>40000</v>
      </c>
      <c r="E817">
        <v>0</v>
      </c>
      <c r="F817" t="s">
        <v>19</v>
      </c>
      <c r="G817" t="s">
        <v>14</v>
      </c>
      <c r="H817" t="s">
        <v>18</v>
      </c>
      <c r="I817">
        <v>2</v>
      </c>
      <c r="J817" t="s">
        <v>26</v>
      </c>
      <c r="K817" t="s">
        <v>32</v>
      </c>
      <c r="L817">
        <v>30</v>
      </c>
      <c r="M817" t="s">
        <v>18</v>
      </c>
    </row>
    <row r="818" spans="1:13" x14ac:dyDescent="0.25">
      <c r="A818">
        <v>21660</v>
      </c>
      <c r="B818" t="s">
        <v>34</v>
      </c>
      <c r="C818" t="s">
        <v>33</v>
      </c>
      <c r="D818" s="5">
        <v>60000</v>
      </c>
      <c r="E818">
        <v>3</v>
      </c>
      <c r="F818" t="s">
        <v>31</v>
      </c>
      <c r="G818" t="s">
        <v>21</v>
      </c>
      <c r="H818" t="s">
        <v>15</v>
      </c>
      <c r="I818">
        <v>0</v>
      </c>
      <c r="J818" t="s">
        <v>22</v>
      </c>
      <c r="K818" t="s">
        <v>32</v>
      </c>
      <c r="L818">
        <v>43</v>
      </c>
      <c r="M818" t="s">
        <v>15</v>
      </c>
    </row>
    <row r="819" spans="1:13" x14ac:dyDescent="0.25">
      <c r="A819">
        <v>17012</v>
      </c>
      <c r="B819" t="s">
        <v>34</v>
      </c>
      <c r="C819" t="s">
        <v>33</v>
      </c>
      <c r="D819" s="5">
        <v>60000</v>
      </c>
      <c r="E819">
        <v>3</v>
      </c>
      <c r="F819" t="s">
        <v>31</v>
      </c>
      <c r="G819" t="s">
        <v>21</v>
      </c>
      <c r="H819" t="s">
        <v>15</v>
      </c>
      <c r="I819">
        <v>0</v>
      </c>
      <c r="J819" t="s">
        <v>22</v>
      </c>
      <c r="K819" t="s">
        <v>32</v>
      </c>
      <c r="L819">
        <v>42</v>
      </c>
      <c r="M819" t="s">
        <v>15</v>
      </c>
    </row>
    <row r="820" spans="1:13" x14ac:dyDescent="0.25">
      <c r="A820">
        <v>24514</v>
      </c>
      <c r="B820" t="s">
        <v>34</v>
      </c>
      <c r="C820" t="s">
        <v>34</v>
      </c>
      <c r="D820" s="5">
        <v>40000</v>
      </c>
      <c r="E820">
        <v>0</v>
      </c>
      <c r="F820" t="s">
        <v>19</v>
      </c>
      <c r="G820" t="s">
        <v>14</v>
      </c>
      <c r="H820" t="s">
        <v>15</v>
      </c>
      <c r="I820">
        <v>1</v>
      </c>
      <c r="J820" t="s">
        <v>23</v>
      </c>
      <c r="K820" t="s">
        <v>32</v>
      </c>
      <c r="L820">
        <v>30</v>
      </c>
      <c r="M820" t="s">
        <v>18</v>
      </c>
    </row>
    <row r="821" spans="1:13" x14ac:dyDescent="0.25">
      <c r="A821">
        <v>27505</v>
      </c>
      <c r="B821" t="s">
        <v>35</v>
      </c>
      <c r="C821" t="s">
        <v>33</v>
      </c>
      <c r="D821" s="5">
        <v>40000</v>
      </c>
      <c r="E821">
        <v>0</v>
      </c>
      <c r="F821" t="s">
        <v>27</v>
      </c>
      <c r="G821" t="s">
        <v>14</v>
      </c>
      <c r="H821" t="s">
        <v>15</v>
      </c>
      <c r="I821">
        <v>2</v>
      </c>
      <c r="J821" t="s">
        <v>23</v>
      </c>
      <c r="K821" t="s">
        <v>32</v>
      </c>
      <c r="L821">
        <v>30</v>
      </c>
      <c r="M821" t="s">
        <v>18</v>
      </c>
    </row>
    <row r="822" spans="1:13" x14ac:dyDescent="0.25">
      <c r="A822">
        <v>29243</v>
      </c>
      <c r="B822" t="s">
        <v>35</v>
      </c>
      <c r="C822" t="s">
        <v>34</v>
      </c>
      <c r="D822" s="5">
        <v>110000</v>
      </c>
      <c r="E822">
        <v>1</v>
      </c>
      <c r="F822" t="s">
        <v>13</v>
      </c>
      <c r="G822" t="s">
        <v>28</v>
      </c>
      <c r="H822" t="s">
        <v>15</v>
      </c>
      <c r="I822">
        <v>1</v>
      </c>
      <c r="J822" t="s">
        <v>23</v>
      </c>
      <c r="K822" t="s">
        <v>32</v>
      </c>
      <c r="L822">
        <v>43</v>
      </c>
      <c r="M822" t="s">
        <v>18</v>
      </c>
    </row>
    <row r="823" spans="1:13" x14ac:dyDescent="0.25">
      <c r="A823">
        <v>26582</v>
      </c>
      <c r="B823" t="s">
        <v>34</v>
      </c>
      <c r="C823" t="s">
        <v>34</v>
      </c>
      <c r="D823" s="5">
        <v>60000</v>
      </c>
      <c r="E823">
        <v>0</v>
      </c>
      <c r="F823" t="s">
        <v>19</v>
      </c>
      <c r="G823" t="s">
        <v>14</v>
      </c>
      <c r="H823" t="s">
        <v>15</v>
      </c>
      <c r="I823">
        <v>2</v>
      </c>
      <c r="J823" t="s">
        <v>23</v>
      </c>
      <c r="K823" t="s">
        <v>32</v>
      </c>
      <c r="L823">
        <v>33</v>
      </c>
      <c r="M823" t="s">
        <v>15</v>
      </c>
    </row>
    <row r="824" spans="1:13" x14ac:dyDescent="0.25">
      <c r="A824">
        <v>14271</v>
      </c>
      <c r="B824" t="s">
        <v>34</v>
      </c>
      <c r="C824" t="s">
        <v>34</v>
      </c>
      <c r="D824" s="5">
        <v>30000</v>
      </c>
      <c r="E824">
        <v>0</v>
      </c>
      <c r="F824" t="s">
        <v>27</v>
      </c>
      <c r="G824" t="s">
        <v>14</v>
      </c>
      <c r="H824" t="s">
        <v>15</v>
      </c>
      <c r="I824">
        <v>2</v>
      </c>
      <c r="J824" t="s">
        <v>23</v>
      </c>
      <c r="K824" t="s">
        <v>32</v>
      </c>
      <c r="L824">
        <v>32</v>
      </c>
      <c r="M824" t="s">
        <v>18</v>
      </c>
    </row>
    <row r="825" spans="1:13" x14ac:dyDescent="0.25">
      <c r="A825">
        <v>23041</v>
      </c>
      <c r="B825" t="s">
        <v>35</v>
      </c>
      <c r="C825" t="s">
        <v>33</v>
      </c>
      <c r="D825" s="5">
        <v>70000</v>
      </c>
      <c r="E825">
        <v>4</v>
      </c>
      <c r="F825" t="s">
        <v>27</v>
      </c>
      <c r="G825" t="s">
        <v>21</v>
      </c>
      <c r="H825" t="s">
        <v>15</v>
      </c>
      <c r="I825">
        <v>0</v>
      </c>
      <c r="J825" t="s">
        <v>23</v>
      </c>
      <c r="K825" t="s">
        <v>32</v>
      </c>
      <c r="L825">
        <v>50</v>
      </c>
      <c r="M825" t="s">
        <v>15</v>
      </c>
    </row>
    <row r="826" spans="1:13" x14ac:dyDescent="0.25">
      <c r="A826">
        <v>29048</v>
      </c>
      <c r="B826" t="s">
        <v>35</v>
      </c>
      <c r="C826" t="s">
        <v>34</v>
      </c>
      <c r="D826" s="5">
        <v>110000</v>
      </c>
      <c r="E826">
        <v>2</v>
      </c>
      <c r="F826" t="s">
        <v>13</v>
      </c>
      <c r="G826" t="s">
        <v>28</v>
      </c>
      <c r="H826" t="s">
        <v>18</v>
      </c>
      <c r="I826">
        <v>3</v>
      </c>
      <c r="J826" t="s">
        <v>16</v>
      </c>
      <c r="K826" t="s">
        <v>32</v>
      </c>
      <c r="L826">
        <v>37</v>
      </c>
      <c r="M826" t="s">
        <v>15</v>
      </c>
    </row>
    <row r="827" spans="1:13" x14ac:dyDescent="0.25">
      <c r="A827">
        <v>24433</v>
      </c>
      <c r="B827" t="s">
        <v>34</v>
      </c>
      <c r="C827" t="s">
        <v>34</v>
      </c>
      <c r="D827" s="5">
        <v>70000</v>
      </c>
      <c r="E827">
        <v>3</v>
      </c>
      <c r="F827" t="s">
        <v>27</v>
      </c>
      <c r="G827" t="s">
        <v>21</v>
      </c>
      <c r="H827" t="s">
        <v>18</v>
      </c>
      <c r="I827">
        <v>1</v>
      </c>
      <c r="J827" t="s">
        <v>26</v>
      </c>
      <c r="K827" t="s">
        <v>32</v>
      </c>
      <c r="L827">
        <v>52</v>
      </c>
      <c r="M827" t="s">
        <v>15</v>
      </c>
    </row>
    <row r="828" spans="1:13" x14ac:dyDescent="0.25">
      <c r="A828">
        <v>15501</v>
      </c>
      <c r="B828" t="s">
        <v>34</v>
      </c>
      <c r="C828" t="s">
        <v>34</v>
      </c>
      <c r="D828" s="5">
        <v>70000</v>
      </c>
      <c r="E828">
        <v>4</v>
      </c>
      <c r="F828" t="s">
        <v>31</v>
      </c>
      <c r="G828" t="s">
        <v>21</v>
      </c>
      <c r="H828" t="s">
        <v>15</v>
      </c>
      <c r="I828">
        <v>0</v>
      </c>
      <c r="J828" t="s">
        <v>22</v>
      </c>
      <c r="K828" t="s">
        <v>32</v>
      </c>
      <c r="L828">
        <v>36</v>
      </c>
      <c r="M828" t="s">
        <v>15</v>
      </c>
    </row>
    <row r="829" spans="1:13" x14ac:dyDescent="0.25">
      <c r="A829">
        <v>13911</v>
      </c>
      <c r="B829" t="s">
        <v>35</v>
      </c>
      <c r="C829" t="s">
        <v>33</v>
      </c>
      <c r="D829" s="5">
        <v>80000</v>
      </c>
      <c r="E829">
        <v>3</v>
      </c>
      <c r="F829" t="s">
        <v>13</v>
      </c>
      <c r="G829" t="s">
        <v>14</v>
      </c>
      <c r="H829" t="s">
        <v>15</v>
      </c>
      <c r="I829">
        <v>2</v>
      </c>
      <c r="J829" t="s">
        <v>22</v>
      </c>
      <c r="K829" t="s">
        <v>32</v>
      </c>
      <c r="L829">
        <v>41</v>
      </c>
      <c r="M829" t="s">
        <v>15</v>
      </c>
    </row>
    <row r="830" spans="1:13" x14ac:dyDescent="0.25">
      <c r="A830">
        <v>20421</v>
      </c>
      <c r="B830" t="s">
        <v>35</v>
      </c>
      <c r="C830" t="s">
        <v>33</v>
      </c>
      <c r="D830" s="5">
        <v>40000</v>
      </c>
      <c r="E830">
        <v>0</v>
      </c>
      <c r="F830" t="s">
        <v>29</v>
      </c>
      <c r="G830" t="s">
        <v>20</v>
      </c>
      <c r="H830" t="s">
        <v>15</v>
      </c>
      <c r="I830">
        <v>2</v>
      </c>
      <c r="J830" t="s">
        <v>23</v>
      </c>
      <c r="K830" t="s">
        <v>32</v>
      </c>
      <c r="L830">
        <v>26</v>
      </c>
      <c r="M830" t="s">
        <v>18</v>
      </c>
    </row>
    <row r="831" spans="1:13" x14ac:dyDescent="0.25">
      <c r="A831">
        <v>16009</v>
      </c>
      <c r="B831" t="s">
        <v>35</v>
      </c>
      <c r="C831" t="s">
        <v>34</v>
      </c>
      <c r="D831" s="5">
        <v>170000</v>
      </c>
      <c r="E831">
        <v>1</v>
      </c>
      <c r="F831" t="s">
        <v>31</v>
      </c>
      <c r="G831" t="s">
        <v>28</v>
      </c>
      <c r="H831" t="s">
        <v>18</v>
      </c>
      <c r="I831">
        <v>4</v>
      </c>
      <c r="J831" t="s">
        <v>16</v>
      </c>
      <c r="K831" t="s">
        <v>32</v>
      </c>
      <c r="L831">
        <v>66</v>
      </c>
      <c r="M831" t="s">
        <v>18</v>
      </c>
    </row>
    <row r="832" spans="1:13" x14ac:dyDescent="0.25">
      <c r="A832">
        <v>18411</v>
      </c>
      <c r="B832" t="s">
        <v>34</v>
      </c>
      <c r="C832" t="s">
        <v>34</v>
      </c>
      <c r="D832" s="5">
        <v>60000</v>
      </c>
      <c r="E832">
        <v>2</v>
      </c>
      <c r="F832" t="s">
        <v>27</v>
      </c>
      <c r="G832" t="s">
        <v>21</v>
      </c>
      <c r="H832" t="s">
        <v>18</v>
      </c>
      <c r="I832">
        <v>2</v>
      </c>
      <c r="J832" t="s">
        <v>23</v>
      </c>
      <c r="K832" t="s">
        <v>32</v>
      </c>
      <c r="L832">
        <v>51</v>
      </c>
      <c r="M832" t="s">
        <v>18</v>
      </c>
    </row>
    <row r="833" spans="1:13" x14ac:dyDescent="0.25">
      <c r="A833">
        <v>19163</v>
      </c>
      <c r="B833" t="s">
        <v>34</v>
      </c>
      <c r="C833" t="s">
        <v>33</v>
      </c>
      <c r="D833" s="5">
        <v>70000</v>
      </c>
      <c r="E833">
        <v>4</v>
      </c>
      <c r="F833" t="s">
        <v>13</v>
      </c>
      <c r="G833" t="s">
        <v>21</v>
      </c>
      <c r="H833" t="s">
        <v>15</v>
      </c>
      <c r="I833">
        <v>2</v>
      </c>
      <c r="J833" t="s">
        <v>16</v>
      </c>
      <c r="K833" t="s">
        <v>32</v>
      </c>
      <c r="L833">
        <v>43</v>
      </c>
      <c r="M833" t="s">
        <v>15</v>
      </c>
    </row>
    <row r="834" spans="1:13" x14ac:dyDescent="0.25">
      <c r="A834">
        <v>18572</v>
      </c>
      <c r="B834" t="s">
        <v>34</v>
      </c>
      <c r="C834" t="s">
        <v>33</v>
      </c>
      <c r="D834" s="5">
        <v>60000</v>
      </c>
      <c r="E834">
        <v>0</v>
      </c>
      <c r="F834" t="s">
        <v>31</v>
      </c>
      <c r="G834" t="s">
        <v>21</v>
      </c>
      <c r="H834" t="s">
        <v>15</v>
      </c>
      <c r="I834">
        <v>0</v>
      </c>
      <c r="J834" t="s">
        <v>16</v>
      </c>
      <c r="K834" t="s">
        <v>32</v>
      </c>
      <c r="L834">
        <v>39</v>
      </c>
      <c r="M834" t="s">
        <v>18</v>
      </c>
    </row>
    <row r="835" spans="1:13" x14ac:dyDescent="0.25">
      <c r="A835">
        <v>27540</v>
      </c>
      <c r="B835" t="s">
        <v>35</v>
      </c>
      <c r="C835" t="s">
        <v>33</v>
      </c>
      <c r="D835" s="5">
        <v>70000</v>
      </c>
      <c r="E835">
        <v>0</v>
      </c>
      <c r="F835" t="s">
        <v>13</v>
      </c>
      <c r="G835" t="s">
        <v>21</v>
      </c>
      <c r="H835" t="s">
        <v>18</v>
      </c>
      <c r="I835">
        <v>1</v>
      </c>
      <c r="J835" t="s">
        <v>16</v>
      </c>
      <c r="K835" t="s">
        <v>32</v>
      </c>
      <c r="L835">
        <v>37</v>
      </c>
      <c r="M835" t="s">
        <v>15</v>
      </c>
    </row>
    <row r="836" spans="1:13" x14ac:dyDescent="0.25">
      <c r="A836">
        <v>19889</v>
      </c>
      <c r="B836" t="s">
        <v>35</v>
      </c>
      <c r="C836" t="s">
        <v>33</v>
      </c>
      <c r="D836" s="5">
        <v>70000</v>
      </c>
      <c r="E836">
        <v>2</v>
      </c>
      <c r="F836" t="s">
        <v>29</v>
      </c>
      <c r="G836" t="s">
        <v>14</v>
      </c>
      <c r="H836" t="s">
        <v>18</v>
      </c>
      <c r="I836">
        <v>2</v>
      </c>
      <c r="J836" t="s">
        <v>22</v>
      </c>
      <c r="K836" t="s">
        <v>32</v>
      </c>
      <c r="L836">
        <v>54</v>
      </c>
      <c r="M836" t="s">
        <v>15</v>
      </c>
    </row>
    <row r="837" spans="1:13" x14ac:dyDescent="0.25">
      <c r="A837">
        <v>12922</v>
      </c>
      <c r="B837" t="s">
        <v>35</v>
      </c>
      <c r="C837" t="s">
        <v>33</v>
      </c>
      <c r="D837" s="5">
        <v>60000</v>
      </c>
      <c r="E837">
        <v>3</v>
      </c>
      <c r="F837" t="s">
        <v>13</v>
      </c>
      <c r="G837" t="s">
        <v>14</v>
      </c>
      <c r="H837" t="s">
        <v>15</v>
      </c>
      <c r="I837">
        <v>0</v>
      </c>
      <c r="J837" t="s">
        <v>22</v>
      </c>
      <c r="K837" t="s">
        <v>32</v>
      </c>
      <c r="L837">
        <v>40</v>
      </c>
      <c r="M837" t="s">
        <v>15</v>
      </c>
    </row>
    <row r="838" spans="1:13" x14ac:dyDescent="0.25">
      <c r="A838">
        <v>18891</v>
      </c>
      <c r="B838" t="s">
        <v>34</v>
      </c>
      <c r="C838" t="s">
        <v>33</v>
      </c>
      <c r="D838" s="5">
        <v>40000</v>
      </c>
      <c r="E838">
        <v>0</v>
      </c>
      <c r="F838" t="s">
        <v>19</v>
      </c>
      <c r="G838" t="s">
        <v>14</v>
      </c>
      <c r="H838" t="s">
        <v>15</v>
      </c>
      <c r="I838">
        <v>2</v>
      </c>
      <c r="J838" t="s">
        <v>23</v>
      </c>
      <c r="K838" t="s">
        <v>32</v>
      </c>
      <c r="L838">
        <v>28</v>
      </c>
      <c r="M838" t="s">
        <v>18</v>
      </c>
    </row>
    <row r="839" spans="1:13" x14ac:dyDescent="0.25">
      <c r="A839">
        <v>16773</v>
      </c>
      <c r="B839" t="s">
        <v>34</v>
      </c>
      <c r="C839" t="s">
        <v>34</v>
      </c>
      <c r="D839" s="5">
        <v>60000</v>
      </c>
      <c r="E839">
        <v>1</v>
      </c>
      <c r="F839" t="s">
        <v>31</v>
      </c>
      <c r="G839" t="s">
        <v>14</v>
      </c>
      <c r="H839" t="s">
        <v>15</v>
      </c>
      <c r="I839">
        <v>0</v>
      </c>
      <c r="J839" t="s">
        <v>16</v>
      </c>
      <c r="K839" t="s">
        <v>32</v>
      </c>
      <c r="L839">
        <v>33</v>
      </c>
      <c r="M839" t="s">
        <v>18</v>
      </c>
    </row>
    <row r="840" spans="1:13" x14ac:dyDescent="0.25">
      <c r="A840">
        <v>19143</v>
      </c>
      <c r="B840" t="s">
        <v>35</v>
      </c>
      <c r="C840" t="s">
        <v>33</v>
      </c>
      <c r="D840" s="5">
        <v>80000</v>
      </c>
      <c r="E840">
        <v>3</v>
      </c>
      <c r="F840" t="s">
        <v>13</v>
      </c>
      <c r="G840" t="s">
        <v>14</v>
      </c>
      <c r="H840" t="s">
        <v>15</v>
      </c>
      <c r="I840">
        <v>2</v>
      </c>
      <c r="J840" t="s">
        <v>22</v>
      </c>
      <c r="K840" t="s">
        <v>32</v>
      </c>
      <c r="L840">
        <v>41</v>
      </c>
      <c r="M840" t="s">
        <v>15</v>
      </c>
    </row>
    <row r="841" spans="1:13" x14ac:dyDescent="0.25">
      <c r="A841">
        <v>23882</v>
      </c>
      <c r="B841" t="s">
        <v>35</v>
      </c>
      <c r="C841" t="s">
        <v>33</v>
      </c>
      <c r="D841" s="5">
        <v>80000</v>
      </c>
      <c r="E841">
        <v>3</v>
      </c>
      <c r="F841" t="s">
        <v>31</v>
      </c>
      <c r="G841" t="s">
        <v>21</v>
      </c>
      <c r="H841" t="s">
        <v>15</v>
      </c>
      <c r="I841">
        <v>0</v>
      </c>
      <c r="J841" t="s">
        <v>16</v>
      </c>
      <c r="K841" t="s">
        <v>32</v>
      </c>
      <c r="L841">
        <v>37</v>
      </c>
      <c r="M841" t="s">
        <v>15</v>
      </c>
    </row>
    <row r="842" spans="1:13" x14ac:dyDescent="0.25">
      <c r="A842">
        <v>11233</v>
      </c>
      <c r="B842" t="s">
        <v>34</v>
      </c>
      <c r="C842" t="s">
        <v>34</v>
      </c>
      <c r="D842" s="5">
        <v>70000</v>
      </c>
      <c r="E842">
        <v>4</v>
      </c>
      <c r="F842" t="s">
        <v>19</v>
      </c>
      <c r="G842" t="s">
        <v>21</v>
      </c>
      <c r="H842" t="s">
        <v>15</v>
      </c>
      <c r="I842">
        <v>2</v>
      </c>
      <c r="J842" t="s">
        <v>30</v>
      </c>
      <c r="K842" t="s">
        <v>32</v>
      </c>
      <c r="L842">
        <v>53</v>
      </c>
      <c r="M842" t="s">
        <v>18</v>
      </c>
    </row>
    <row r="843" spans="1:13" x14ac:dyDescent="0.25">
      <c r="A843">
        <v>12056</v>
      </c>
      <c r="B843" t="s">
        <v>34</v>
      </c>
      <c r="C843" t="s">
        <v>34</v>
      </c>
      <c r="D843" s="5">
        <v>120000</v>
      </c>
      <c r="E843">
        <v>2</v>
      </c>
      <c r="F843" t="s">
        <v>31</v>
      </c>
      <c r="G843" t="s">
        <v>28</v>
      </c>
      <c r="H843" t="s">
        <v>15</v>
      </c>
      <c r="I843">
        <v>3</v>
      </c>
      <c r="J843" t="s">
        <v>23</v>
      </c>
      <c r="K843" t="s">
        <v>32</v>
      </c>
      <c r="L843">
        <v>64</v>
      </c>
      <c r="M843" t="s">
        <v>18</v>
      </c>
    </row>
    <row r="844" spans="1:13" x14ac:dyDescent="0.25">
      <c r="A844">
        <v>15555</v>
      </c>
      <c r="B844" t="s">
        <v>34</v>
      </c>
      <c r="C844" t="s">
        <v>33</v>
      </c>
      <c r="D844" s="5">
        <v>60000</v>
      </c>
      <c r="E844">
        <v>1</v>
      </c>
      <c r="F844" t="s">
        <v>19</v>
      </c>
      <c r="G844" t="s">
        <v>14</v>
      </c>
      <c r="H844" t="s">
        <v>15</v>
      </c>
      <c r="I844">
        <v>1</v>
      </c>
      <c r="J844" t="s">
        <v>22</v>
      </c>
      <c r="K844" t="s">
        <v>32</v>
      </c>
      <c r="L844">
        <v>45</v>
      </c>
      <c r="M844" t="s">
        <v>15</v>
      </c>
    </row>
    <row r="845" spans="1:13" x14ac:dyDescent="0.25">
      <c r="A845">
        <v>18423</v>
      </c>
      <c r="B845" t="s">
        <v>35</v>
      </c>
      <c r="C845" t="s">
        <v>34</v>
      </c>
      <c r="D845" s="5">
        <v>80000</v>
      </c>
      <c r="E845">
        <v>2</v>
      </c>
      <c r="F845" t="s">
        <v>29</v>
      </c>
      <c r="G845" t="s">
        <v>14</v>
      </c>
      <c r="H845" t="s">
        <v>18</v>
      </c>
      <c r="I845">
        <v>2</v>
      </c>
      <c r="J845" t="s">
        <v>26</v>
      </c>
      <c r="K845" t="s">
        <v>32</v>
      </c>
      <c r="L845">
        <v>52</v>
      </c>
      <c r="M845" t="s">
        <v>18</v>
      </c>
    </row>
    <row r="846" spans="1:13" x14ac:dyDescent="0.25">
      <c r="A846">
        <v>22743</v>
      </c>
      <c r="B846" t="s">
        <v>34</v>
      </c>
      <c r="C846" t="s">
        <v>33</v>
      </c>
      <c r="D846" s="5">
        <v>40000</v>
      </c>
      <c r="E846">
        <v>5</v>
      </c>
      <c r="F846" t="s">
        <v>27</v>
      </c>
      <c r="G846" t="s">
        <v>21</v>
      </c>
      <c r="H846" t="s">
        <v>15</v>
      </c>
      <c r="I846">
        <v>2</v>
      </c>
      <c r="J846" t="s">
        <v>30</v>
      </c>
      <c r="K846" t="s">
        <v>32</v>
      </c>
      <c r="L846">
        <v>60</v>
      </c>
      <c r="M846" t="s">
        <v>18</v>
      </c>
    </row>
    <row r="847" spans="1:13" x14ac:dyDescent="0.25">
      <c r="A847">
        <v>25343</v>
      </c>
      <c r="B847" t="s">
        <v>35</v>
      </c>
      <c r="C847" t="s">
        <v>33</v>
      </c>
      <c r="D847" s="5">
        <v>20000</v>
      </c>
      <c r="E847">
        <v>3</v>
      </c>
      <c r="F847" t="s">
        <v>29</v>
      </c>
      <c r="G847" t="s">
        <v>20</v>
      </c>
      <c r="H847" t="s">
        <v>15</v>
      </c>
      <c r="I847">
        <v>2</v>
      </c>
      <c r="J847" t="s">
        <v>26</v>
      </c>
      <c r="K847" t="s">
        <v>32</v>
      </c>
      <c r="L847">
        <v>50</v>
      </c>
      <c r="M847" t="s">
        <v>18</v>
      </c>
    </row>
    <row r="848" spans="1:13" x14ac:dyDescent="0.25">
      <c r="A848">
        <v>13390</v>
      </c>
      <c r="B848" t="s">
        <v>34</v>
      </c>
      <c r="C848" t="s">
        <v>33</v>
      </c>
      <c r="D848" s="5">
        <v>70000</v>
      </c>
      <c r="E848">
        <v>4</v>
      </c>
      <c r="F848" t="s">
        <v>19</v>
      </c>
      <c r="G848" t="s">
        <v>21</v>
      </c>
      <c r="H848" t="s">
        <v>18</v>
      </c>
      <c r="I848">
        <v>1</v>
      </c>
      <c r="J848" t="s">
        <v>26</v>
      </c>
      <c r="K848" t="s">
        <v>32</v>
      </c>
      <c r="L848">
        <v>56</v>
      </c>
      <c r="M848" t="s">
        <v>18</v>
      </c>
    </row>
    <row r="849" spans="1:13" x14ac:dyDescent="0.25">
      <c r="A849">
        <v>17482</v>
      </c>
      <c r="B849" t="s">
        <v>35</v>
      </c>
      <c r="C849" t="s">
        <v>33</v>
      </c>
      <c r="D849" s="5">
        <v>40000</v>
      </c>
      <c r="E849">
        <v>0</v>
      </c>
      <c r="F849" t="s">
        <v>29</v>
      </c>
      <c r="G849" t="s">
        <v>20</v>
      </c>
      <c r="H849" t="s">
        <v>15</v>
      </c>
      <c r="I849">
        <v>2</v>
      </c>
      <c r="J849" t="s">
        <v>23</v>
      </c>
      <c r="K849" t="s">
        <v>32</v>
      </c>
      <c r="L849">
        <v>29</v>
      </c>
      <c r="M849" t="s">
        <v>18</v>
      </c>
    </row>
    <row r="850" spans="1:13" x14ac:dyDescent="0.25">
      <c r="A850">
        <v>13176</v>
      </c>
      <c r="B850" t="s">
        <v>35</v>
      </c>
      <c r="C850" t="s">
        <v>34</v>
      </c>
      <c r="D850" s="5">
        <v>130000</v>
      </c>
      <c r="E850">
        <v>0</v>
      </c>
      <c r="F850" t="s">
        <v>31</v>
      </c>
      <c r="G850" t="s">
        <v>28</v>
      </c>
      <c r="H850" t="s">
        <v>18</v>
      </c>
      <c r="I850">
        <v>2</v>
      </c>
      <c r="J850" t="s">
        <v>16</v>
      </c>
      <c r="K850" t="s">
        <v>32</v>
      </c>
      <c r="L850">
        <v>38</v>
      </c>
      <c r="M850" t="s">
        <v>15</v>
      </c>
    </row>
    <row r="851" spans="1:13" x14ac:dyDescent="0.25">
      <c r="A851">
        <v>20504</v>
      </c>
      <c r="B851" t="s">
        <v>34</v>
      </c>
      <c r="C851" t="s">
        <v>33</v>
      </c>
      <c r="D851" s="5">
        <v>40000</v>
      </c>
      <c r="E851">
        <v>5</v>
      </c>
      <c r="F851" t="s">
        <v>27</v>
      </c>
      <c r="G851" t="s">
        <v>21</v>
      </c>
      <c r="H851" t="s">
        <v>18</v>
      </c>
      <c r="I851">
        <v>2</v>
      </c>
      <c r="J851" t="s">
        <v>22</v>
      </c>
      <c r="K851" t="s">
        <v>32</v>
      </c>
      <c r="L851">
        <v>60</v>
      </c>
      <c r="M851" t="s">
        <v>18</v>
      </c>
    </row>
    <row r="852" spans="1:13" x14ac:dyDescent="0.25">
      <c r="A852">
        <v>12205</v>
      </c>
      <c r="B852" t="s">
        <v>35</v>
      </c>
      <c r="C852" t="s">
        <v>33</v>
      </c>
      <c r="D852" s="5">
        <v>130000</v>
      </c>
      <c r="E852">
        <v>2</v>
      </c>
      <c r="F852" t="s">
        <v>13</v>
      </c>
      <c r="G852" t="s">
        <v>28</v>
      </c>
      <c r="H852" t="s">
        <v>18</v>
      </c>
      <c r="I852">
        <v>4</v>
      </c>
      <c r="J852" t="s">
        <v>16</v>
      </c>
      <c r="K852" t="s">
        <v>32</v>
      </c>
      <c r="L852">
        <v>67</v>
      </c>
      <c r="M852" t="s">
        <v>18</v>
      </c>
    </row>
    <row r="853" spans="1:13" x14ac:dyDescent="0.25">
      <c r="A853">
        <v>16751</v>
      </c>
      <c r="B853" t="s">
        <v>34</v>
      </c>
      <c r="C853" t="s">
        <v>34</v>
      </c>
      <c r="D853" s="5">
        <v>60000</v>
      </c>
      <c r="E853">
        <v>0</v>
      </c>
      <c r="F853" t="s">
        <v>19</v>
      </c>
      <c r="G853" t="s">
        <v>14</v>
      </c>
      <c r="H853" t="s">
        <v>15</v>
      </c>
      <c r="I853">
        <v>1</v>
      </c>
      <c r="J853" t="s">
        <v>23</v>
      </c>
      <c r="K853" t="s">
        <v>32</v>
      </c>
      <c r="L853">
        <v>32</v>
      </c>
      <c r="M853" t="s">
        <v>15</v>
      </c>
    </row>
    <row r="854" spans="1:13" x14ac:dyDescent="0.25">
      <c r="A854">
        <v>21613</v>
      </c>
      <c r="B854" t="s">
        <v>35</v>
      </c>
      <c r="C854" t="s">
        <v>34</v>
      </c>
      <c r="D854" s="5">
        <v>50000</v>
      </c>
      <c r="E854">
        <v>2</v>
      </c>
      <c r="F854" t="s">
        <v>13</v>
      </c>
      <c r="G854" t="s">
        <v>14</v>
      </c>
      <c r="H854" t="s">
        <v>18</v>
      </c>
      <c r="I854">
        <v>1</v>
      </c>
      <c r="J854" t="s">
        <v>16</v>
      </c>
      <c r="K854" t="s">
        <v>32</v>
      </c>
      <c r="L854">
        <v>39</v>
      </c>
      <c r="M854" t="s">
        <v>15</v>
      </c>
    </row>
    <row r="855" spans="1:13" x14ac:dyDescent="0.25">
      <c r="A855">
        <v>24801</v>
      </c>
      <c r="B855" t="s">
        <v>35</v>
      </c>
      <c r="C855" t="s">
        <v>34</v>
      </c>
      <c r="D855" s="5">
        <v>60000</v>
      </c>
      <c r="E855">
        <v>1</v>
      </c>
      <c r="F855" t="s">
        <v>31</v>
      </c>
      <c r="G855" t="s">
        <v>21</v>
      </c>
      <c r="H855" t="s">
        <v>15</v>
      </c>
      <c r="I855">
        <v>0</v>
      </c>
      <c r="J855" t="s">
        <v>22</v>
      </c>
      <c r="K855" t="s">
        <v>32</v>
      </c>
      <c r="L855">
        <v>35</v>
      </c>
      <c r="M855" t="s">
        <v>15</v>
      </c>
    </row>
    <row r="856" spans="1:13" x14ac:dyDescent="0.25">
      <c r="A856">
        <v>17519</v>
      </c>
      <c r="B856" t="s">
        <v>34</v>
      </c>
      <c r="C856" t="s">
        <v>33</v>
      </c>
      <c r="D856" s="5">
        <v>60000</v>
      </c>
      <c r="E856">
        <v>0</v>
      </c>
      <c r="F856" t="s">
        <v>19</v>
      </c>
      <c r="G856" t="s">
        <v>21</v>
      </c>
      <c r="H856" t="s">
        <v>15</v>
      </c>
      <c r="I856">
        <v>2</v>
      </c>
      <c r="J856" t="s">
        <v>23</v>
      </c>
      <c r="K856" t="s">
        <v>32</v>
      </c>
      <c r="L856">
        <v>32</v>
      </c>
      <c r="M856" t="s">
        <v>18</v>
      </c>
    </row>
    <row r="857" spans="1:13" x14ac:dyDescent="0.25">
      <c r="A857">
        <v>18347</v>
      </c>
      <c r="B857" t="s">
        <v>35</v>
      </c>
      <c r="C857" t="s">
        <v>33</v>
      </c>
      <c r="D857" s="5">
        <v>30000</v>
      </c>
      <c r="E857">
        <v>0</v>
      </c>
      <c r="F857" t="s">
        <v>19</v>
      </c>
      <c r="G857" t="s">
        <v>14</v>
      </c>
      <c r="H857" t="s">
        <v>18</v>
      </c>
      <c r="I857">
        <v>1</v>
      </c>
      <c r="J857" t="s">
        <v>26</v>
      </c>
      <c r="K857" t="s">
        <v>32</v>
      </c>
      <c r="L857">
        <v>31</v>
      </c>
      <c r="M857" t="s">
        <v>18</v>
      </c>
    </row>
    <row r="858" spans="1:13" x14ac:dyDescent="0.25">
      <c r="A858">
        <v>29052</v>
      </c>
      <c r="B858" t="s">
        <v>35</v>
      </c>
      <c r="C858" t="s">
        <v>34</v>
      </c>
      <c r="D858" s="5">
        <v>40000</v>
      </c>
      <c r="E858">
        <v>0</v>
      </c>
      <c r="F858" t="s">
        <v>19</v>
      </c>
      <c r="G858" t="s">
        <v>14</v>
      </c>
      <c r="H858" t="s">
        <v>15</v>
      </c>
      <c r="I858">
        <v>1</v>
      </c>
      <c r="J858" t="s">
        <v>23</v>
      </c>
      <c r="K858" t="s">
        <v>32</v>
      </c>
      <c r="L858">
        <v>27</v>
      </c>
      <c r="M858" t="s">
        <v>18</v>
      </c>
    </row>
    <row r="859" spans="1:13" x14ac:dyDescent="0.25">
      <c r="A859">
        <v>11745</v>
      </c>
      <c r="B859" t="s">
        <v>34</v>
      </c>
      <c r="C859" t="s">
        <v>33</v>
      </c>
      <c r="D859" s="5">
        <v>60000</v>
      </c>
      <c r="E859">
        <v>1</v>
      </c>
      <c r="F859" t="s">
        <v>13</v>
      </c>
      <c r="G859" t="s">
        <v>21</v>
      </c>
      <c r="H859" t="s">
        <v>15</v>
      </c>
      <c r="I859">
        <v>1</v>
      </c>
      <c r="J859" t="s">
        <v>16</v>
      </c>
      <c r="K859" t="s">
        <v>32</v>
      </c>
      <c r="L859">
        <v>47</v>
      </c>
      <c r="M859" t="s">
        <v>15</v>
      </c>
    </row>
    <row r="860" spans="1:13" x14ac:dyDescent="0.25">
      <c r="A860">
        <v>19147</v>
      </c>
      <c r="B860" t="s">
        <v>34</v>
      </c>
      <c r="C860" t="s">
        <v>34</v>
      </c>
      <c r="D860" s="5">
        <v>40000</v>
      </c>
      <c r="E860">
        <v>0</v>
      </c>
      <c r="F860" t="s">
        <v>13</v>
      </c>
      <c r="G860" t="s">
        <v>21</v>
      </c>
      <c r="H860" t="s">
        <v>18</v>
      </c>
      <c r="I860">
        <v>1</v>
      </c>
      <c r="J860" t="s">
        <v>16</v>
      </c>
      <c r="K860" t="s">
        <v>32</v>
      </c>
      <c r="L860">
        <v>42</v>
      </c>
      <c r="M860" t="s">
        <v>18</v>
      </c>
    </row>
    <row r="861" spans="1:13" x14ac:dyDescent="0.25">
      <c r="A861">
        <v>19217</v>
      </c>
      <c r="B861" t="s">
        <v>34</v>
      </c>
      <c r="C861" t="s">
        <v>34</v>
      </c>
      <c r="D861" s="5">
        <v>30000</v>
      </c>
      <c r="E861">
        <v>2</v>
      </c>
      <c r="F861" t="s">
        <v>27</v>
      </c>
      <c r="G861" t="s">
        <v>14</v>
      </c>
      <c r="H861" t="s">
        <v>15</v>
      </c>
      <c r="I861">
        <v>2</v>
      </c>
      <c r="J861" t="s">
        <v>26</v>
      </c>
      <c r="K861" t="s">
        <v>32</v>
      </c>
      <c r="L861">
        <v>49</v>
      </c>
      <c r="M861" t="s">
        <v>18</v>
      </c>
    </row>
    <row r="862" spans="1:13" x14ac:dyDescent="0.25">
      <c r="A862">
        <v>15839</v>
      </c>
      <c r="B862" t="s">
        <v>35</v>
      </c>
      <c r="C862" t="s">
        <v>34</v>
      </c>
      <c r="D862" s="5">
        <v>30000</v>
      </c>
      <c r="E862">
        <v>0</v>
      </c>
      <c r="F862" t="s">
        <v>19</v>
      </c>
      <c r="G862" t="s">
        <v>14</v>
      </c>
      <c r="H862" t="s">
        <v>15</v>
      </c>
      <c r="I862">
        <v>1</v>
      </c>
      <c r="J862" t="s">
        <v>23</v>
      </c>
      <c r="K862" t="s">
        <v>32</v>
      </c>
      <c r="L862">
        <v>32</v>
      </c>
      <c r="M862" t="s">
        <v>18</v>
      </c>
    </row>
    <row r="863" spans="1:13" x14ac:dyDescent="0.25">
      <c r="A863">
        <v>13714</v>
      </c>
      <c r="B863" t="s">
        <v>34</v>
      </c>
      <c r="C863" t="s">
        <v>33</v>
      </c>
      <c r="D863" s="5">
        <v>20000</v>
      </c>
      <c r="E863">
        <v>2</v>
      </c>
      <c r="F863" t="s">
        <v>27</v>
      </c>
      <c r="G863" t="s">
        <v>25</v>
      </c>
      <c r="H863" t="s">
        <v>18</v>
      </c>
      <c r="I863">
        <v>2</v>
      </c>
      <c r="J863" t="s">
        <v>26</v>
      </c>
      <c r="K863" t="s">
        <v>32</v>
      </c>
      <c r="L863">
        <v>53</v>
      </c>
      <c r="M863" t="s">
        <v>15</v>
      </c>
    </row>
    <row r="864" spans="1:13" x14ac:dyDescent="0.25">
      <c r="A864">
        <v>22330</v>
      </c>
      <c r="B864" t="s">
        <v>34</v>
      </c>
      <c r="C864" t="s">
        <v>34</v>
      </c>
      <c r="D864" s="5">
        <v>50000</v>
      </c>
      <c r="E864">
        <v>0</v>
      </c>
      <c r="F864" t="s">
        <v>31</v>
      </c>
      <c r="G864" t="s">
        <v>14</v>
      </c>
      <c r="H864" t="s">
        <v>15</v>
      </c>
      <c r="I864">
        <v>0</v>
      </c>
      <c r="J864" t="s">
        <v>26</v>
      </c>
      <c r="K864" t="s">
        <v>32</v>
      </c>
      <c r="L864">
        <v>32</v>
      </c>
      <c r="M864" t="s">
        <v>15</v>
      </c>
    </row>
    <row r="865" spans="1:13" x14ac:dyDescent="0.25">
      <c r="A865">
        <v>18783</v>
      </c>
      <c r="B865" t="s">
        <v>35</v>
      </c>
      <c r="C865" t="s">
        <v>34</v>
      </c>
      <c r="D865" s="5">
        <v>80000</v>
      </c>
      <c r="E865">
        <v>0</v>
      </c>
      <c r="F865" t="s">
        <v>13</v>
      </c>
      <c r="G865" t="s">
        <v>28</v>
      </c>
      <c r="H865" t="s">
        <v>18</v>
      </c>
      <c r="I865">
        <v>1</v>
      </c>
      <c r="J865" t="s">
        <v>16</v>
      </c>
      <c r="K865" t="s">
        <v>32</v>
      </c>
      <c r="L865">
        <v>38</v>
      </c>
      <c r="M865" t="s">
        <v>15</v>
      </c>
    </row>
    <row r="866" spans="1:13" x14ac:dyDescent="0.25">
      <c r="A866">
        <v>25041</v>
      </c>
      <c r="B866" t="s">
        <v>35</v>
      </c>
      <c r="C866" t="s">
        <v>34</v>
      </c>
      <c r="D866" s="5">
        <v>40000</v>
      </c>
      <c r="E866">
        <v>0</v>
      </c>
      <c r="F866" t="s">
        <v>27</v>
      </c>
      <c r="G866" t="s">
        <v>14</v>
      </c>
      <c r="H866" t="s">
        <v>15</v>
      </c>
      <c r="I866">
        <v>2</v>
      </c>
      <c r="J866" t="s">
        <v>23</v>
      </c>
      <c r="K866" t="s">
        <v>32</v>
      </c>
      <c r="L866">
        <v>31</v>
      </c>
      <c r="M866" t="s">
        <v>18</v>
      </c>
    </row>
    <row r="867" spans="1:13" x14ac:dyDescent="0.25">
      <c r="A867">
        <v>22046</v>
      </c>
      <c r="B867" t="s">
        <v>35</v>
      </c>
      <c r="C867" t="s">
        <v>33</v>
      </c>
      <c r="D867" s="5">
        <v>80000</v>
      </c>
      <c r="E867">
        <v>0</v>
      </c>
      <c r="F867" t="s">
        <v>13</v>
      </c>
      <c r="G867" t="s">
        <v>28</v>
      </c>
      <c r="H867" t="s">
        <v>18</v>
      </c>
      <c r="I867">
        <v>1</v>
      </c>
      <c r="J867" t="s">
        <v>16</v>
      </c>
      <c r="K867" t="s">
        <v>32</v>
      </c>
      <c r="L867">
        <v>38</v>
      </c>
      <c r="M867" t="s">
        <v>15</v>
      </c>
    </row>
    <row r="868" spans="1:13" x14ac:dyDescent="0.25">
      <c r="A868">
        <v>28052</v>
      </c>
      <c r="B868" t="s">
        <v>34</v>
      </c>
      <c r="C868" t="s">
        <v>34</v>
      </c>
      <c r="D868" s="5">
        <v>60000</v>
      </c>
      <c r="E868">
        <v>2</v>
      </c>
      <c r="F868" t="s">
        <v>27</v>
      </c>
      <c r="G868" t="s">
        <v>21</v>
      </c>
      <c r="H868" t="s">
        <v>15</v>
      </c>
      <c r="I868">
        <v>2</v>
      </c>
      <c r="J868" t="s">
        <v>30</v>
      </c>
      <c r="K868" t="s">
        <v>32</v>
      </c>
      <c r="L868">
        <v>55</v>
      </c>
      <c r="M868" t="s">
        <v>18</v>
      </c>
    </row>
    <row r="869" spans="1:13" x14ac:dyDescent="0.25">
      <c r="A869">
        <v>26693</v>
      </c>
      <c r="B869" t="s">
        <v>34</v>
      </c>
      <c r="C869" t="s">
        <v>34</v>
      </c>
      <c r="D869" s="5">
        <v>70000</v>
      </c>
      <c r="E869">
        <v>3</v>
      </c>
      <c r="F869" t="s">
        <v>19</v>
      </c>
      <c r="G869" t="s">
        <v>21</v>
      </c>
      <c r="H869" t="s">
        <v>15</v>
      </c>
      <c r="I869">
        <v>1</v>
      </c>
      <c r="J869" t="s">
        <v>23</v>
      </c>
      <c r="K869" t="s">
        <v>32</v>
      </c>
      <c r="L869">
        <v>49</v>
      </c>
      <c r="M869" t="s">
        <v>18</v>
      </c>
    </row>
    <row r="870" spans="1:13" x14ac:dyDescent="0.25">
      <c r="A870">
        <v>24955</v>
      </c>
      <c r="B870" t="s">
        <v>35</v>
      </c>
      <c r="C870" t="s">
        <v>34</v>
      </c>
      <c r="D870" s="5">
        <v>30000</v>
      </c>
      <c r="E870">
        <v>5</v>
      </c>
      <c r="F870" t="s">
        <v>29</v>
      </c>
      <c r="G870" t="s">
        <v>14</v>
      </c>
      <c r="H870" t="s">
        <v>15</v>
      </c>
      <c r="I870">
        <v>3</v>
      </c>
      <c r="J870" t="s">
        <v>30</v>
      </c>
      <c r="K870" t="s">
        <v>32</v>
      </c>
      <c r="L870">
        <v>60</v>
      </c>
      <c r="M870" t="s">
        <v>15</v>
      </c>
    </row>
    <row r="871" spans="1:13" x14ac:dyDescent="0.25">
      <c r="A871">
        <v>26065</v>
      </c>
      <c r="B871" t="s">
        <v>35</v>
      </c>
      <c r="C871" t="s">
        <v>33</v>
      </c>
      <c r="D871" s="5">
        <v>110000</v>
      </c>
      <c r="E871">
        <v>3</v>
      </c>
      <c r="F871" t="s">
        <v>13</v>
      </c>
      <c r="G871" t="s">
        <v>28</v>
      </c>
      <c r="H871" t="s">
        <v>18</v>
      </c>
      <c r="I871">
        <v>4</v>
      </c>
      <c r="J871" t="s">
        <v>26</v>
      </c>
      <c r="K871" t="s">
        <v>32</v>
      </c>
      <c r="L871">
        <v>42</v>
      </c>
      <c r="M871" t="s">
        <v>18</v>
      </c>
    </row>
    <row r="872" spans="1:13" x14ac:dyDescent="0.25">
      <c r="A872">
        <v>13942</v>
      </c>
      <c r="B872" t="s">
        <v>34</v>
      </c>
      <c r="C872" t="s">
        <v>34</v>
      </c>
      <c r="D872" s="5">
        <v>60000</v>
      </c>
      <c r="E872">
        <v>1</v>
      </c>
      <c r="F872" t="s">
        <v>19</v>
      </c>
      <c r="G872" t="s">
        <v>14</v>
      </c>
      <c r="H872" t="s">
        <v>15</v>
      </c>
      <c r="I872">
        <v>1</v>
      </c>
      <c r="J872" t="s">
        <v>16</v>
      </c>
      <c r="K872" t="s">
        <v>32</v>
      </c>
      <c r="L872">
        <v>46</v>
      </c>
      <c r="M872" t="s">
        <v>18</v>
      </c>
    </row>
    <row r="873" spans="1:13" x14ac:dyDescent="0.25">
      <c r="A873">
        <v>11219</v>
      </c>
      <c r="B873" t="s">
        <v>34</v>
      </c>
      <c r="C873" t="s">
        <v>34</v>
      </c>
      <c r="D873" s="5">
        <v>60000</v>
      </c>
      <c r="E873">
        <v>2</v>
      </c>
      <c r="F873" t="s">
        <v>27</v>
      </c>
      <c r="G873" t="s">
        <v>21</v>
      </c>
      <c r="H873" t="s">
        <v>15</v>
      </c>
      <c r="I873">
        <v>2</v>
      </c>
      <c r="J873" t="s">
        <v>30</v>
      </c>
      <c r="K873" t="s">
        <v>32</v>
      </c>
      <c r="L873">
        <v>55</v>
      </c>
      <c r="M873" t="s">
        <v>18</v>
      </c>
    </row>
    <row r="874" spans="1:13" x14ac:dyDescent="0.25">
      <c r="A874">
        <v>22118</v>
      </c>
      <c r="B874" t="s">
        <v>35</v>
      </c>
      <c r="C874" t="s">
        <v>33</v>
      </c>
      <c r="D874" s="5">
        <v>70000</v>
      </c>
      <c r="E874">
        <v>3</v>
      </c>
      <c r="F874" t="s">
        <v>31</v>
      </c>
      <c r="G874" t="s">
        <v>28</v>
      </c>
      <c r="H874" t="s">
        <v>15</v>
      </c>
      <c r="I874">
        <v>2</v>
      </c>
      <c r="J874" t="s">
        <v>23</v>
      </c>
      <c r="K874" t="s">
        <v>32</v>
      </c>
      <c r="L874">
        <v>53</v>
      </c>
      <c r="M874" t="s">
        <v>15</v>
      </c>
    </row>
    <row r="875" spans="1:13" x14ac:dyDescent="0.25">
      <c r="A875">
        <v>23197</v>
      </c>
      <c r="B875" t="s">
        <v>34</v>
      </c>
      <c r="C875" t="s">
        <v>34</v>
      </c>
      <c r="D875" s="5">
        <v>50000</v>
      </c>
      <c r="E875">
        <v>3</v>
      </c>
      <c r="F875" t="s">
        <v>13</v>
      </c>
      <c r="G875" t="s">
        <v>14</v>
      </c>
      <c r="H875" t="s">
        <v>15</v>
      </c>
      <c r="I875">
        <v>2</v>
      </c>
      <c r="J875" t="s">
        <v>22</v>
      </c>
      <c r="K875" t="s">
        <v>32</v>
      </c>
      <c r="L875">
        <v>40</v>
      </c>
      <c r="M875" t="s">
        <v>18</v>
      </c>
    </row>
    <row r="876" spans="1:13" x14ac:dyDescent="0.25">
      <c r="A876">
        <v>14883</v>
      </c>
      <c r="B876" t="s">
        <v>34</v>
      </c>
      <c r="C876" t="s">
        <v>33</v>
      </c>
      <c r="D876" s="5">
        <v>30000</v>
      </c>
      <c r="E876">
        <v>1</v>
      </c>
      <c r="F876" t="s">
        <v>13</v>
      </c>
      <c r="G876" t="s">
        <v>14</v>
      </c>
      <c r="H876" t="s">
        <v>15</v>
      </c>
      <c r="I876">
        <v>1</v>
      </c>
      <c r="J876" t="s">
        <v>23</v>
      </c>
      <c r="K876" t="s">
        <v>32</v>
      </c>
      <c r="L876">
        <v>53</v>
      </c>
      <c r="M876" t="s">
        <v>15</v>
      </c>
    </row>
    <row r="877" spans="1:13" x14ac:dyDescent="0.25">
      <c r="A877">
        <v>27279</v>
      </c>
      <c r="B877" t="s">
        <v>35</v>
      </c>
      <c r="C877" t="s">
        <v>33</v>
      </c>
      <c r="D877" s="5">
        <v>70000</v>
      </c>
      <c r="E877">
        <v>2</v>
      </c>
      <c r="F877" t="s">
        <v>13</v>
      </c>
      <c r="G877" t="s">
        <v>14</v>
      </c>
      <c r="H877" t="s">
        <v>15</v>
      </c>
      <c r="I877">
        <v>0</v>
      </c>
      <c r="J877" t="s">
        <v>22</v>
      </c>
      <c r="K877" t="s">
        <v>32</v>
      </c>
      <c r="L877">
        <v>38</v>
      </c>
      <c r="M877" t="s">
        <v>15</v>
      </c>
    </row>
    <row r="878" spans="1:13" x14ac:dyDescent="0.25">
      <c r="A878">
        <v>18322</v>
      </c>
      <c r="B878" t="s">
        <v>35</v>
      </c>
      <c r="C878" t="s">
        <v>34</v>
      </c>
      <c r="D878" s="5">
        <v>30000</v>
      </c>
      <c r="E878">
        <v>0</v>
      </c>
      <c r="F878" t="s">
        <v>29</v>
      </c>
      <c r="G878" t="s">
        <v>20</v>
      </c>
      <c r="H878" t="s">
        <v>18</v>
      </c>
      <c r="I878">
        <v>2</v>
      </c>
      <c r="J878" t="s">
        <v>16</v>
      </c>
      <c r="K878" t="s">
        <v>32</v>
      </c>
      <c r="L878">
        <v>26</v>
      </c>
      <c r="M878" t="s">
        <v>18</v>
      </c>
    </row>
    <row r="879" spans="1:13" x14ac:dyDescent="0.25">
      <c r="A879">
        <v>15879</v>
      </c>
      <c r="B879" t="s">
        <v>34</v>
      </c>
      <c r="C879" t="s">
        <v>34</v>
      </c>
      <c r="D879" s="5">
        <v>70000</v>
      </c>
      <c r="E879">
        <v>5</v>
      </c>
      <c r="F879" t="s">
        <v>13</v>
      </c>
      <c r="G879" t="s">
        <v>28</v>
      </c>
      <c r="H879" t="s">
        <v>15</v>
      </c>
      <c r="I879">
        <v>2</v>
      </c>
      <c r="J879" t="s">
        <v>22</v>
      </c>
      <c r="K879" t="s">
        <v>32</v>
      </c>
      <c r="L879">
        <v>61</v>
      </c>
      <c r="M879" t="s">
        <v>18</v>
      </c>
    </row>
    <row r="880" spans="1:13" x14ac:dyDescent="0.25">
      <c r="A880">
        <v>28278</v>
      </c>
      <c r="B880" t="s">
        <v>34</v>
      </c>
      <c r="C880" t="s">
        <v>34</v>
      </c>
      <c r="D880" s="5">
        <v>50000</v>
      </c>
      <c r="E880">
        <v>2</v>
      </c>
      <c r="F880" t="s">
        <v>31</v>
      </c>
      <c r="G880" t="s">
        <v>28</v>
      </c>
      <c r="H880" t="s">
        <v>15</v>
      </c>
      <c r="I880">
        <v>2</v>
      </c>
      <c r="J880" t="s">
        <v>23</v>
      </c>
      <c r="K880" t="s">
        <v>32</v>
      </c>
      <c r="L880">
        <v>71</v>
      </c>
      <c r="M880" t="s">
        <v>18</v>
      </c>
    </row>
    <row r="881" spans="1:13" x14ac:dyDescent="0.25">
      <c r="A881">
        <v>24416</v>
      </c>
      <c r="B881" t="s">
        <v>34</v>
      </c>
      <c r="C881" t="s">
        <v>34</v>
      </c>
      <c r="D881" s="5">
        <v>90000</v>
      </c>
      <c r="E881">
        <v>4</v>
      </c>
      <c r="F881" t="s">
        <v>27</v>
      </c>
      <c r="G881" t="s">
        <v>21</v>
      </c>
      <c r="H881" t="s">
        <v>15</v>
      </c>
      <c r="I881">
        <v>2</v>
      </c>
      <c r="J881" t="s">
        <v>26</v>
      </c>
      <c r="K881" t="s">
        <v>32</v>
      </c>
      <c r="L881">
        <v>45</v>
      </c>
      <c r="M881" t="s">
        <v>18</v>
      </c>
    </row>
    <row r="882" spans="1:13" x14ac:dyDescent="0.25">
      <c r="A882">
        <v>28066</v>
      </c>
      <c r="B882" t="s">
        <v>34</v>
      </c>
      <c r="C882" t="s">
        <v>34</v>
      </c>
      <c r="D882" s="5">
        <v>80000</v>
      </c>
      <c r="E882">
        <v>2</v>
      </c>
      <c r="F882" t="s">
        <v>31</v>
      </c>
      <c r="G882" t="s">
        <v>21</v>
      </c>
      <c r="H882" t="s">
        <v>15</v>
      </c>
      <c r="I882">
        <v>0</v>
      </c>
      <c r="J882" t="s">
        <v>16</v>
      </c>
      <c r="K882" t="s">
        <v>32</v>
      </c>
      <c r="L882">
        <v>37</v>
      </c>
      <c r="M882" t="s">
        <v>15</v>
      </c>
    </row>
    <row r="883" spans="1:13" x14ac:dyDescent="0.25">
      <c r="A883">
        <v>11275</v>
      </c>
      <c r="B883" t="s">
        <v>34</v>
      </c>
      <c r="C883" t="s">
        <v>33</v>
      </c>
      <c r="D883" s="5">
        <v>80000</v>
      </c>
      <c r="E883">
        <v>4</v>
      </c>
      <c r="F883" t="s">
        <v>31</v>
      </c>
      <c r="G883" t="s">
        <v>28</v>
      </c>
      <c r="H883" t="s">
        <v>15</v>
      </c>
      <c r="I883">
        <v>2</v>
      </c>
      <c r="J883" t="s">
        <v>16</v>
      </c>
      <c r="K883" t="s">
        <v>32</v>
      </c>
      <c r="L883">
        <v>72</v>
      </c>
      <c r="M883" t="s">
        <v>15</v>
      </c>
    </row>
    <row r="884" spans="1:13" x14ac:dyDescent="0.25">
      <c r="A884">
        <v>14872</v>
      </c>
      <c r="B884" t="s">
        <v>34</v>
      </c>
      <c r="C884" t="s">
        <v>34</v>
      </c>
      <c r="D884" s="5">
        <v>30000</v>
      </c>
      <c r="E884">
        <v>0</v>
      </c>
      <c r="F884" t="s">
        <v>31</v>
      </c>
      <c r="G884" t="s">
        <v>14</v>
      </c>
      <c r="H884" t="s">
        <v>15</v>
      </c>
      <c r="I884">
        <v>0</v>
      </c>
      <c r="J884" t="s">
        <v>16</v>
      </c>
      <c r="K884" t="s">
        <v>32</v>
      </c>
      <c r="L884">
        <v>32</v>
      </c>
      <c r="M884" t="s">
        <v>18</v>
      </c>
    </row>
    <row r="885" spans="1:13" x14ac:dyDescent="0.25">
      <c r="A885">
        <v>16151</v>
      </c>
      <c r="B885" t="s">
        <v>34</v>
      </c>
      <c r="C885" t="s">
        <v>33</v>
      </c>
      <c r="D885" s="5">
        <v>60000</v>
      </c>
      <c r="E885">
        <v>1</v>
      </c>
      <c r="F885" t="s">
        <v>13</v>
      </c>
      <c r="G885" t="s">
        <v>21</v>
      </c>
      <c r="H885" t="s">
        <v>15</v>
      </c>
      <c r="I885">
        <v>1</v>
      </c>
      <c r="J885" t="s">
        <v>22</v>
      </c>
      <c r="K885" t="s">
        <v>32</v>
      </c>
      <c r="L885">
        <v>48</v>
      </c>
      <c r="M885" t="s">
        <v>15</v>
      </c>
    </row>
    <row r="886" spans="1:13" x14ac:dyDescent="0.25">
      <c r="A886">
        <v>19731</v>
      </c>
      <c r="B886" t="s">
        <v>34</v>
      </c>
      <c r="C886" t="s">
        <v>34</v>
      </c>
      <c r="D886" s="5">
        <v>80000</v>
      </c>
      <c r="E886">
        <v>4</v>
      </c>
      <c r="F886" t="s">
        <v>31</v>
      </c>
      <c r="G886" t="s">
        <v>28</v>
      </c>
      <c r="H886" t="s">
        <v>15</v>
      </c>
      <c r="I886">
        <v>2</v>
      </c>
      <c r="J886" t="s">
        <v>23</v>
      </c>
      <c r="K886" t="s">
        <v>32</v>
      </c>
      <c r="L886">
        <v>68</v>
      </c>
      <c r="M886" t="s">
        <v>18</v>
      </c>
    </row>
    <row r="887" spans="1:13" x14ac:dyDescent="0.25">
      <c r="A887">
        <v>23801</v>
      </c>
      <c r="B887" t="s">
        <v>34</v>
      </c>
      <c r="C887" t="s">
        <v>33</v>
      </c>
      <c r="D887" s="5">
        <v>20000</v>
      </c>
      <c r="E887">
        <v>2</v>
      </c>
      <c r="F887" t="s">
        <v>29</v>
      </c>
      <c r="G887" t="s">
        <v>20</v>
      </c>
      <c r="H887" t="s">
        <v>15</v>
      </c>
      <c r="I887">
        <v>2</v>
      </c>
      <c r="J887" t="s">
        <v>16</v>
      </c>
      <c r="K887" t="s">
        <v>32</v>
      </c>
      <c r="L887">
        <v>49</v>
      </c>
      <c r="M887" t="s">
        <v>18</v>
      </c>
    </row>
    <row r="888" spans="1:13" x14ac:dyDescent="0.25">
      <c r="A888">
        <v>11807</v>
      </c>
      <c r="B888" t="s">
        <v>34</v>
      </c>
      <c r="C888" t="s">
        <v>34</v>
      </c>
      <c r="D888" s="5">
        <v>70000</v>
      </c>
      <c r="E888">
        <v>3</v>
      </c>
      <c r="F888" t="s">
        <v>31</v>
      </c>
      <c r="G888" t="s">
        <v>21</v>
      </c>
      <c r="H888" t="s">
        <v>15</v>
      </c>
      <c r="I888">
        <v>0</v>
      </c>
      <c r="J888" t="s">
        <v>22</v>
      </c>
      <c r="K888" t="s">
        <v>32</v>
      </c>
      <c r="L888">
        <v>34</v>
      </c>
      <c r="M888" t="s">
        <v>18</v>
      </c>
    </row>
    <row r="889" spans="1:13" x14ac:dyDescent="0.25">
      <c r="A889">
        <v>11622</v>
      </c>
      <c r="B889" t="s">
        <v>34</v>
      </c>
      <c r="C889" t="s">
        <v>34</v>
      </c>
      <c r="D889" s="5">
        <v>50000</v>
      </c>
      <c r="E889">
        <v>0</v>
      </c>
      <c r="F889" t="s">
        <v>31</v>
      </c>
      <c r="G889" t="s">
        <v>14</v>
      </c>
      <c r="H889" t="s">
        <v>15</v>
      </c>
      <c r="I889">
        <v>0</v>
      </c>
      <c r="J889" t="s">
        <v>16</v>
      </c>
      <c r="K889" t="s">
        <v>32</v>
      </c>
      <c r="L889">
        <v>32</v>
      </c>
      <c r="M889" t="s">
        <v>18</v>
      </c>
    </row>
    <row r="890" spans="1:13" x14ac:dyDescent="0.25">
      <c r="A890">
        <v>26597</v>
      </c>
      <c r="B890" t="s">
        <v>35</v>
      </c>
      <c r="C890" t="s">
        <v>33</v>
      </c>
      <c r="D890" s="5">
        <v>60000</v>
      </c>
      <c r="E890">
        <v>4</v>
      </c>
      <c r="F890" t="s">
        <v>13</v>
      </c>
      <c r="G890" t="s">
        <v>14</v>
      </c>
      <c r="H890" t="s">
        <v>18</v>
      </c>
      <c r="I890">
        <v>2</v>
      </c>
      <c r="J890" t="s">
        <v>16</v>
      </c>
      <c r="K890" t="s">
        <v>32</v>
      </c>
      <c r="L890">
        <v>42</v>
      </c>
      <c r="M890" t="s">
        <v>18</v>
      </c>
    </row>
    <row r="891" spans="1:13" x14ac:dyDescent="0.25">
      <c r="A891">
        <v>27074</v>
      </c>
      <c r="B891" t="s">
        <v>34</v>
      </c>
      <c r="C891" t="s">
        <v>33</v>
      </c>
      <c r="D891" s="5">
        <v>70000</v>
      </c>
      <c r="E891">
        <v>1</v>
      </c>
      <c r="F891" t="s">
        <v>31</v>
      </c>
      <c r="G891" t="s">
        <v>14</v>
      </c>
      <c r="H891" t="s">
        <v>15</v>
      </c>
      <c r="I891">
        <v>0</v>
      </c>
      <c r="J891" t="s">
        <v>16</v>
      </c>
      <c r="K891" t="s">
        <v>32</v>
      </c>
      <c r="L891">
        <v>35</v>
      </c>
      <c r="M891" t="s">
        <v>15</v>
      </c>
    </row>
    <row r="892" spans="1:13" x14ac:dyDescent="0.25">
      <c r="A892">
        <v>19228</v>
      </c>
      <c r="B892" t="s">
        <v>34</v>
      </c>
      <c r="C892" t="s">
        <v>33</v>
      </c>
      <c r="D892" s="5">
        <v>40000</v>
      </c>
      <c r="E892">
        <v>2</v>
      </c>
      <c r="F892" t="s">
        <v>19</v>
      </c>
      <c r="G892" t="s">
        <v>20</v>
      </c>
      <c r="H892" t="s">
        <v>15</v>
      </c>
      <c r="I892">
        <v>1</v>
      </c>
      <c r="J892" t="s">
        <v>16</v>
      </c>
      <c r="K892" t="s">
        <v>32</v>
      </c>
      <c r="L892">
        <v>48</v>
      </c>
      <c r="M892" t="s">
        <v>18</v>
      </c>
    </row>
    <row r="893" spans="1:13" x14ac:dyDescent="0.25">
      <c r="A893">
        <v>13415</v>
      </c>
      <c r="B893" t="s">
        <v>35</v>
      </c>
      <c r="C893" t="s">
        <v>34</v>
      </c>
      <c r="D893" s="5">
        <v>100000</v>
      </c>
      <c r="E893">
        <v>1</v>
      </c>
      <c r="F893" t="s">
        <v>31</v>
      </c>
      <c r="G893" t="s">
        <v>28</v>
      </c>
      <c r="H893" t="s">
        <v>15</v>
      </c>
      <c r="I893">
        <v>3</v>
      </c>
      <c r="J893" t="s">
        <v>22</v>
      </c>
      <c r="K893" t="s">
        <v>32</v>
      </c>
      <c r="L893">
        <v>73</v>
      </c>
      <c r="M893" t="s">
        <v>15</v>
      </c>
    </row>
    <row r="894" spans="1:13" x14ac:dyDescent="0.25">
      <c r="A894">
        <v>17000</v>
      </c>
      <c r="B894" t="s">
        <v>35</v>
      </c>
      <c r="C894" t="s">
        <v>33</v>
      </c>
      <c r="D894" s="5">
        <v>70000</v>
      </c>
      <c r="E894">
        <v>4</v>
      </c>
      <c r="F894" t="s">
        <v>13</v>
      </c>
      <c r="G894" t="s">
        <v>14</v>
      </c>
      <c r="H894" t="s">
        <v>15</v>
      </c>
      <c r="I894">
        <v>2</v>
      </c>
      <c r="J894" t="s">
        <v>22</v>
      </c>
      <c r="K894" t="s">
        <v>32</v>
      </c>
      <c r="L894">
        <v>43</v>
      </c>
      <c r="M894" t="s">
        <v>15</v>
      </c>
    </row>
    <row r="895" spans="1:13" x14ac:dyDescent="0.25">
      <c r="A895">
        <v>14569</v>
      </c>
      <c r="B895" t="s">
        <v>34</v>
      </c>
      <c r="C895" t="s">
        <v>34</v>
      </c>
      <c r="D895" s="5">
        <v>60000</v>
      </c>
      <c r="E895">
        <v>1</v>
      </c>
      <c r="F895" t="s">
        <v>31</v>
      </c>
      <c r="G895" t="s">
        <v>21</v>
      </c>
      <c r="H895" t="s">
        <v>15</v>
      </c>
      <c r="I895">
        <v>0</v>
      </c>
      <c r="J895" t="s">
        <v>16</v>
      </c>
      <c r="K895" t="s">
        <v>32</v>
      </c>
      <c r="L895">
        <v>35</v>
      </c>
      <c r="M895" t="s">
        <v>18</v>
      </c>
    </row>
    <row r="896" spans="1:13" x14ac:dyDescent="0.25">
      <c r="A896">
        <v>13873</v>
      </c>
      <c r="B896" t="s">
        <v>34</v>
      </c>
      <c r="C896" t="s">
        <v>34</v>
      </c>
      <c r="D896" s="5">
        <v>70000</v>
      </c>
      <c r="E896">
        <v>3</v>
      </c>
      <c r="F896" t="s">
        <v>31</v>
      </c>
      <c r="G896" t="s">
        <v>21</v>
      </c>
      <c r="H896" t="s">
        <v>15</v>
      </c>
      <c r="I896">
        <v>0</v>
      </c>
      <c r="J896" t="s">
        <v>16</v>
      </c>
      <c r="K896" t="s">
        <v>32</v>
      </c>
      <c r="L896">
        <v>35</v>
      </c>
      <c r="M896" t="s">
        <v>15</v>
      </c>
    </row>
    <row r="897" spans="1:13" x14ac:dyDescent="0.25">
      <c r="A897">
        <v>20401</v>
      </c>
      <c r="B897" t="s">
        <v>34</v>
      </c>
      <c r="C897" t="s">
        <v>33</v>
      </c>
      <c r="D897" s="5">
        <v>50000</v>
      </c>
      <c r="E897">
        <v>4</v>
      </c>
      <c r="F897" t="s">
        <v>13</v>
      </c>
      <c r="G897" t="s">
        <v>28</v>
      </c>
      <c r="H897" t="s">
        <v>15</v>
      </c>
      <c r="I897">
        <v>2</v>
      </c>
      <c r="J897" t="s">
        <v>26</v>
      </c>
      <c r="K897" t="s">
        <v>32</v>
      </c>
      <c r="L897">
        <v>64</v>
      </c>
      <c r="M897" t="s">
        <v>15</v>
      </c>
    </row>
    <row r="898" spans="1:13" x14ac:dyDescent="0.25">
      <c r="A898">
        <v>21583</v>
      </c>
      <c r="B898" t="s">
        <v>34</v>
      </c>
      <c r="C898" t="s">
        <v>33</v>
      </c>
      <c r="D898" s="5">
        <v>50000</v>
      </c>
      <c r="E898">
        <v>1</v>
      </c>
      <c r="F898" t="s">
        <v>13</v>
      </c>
      <c r="G898" t="s">
        <v>14</v>
      </c>
      <c r="H898" t="s">
        <v>15</v>
      </c>
      <c r="I898">
        <v>0</v>
      </c>
      <c r="J898" t="s">
        <v>16</v>
      </c>
      <c r="K898" t="s">
        <v>32</v>
      </c>
      <c r="L898">
        <v>34</v>
      </c>
      <c r="M898" t="s">
        <v>15</v>
      </c>
    </row>
    <row r="899" spans="1:13" x14ac:dyDescent="0.25">
      <c r="A899">
        <v>12029</v>
      </c>
      <c r="B899" t="s">
        <v>34</v>
      </c>
      <c r="C899" t="s">
        <v>34</v>
      </c>
      <c r="D899" s="5">
        <v>30000</v>
      </c>
      <c r="E899">
        <v>0</v>
      </c>
      <c r="F899" t="s">
        <v>29</v>
      </c>
      <c r="G899" t="s">
        <v>20</v>
      </c>
      <c r="H899" t="s">
        <v>18</v>
      </c>
      <c r="I899">
        <v>2</v>
      </c>
      <c r="J899" t="s">
        <v>16</v>
      </c>
      <c r="K899" t="s">
        <v>32</v>
      </c>
      <c r="L899">
        <v>28</v>
      </c>
      <c r="M899" t="s">
        <v>18</v>
      </c>
    </row>
    <row r="900" spans="1:13" x14ac:dyDescent="0.25">
      <c r="A900">
        <v>18066</v>
      </c>
      <c r="B900" t="s">
        <v>35</v>
      </c>
      <c r="C900" t="s">
        <v>34</v>
      </c>
      <c r="D900" s="5">
        <v>70000</v>
      </c>
      <c r="E900">
        <v>5</v>
      </c>
      <c r="F900" t="s">
        <v>13</v>
      </c>
      <c r="G900" t="s">
        <v>28</v>
      </c>
      <c r="H900" t="s">
        <v>15</v>
      </c>
      <c r="I900">
        <v>3</v>
      </c>
      <c r="J900" t="s">
        <v>30</v>
      </c>
      <c r="K900" t="s">
        <v>32</v>
      </c>
      <c r="L900">
        <v>60</v>
      </c>
      <c r="M900" t="s">
        <v>15</v>
      </c>
    </row>
    <row r="901" spans="1:13" x14ac:dyDescent="0.25">
      <c r="A901">
        <v>28192</v>
      </c>
      <c r="B901" t="s">
        <v>34</v>
      </c>
      <c r="C901" t="s">
        <v>33</v>
      </c>
      <c r="D901" s="5">
        <v>70000</v>
      </c>
      <c r="E901">
        <v>5</v>
      </c>
      <c r="F901" t="s">
        <v>31</v>
      </c>
      <c r="G901" t="s">
        <v>21</v>
      </c>
      <c r="H901" t="s">
        <v>15</v>
      </c>
      <c r="I901">
        <v>3</v>
      </c>
      <c r="J901" t="s">
        <v>30</v>
      </c>
      <c r="K901" t="s">
        <v>32</v>
      </c>
      <c r="L901">
        <v>46</v>
      </c>
      <c r="M901" t="s">
        <v>18</v>
      </c>
    </row>
    <row r="902" spans="1:13" x14ac:dyDescent="0.25">
      <c r="A902">
        <v>16122</v>
      </c>
      <c r="B902" t="s">
        <v>34</v>
      </c>
      <c r="C902" t="s">
        <v>34</v>
      </c>
      <c r="D902" s="5">
        <v>40000</v>
      </c>
      <c r="E902">
        <v>4</v>
      </c>
      <c r="F902" t="s">
        <v>27</v>
      </c>
      <c r="G902" t="s">
        <v>14</v>
      </c>
      <c r="H902" t="s">
        <v>15</v>
      </c>
      <c r="I902">
        <v>2</v>
      </c>
      <c r="J902" t="s">
        <v>16</v>
      </c>
      <c r="K902" t="s">
        <v>32</v>
      </c>
      <c r="L902">
        <v>44</v>
      </c>
      <c r="M902" t="s">
        <v>15</v>
      </c>
    </row>
    <row r="903" spans="1:13" x14ac:dyDescent="0.25">
      <c r="A903">
        <v>18607</v>
      </c>
      <c r="B903" t="s">
        <v>35</v>
      </c>
      <c r="C903" t="s">
        <v>33</v>
      </c>
      <c r="D903" s="5">
        <v>60000</v>
      </c>
      <c r="E903">
        <v>4</v>
      </c>
      <c r="F903" t="s">
        <v>13</v>
      </c>
      <c r="G903" t="s">
        <v>14</v>
      </c>
      <c r="H903" t="s">
        <v>15</v>
      </c>
      <c r="I903">
        <v>2</v>
      </c>
      <c r="J903" t="s">
        <v>22</v>
      </c>
      <c r="K903" t="s">
        <v>32</v>
      </c>
      <c r="L903">
        <v>42</v>
      </c>
      <c r="M903" t="s">
        <v>15</v>
      </c>
    </row>
    <row r="904" spans="1:13" x14ac:dyDescent="0.25">
      <c r="A904">
        <v>28858</v>
      </c>
      <c r="B904" t="s">
        <v>35</v>
      </c>
      <c r="C904" t="s">
        <v>34</v>
      </c>
      <c r="D904" s="5">
        <v>80000</v>
      </c>
      <c r="E904">
        <v>3</v>
      </c>
      <c r="F904" t="s">
        <v>13</v>
      </c>
      <c r="G904" t="s">
        <v>14</v>
      </c>
      <c r="H904" t="s">
        <v>15</v>
      </c>
      <c r="I904">
        <v>0</v>
      </c>
      <c r="J904" t="s">
        <v>22</v>
      </c>
      <c r="K904" t="s">
        <v>32</v>
      </c>
      <c r="L904">
        <v>40</v>
      </c>
      <c r="M904" t="s">
        <v>18</v>
      </c>
    </row>
    <row r="905" spans="1:13" x14ac:dyDescent="0.25">
      <c r="A905">
        <v>14432</v>
      </c>
      <c r="B905" t="s">
        <v>35</v>
      </c>
      <c r="C905" t="s">
        <v>34</v>
      </c>
      <c r="D905" s="5">
        <v>90000</v>
      </c>
      <c r="E905">
        <v>4</v>
      </c>
      <c r="F905" t="s">
        <v>31</v>
      </c>
      <c r="G905" t="s">
        <v>28</v>
      </c>
      <c r="H905" t="s">
        <v>15</v>
      </c>
      <c r="I905">
        <v>1</v>
      </c>
      <c r="J905" t="s">
        <v>23</v>
      </c>
      <c r="K905" t="s">
        <v>32</v>
      </c>
      <c r="L905">
        <v>73</v>
      </c>
      <c r="M905" t="s">
        <v>18</v>
      </c>
    </row>
    <row r="906" spans="1:13" x14ac:dyDescent="0.25">
      <c r="A906">
        <v>26305</v>
      </c>
      <c r="B906" t="s">
        <v>35</v>
      </c>
      <c r="C906" t="s">
        <v>33</v>
      </c>
      <c r="D906" s="5">
        <v>60000</v>
      </c>
      <c r="E906">
        <v>2</v>
      </c>
      <c r="F906" t="s">
        <v>13</v>
      </c>
      <c r="G906" t="s">
        <v>14</v>
      </c>
      <c r="H906" t="s">
        <v>18</v>
      </c>
      <c r="I906">
        <v>0</v>
      </c>
      <c r="J906" t="s">
        <v>16</v>
      </c>
      <c r="K906" t="s">
        <v>32</v>
      </c>
      <c r="L906">
        <v>36</v>
      </c>
      <c r="M906" t="s">
        <v>15</v>
      </c>
    </row>
    <row r="907" spans="1:13" x14ac:dyDescent="0.25">
      <c r="A907">
        <v>22050</v>
      </c>
      <c r="B907" t="s">
        <v>35</v>
      </c>
      <c r="C907" t="s">
        <v>34</v>
      </c>
      <c r="D907" s="5">
        <v>90000</v>
      </c>
      <c r="E907">
        <v>4</v>
      </c>
      <c r="F907" t="s">
        <v>13</v>
      </c>
      <c r="G907" t="s">
        <v>28</v>
      </c>
      <c r="H907" t="s">
        <v>15</v>
      </c>
      <c r="I907">
        <v>1</v>
      </c>
      <c r="J907" t="s">
        <v>26</v>
      </c>
      <c r="K907" t="s">
        <v>32</v>
      </c>
      <c r="L907">
        <v>38</v>
      </c>
      <c r="M907" t="s">
        <v>15</v>
      </c>
    </row>
    <row r="908" spans="1:13" x14ac:dyDescent="0.25">
      <c r="A908">
        <v>25394</v>
      </c>
      <c r="B908" t="s">
        <v>34</v>
      </c>
      <c r="C908" t="s">
        <v>34</v>
      </c>
      <c r="D908" s="5">
        <v>60000</v>
      </c>
      <c r="E908">
        <v>1</v>
      </c>
      <c r="F908" t="s">
        <v>31</v>
      </c>
      <c r="G908" t="s">
        <v>21</v>
      </c>
      <c r="H908" t="s">
        <v>15</v>
      </c>
      <c r="I908">
        <v>0</v>
      </c>
      <c r="J908" t="s">
        <v>22</v>
      </c>
      <c r="K908" t="s">
        <v>32</v>
      </c>
      <c r="L908">
        <v>34</v>
      </c>
      <c r="M908" t="s">
        <v>15</v>
      </c>
    </row>
    <row r="909" spans="1:13" x14ac:dyDescent="0.25">
      <c r="A909">
        <v>19747</v>
      </c>
      <c r="B909" t="s">
        <v>34</v>
      </c>
      <c r="C909" t="s">
        <v>34</v>
      </c>
      <c r="D909" s="5">
        <v>50000</v>
      </c>
      <c r="E909">
        <v>4</v>
      </c>
      <c r="F909" t="s">
        <v>13</v>
      </c>
      <c r="G909" t="s">
        <v>28</v>
      </c>
      <c r="H909" t="s">
        <v>15</v>
      </c>
      <c r="I909">
        <v>2</v>
      </c>
      <c r="J909" t="s">
        <v>30</v>
      </c>
      <c r="K909" t="s">
        <v>32</v>
      </c>
      <c r="L909">
        <v>63</v>
      </c>
      <c r="M909" t="s">
        <v>18</v>
      </c>
    </row>
    <row r="910" spans="1:13" x14ac:dyDescent="0.25">
      <c r="A910">
        <v>23195</v>
      </c>
      <c r="B910" t="s">
        <v>35</v>
      </c>
      <c r="C910" t="s">
        <v>34</v>
      </c>
      <c r="D910" s="5">
        <v>50000</v>
      </c>
      <c r="E910">
        <v>3</v>
      </c>
      <c r="F910" t="s">
        <v>13</v>
      </c>
      <c r="G910" t="s">
        <v>14</v>
      </c>
      <c r="H910" t="s">
        <v>15</v>
      </c>
      <c r="I910">
        <v>2</v>
      </c>
      <c r="J910" t="s">
        <v>22</v>
      </c>
      <c r="K910" t="s">
        <v>32</v>
      </c>
      <c r="L910">
        <v>41</v>
      </c>
      <c r="M910" t="s">
        <v>15</v>
      </c>
    </row>
    <row r="911" spans="1:13" x14ac:dyDescent="0.25">
      <c r="A911">
        <v>21695</v>
      </c>
      <c r="B911" t="s">
        <v>34</v>
      </c>
      <c r="C911" t="s">
        <v>34</v>
      </c>
      <c r="D911" s="5">
        <v>60000</v>
      </c>
      <c r="E911">
        <v>0</v>
      </c>
      <c r="F911" t="s">
        <v>31</v>
      </c>
      <c r="G911" t="s">
        <v>14</v>
      </c>
      <c r="H911" t="s">
        <v>15</v>
      </c>
      <c r="I911">
        <v>0</v>
      </c>
      <c r="J911" t="s">
        <v>26</v>
      </c>
      <c r="K911" t="s">
        <v>32</v>
      </c>
      <c r="L911">
        <v>39</v>
      </c>
      <c r="M911" t="s">
        <v>15</v>
      </c>
    </row>
    <row r="912" spans="1:13" x14ac:dyDescent="0.25">
      <c r="A912">
        <v>13934</v>
      </c>
      <c r="B912" t="s">
        <v>34</v>
      </c>
      <c r="C912" t="s">
        <v>34</v>
      </c>
      <c r="D912" s="5">
        <v>40000</v>
      </c>
      <c r="E912">
        <v>4</v>
      </c>
      <c r="F912" t="s">
        <v>27</v>
      </c>
      <c r="G912" t="s">
        <v>14</v>
      </c>
      <c r="H912" t="s">
        <v>15</v>
      </c>
      <c r="I912">
        <v>2</v>
      </c>
      <c r="J912" t="s">
        <v>22</v>
      </c>
      <c r="K912" t="s">
        <v>32</v>
      </c>
      <c r="L912">
        <v>46</v>
      </c>
      <c r="M912" t="s">
        <v>18</v>
      </c>
    </row>
    <row r="913" spans="1:13" x14ac:dyDescent="0.25">
      <c r="A913">
        <v>13337</v>
      </c>
      <c r="B913" t="s">
        <v>34</v>
      </c>
      <c r="C913" t="s">
        <v>33</v>
      </c>
      <c r="D913" s="5">
        <v>80000</v>
      </c>
      <c r="E913">
        <v>5</v>
      </c>
      <c r="F913" t="s">
        <v>13</v>
      </c>
      <c r="G913" t="s">
        <v>28</v>
      </c>
      <c r="H913" t="s">
        <v>15</v>
      </c>
      <c r="I913">
        <v>2</v>
      </c>
      <c r="J913" t="s">
        <v>23</v>
      </c>
      <c r="K913" t="s">
        <v>32</v>
      </c>
      <c r="L913">
        <v>64</v>
      </c>
      <c r="M913" t="s">
        <v>18</v>
      </c>
    </row>
    <row r="914" spans="1:13" x14ac:dyDescent="0.25">
      <c r="A914">
        <v>27190</v>
      </c>
      <c r="B914" t="s">
        <v>34</v>
      </c>
      <c r="C914" t="s">
        <v>33</v>
      </c>
      <c r="D914" s="5">
        <v>40000</v>
      </c>
      <c r="E914">
        <v>3</v>
      </c>
      <c r="F914" t="s">
        <v>19</v>
      </c>
      <c r="G914" t="s">
        <v>20</v>
      </c>
      <c r="H914" t="s">
        <v>15</v>
      </c>
      <c r="I914">
        <v>1</v>
      </c>
      <c r="J914" t="s">
        <v>26</v>
      </c>
      <c r="K914" t="s">
        <v>32</v>
      </c>
      <c r="L914">
        <v>32</v>
      </c>
      <c r="M914" t="s">
        <v>18</v>
      </c>
    </row>
    <row r="915" spans="1:13" x14ac:dyDescent="0.25">
      <c r="A915">
        <v>28657</v>
      </c>
      <c r="B915" t="s">
        <v>35</v>
      </c>
      <c r="C915" t="s">
        <v>34</v>
      </c>
      <c r="D915" s="5">
        <v>60000</v>
      </c>
      <c r="E915">
        <v>2</v>
      </c>
      <c r="F915" t="s">
        <v>13</v>
      </c>
      <c r="G915" t="s">
        <v>14</v>
      </c>
      <c r="H915" t="s">
        <v>15</v>
      </c>
      <c r="I915">
        <v>0</v>
      </c>
      <c r="J915" t="s">
        <v>22</v>
      </c>
      <c r="K915" t="s">
        <v>32</v>
      </c>
      <c r="L915">
        <v>36</v>
      </c>
      <c r="M915" t="s">
        <v>15</v>
      </c>
    </row>
    <row r="916" spans="1:13" x14ac:dyDescent="0.25">
      <c r="A916">
        <v>21713</v>
      </c>
      <c r="B916" t="s">
        <v>35</v>
      </c>
      <c r="C916" t="s">
        <v>34</v>
      </c>
      <c r="D916" s="5">
        <v>80000</v>
      </c>
      <c r="E916">
        <v>5</v>
      </c>
      <c r="F916" t="s">
        <v>31</v>
      </c>
      <c r="G916" t="s">
        <v>14</v>
      </c>
      <c r="H916" t="s">
        <v>18</v>
      </c>
      <c r="I916">
        <v>0</v>
      </c>
      <c r="J916" t="s">
        <v>16</v>
      </c>
      <c r="K916" t="s">
        <v>32</v>
      </c>
      <c r="L916">
        <v>47</v>
      </c>
      <c r="M916" t="s">
        <v>18</v>
      </c>
    </row>
    <row r="917" spans="1:13" x14ac:dyDescent="0.25">
      <c r="A917">
        <v>21752</v>
      </c>
      <c r="B917" t="s">
        <v>34</v>
      </c>
      <c r="C917" t="s">
        <v>34</v>
      </c>
      <c r="D917" s="5">
        <v>60000</v>
      </c>
      <c r="E917">
        <v>3</v>
      </c>
      <c r="F917" t="s">
        <v>31</v>
      </c>
      <c r="G917" t="s">
        <v>28</v>
      </c>
      <c r="H917" t="s">
        <v>15</v>
      </c>
      <c r="I917">
        <v>2</v>
      </c>
      <c r="J917" t="s">
        <v>30</v>
      </c>
      <c r="K917" t="s">
        <v>32</v>
      </c>
      <c r="L917">
        <v>64</v>
      </c>
      <c r="M917" t="s">
        <v>18</v>
      </c>
    </row>
    <row r="918" spans="1:13" x14ac:dyDescent="0.25">
      <c r="A918">
        <v>27273</v>
      </c>
      <c r="B918" t="s">
        <v>35</v>
      </c>
      <c r="C918" t="s">
        <v>34</v>
      </c>
      <c r="D918" s="5">
        <v>70000</v>
      </c>
      <c r="E918">
        <v>3</v>
      </c>
      <c r="F918" t="s">
        <v>31</v>
      </c>
      <c r="G918" t="s">
        <v>21</v>
      </c>
      <c r="H918" t="s">
        <v>18</v>
      </c>
      <c r="I918">
        <v>0</v>
      </c>
      <c r="J918" t="s">
        <v>16</v>
      </c>
      <c r="K918" t="s">
        <v>32</v>
      </c>
      <c r="L918">
        <v>35</v>
      </c>
      <c r="M918" t="s">
        <v>15</v>
      </c>
    </row>
    <row r="919" spans="1:13" x14ac:dyDescent="0.25">
      <c r="A919">
        <v>22719</v>
      </c>
      <c r="B919" t="s">
        <v>35</v>
      </c>
      <c r="C919" t="s">
        <v>34</v>
      </c>
      <c r="D919" s="5">
        <v>110000</v>
      </c>
      <c r="E919">
        <v>3</v>
      </c>
      <c r="F919" t="s">
        <v>13</v>
      </c>
      <c r="G919" t="s">
        <v>28</v>
      </c>
      <c r="H919" t="s">
        <v>15</v>
      </c>
      <c r="I919">
        <v>4</v>
      </c>
      <c r="J919" t="s">
        <v>22</v>
      </c>
      <c r="K919" t="s">
        <v>32</v>
      </c>
      <c r="L919">
        <v>40</v>
      </c>
      <c r="M919" t="s">
        <v>15</v>
      </c>
    </row>
    <row r="920" spans="1:13" x14ac:dyDescent="0.25">
      <c r="A920">
        <v>22042</v>
      </c>
      <c r="B920" t="s">
        <v>34</v>
      </c>
      <c r="C920" t="s">
        <v>33</v>
      </c>
      <c r="D920" s="5">
        <v>70000</v>
      </c>
      <c r="E920">
        <v>0</v>
      </c>
      <c r="F920" t="s">
        <v>19</v>
      </c>
      <c r="G920" t="s">
        <v>14</v>
      </c>
      <c r="H920" t="s">
        <v>15</v>
      </c>
      <c r="I920">
        <v>2</v>
      </c>
      <c r="J920" t="s">
        <v>23</v>
      </c>
      <c r="K920" t="s">
        <v>32</v>
      </c>
      <c r="L920">
        <v>34</v>
      </c>
      <c r="M920" t="s">
        <v>15</v>
      </c>
    </row>
    <row r="921" spans="1:13" x14ac:dyDescent="0.25">
      <c r="A921">
        <v>21451</v>
      </c>
      <c r="B921" t="s">
        <v>34</v>
      </c>
      <c r="C921" t="s">
        <v>33</v>
      </c>
      <c r="D921" s="5">
        <v>40000</v>
      </c>
      <c r="E921">
        <v>4</v>
      </c>
      <c r="F921" t="s">
        <v>27</v>
      </c>
      <c r="G921" t="s">
        <v>21</v>
      </c>
      <c r="H921" t="s">
        <v>15</v>
      </c>
      <c r="I921">
        <v>2</v>
      </c>
      <c r="J921" t="s">
        <v>30</v>
      </c>
      <c r="K921" t="s">
        <v>32</v>
      </c>
      <c r="L921">
        <v>61</v>
      </c>
      <c r="M921" t="s">
        <v>18</v>
      </c>
    </row>
    <row r="922" spans="1:13" x14ac:dyDescent="0.25">
      <c r="A922">
        <v>20754</v>
      </c>
      <c r="B922" t="s">
        <v>34</v>
      </c>
      <c r="C922" t="s">
        <v>34</v>
      </c>
      <c r="D922" s="5">
        <v>30000</v>
      </c>
      <c r="E922">
        <v>2</v>
      </c>
      <c r="F922" t="s">
        <v>27</v>
      </c>
      <c r="G922" t="s">
        <v>14</v>
      </c>
      <c r="H922" t="s">
        <v>15</v>
      </c>
      <c r="I922">
        <v>2</v>
      </c>
      <c r="J922" t="s">
        <v>26</v>
      </c>
      <c r="K922" t="s">
        <v>32</v>
      </c>
      <c r="L922">
        <v>51</v>
      </c>
      <c r="M922" t="s">
        <v>18</v>
      </c>
    </row>
    <row r="923" spans="1:13" x14ac:dyDescent="0.25">
      <c r="A923">
        <v>12153</v>
      </c>
      <c r="B923" t="s">
        <v>35</v>
      </c>
      <c r="C923" t="s">
        <v>33</v>
      </c>
      <c r="D923" s="5">
        <v>70000</v>
      </c>
      <c r="E923">
        <v>3</v>
      </c>
      <c r="F923" t="s">
        <v>19</v>
      </c>
      <c r="G923" t="s">
        <v>21</v>
      </c>
      <c r="H923" t="s">
        <v>15</v>
      </c>
      <c r="I923">
        <v>1</v>
      </c>
      <c r="J923" t="s">
        <v>23</v>
      </c>
      <c r="K923" t="s">
        <v>32</v>
      </c>
      <c r="L923">
        <v>49</v>
      </c>
      <c r="M923" t="s">
        <v>15</v>
      </c>
    </row>
    <row r="924" spans="1:13" x14ac:dyDescent="0.25">
      <c r="A924">
        <v>16895</v>
      </c>
      <c r="B924" t="s">
        <v>34</v>
      </c>
      <c r="C924" t="s">
        <v>33</v>
      </c>
      <c r="D924" s="5">
        <v>40000</v>
      </c>
      <c r="E924">
        <v>3</v>
      </c>
      <c r="F924" t="s">
        <v>19</v>
      </c>
      <c r="G924" t="s">
        <v>21</v>
      </c>
      <c r="H924" t="s">
        <v>18</v>
      </c>
      <c r="I924">
        <v>2</v>
      </c>
      <c r="J924" t="s">
        <v>26</v>
      </c>
      <c r="K924" t="s">
        <v>32</v>
      </c>
      <c r="L924">
        <v>54</v>
      </c>
      <c r="M924" t="s">
        <v>15</v>
      </c>
    </row>
    <row r="925" spans="1:13" x14ac:dyDescent="0.25">
      <c r="A925">
        <v>26728</v>
      </c>
      <c r="B925" t="s">
        <v>35</v>
      </c>
      <c r="C925" t="s">
        <v>34</v>
      </c>
      <c r="D925" s="5">
        <v>70000</v>
      </c>
      <c r="E925">
        <v>3</v>
      </c>
      <c r="F925" t="s">
        <v>31</v>
      </c>
      <c r="G925" t="s">
        <v>28</v>
      </c>
      <c r="H925" t="s">
        <v>18</v>
      </c>
      <c r="I925">
        <v>2</v>
      </c>
      <c r="J925" t="s">
        <v>26</v>
      </c>
      <c r="K925" t="s">
        <v>32</v>
      </c>
      <c r="L925">
        <v>53</v>
      </c>
      <c r="M925" t="s">
        <v>15</v>
      </c>
    </row>
    <row r="926" spans="1:13" x14ac:dyDescent="0.25">
      <c r="A926">
        <v>11090</v>
      </c>
      <c r="B926" t="s">
        <v>35</v>
      </c>
      <c r="C926" t="s">
        <v>34</v>
      </c>
      <c r="D926" s="5">
        <v>90000</v>
      </c>
      <c r="E926">
        <v>2</v>
      </c>
      <c r="F926" t="s">
        <v>19</v>
      </c>
      <c r="G926" t="s">
        <v>21</v>
      </c>
      <c r="H926" t="s">
        <v>15</v>
      </c>
      <c r="I926">
        <v>1</v>
      </c>
      <c r="J926" t="s">
        <v>22</v>
      </c>
      <c r="K926" t="s">
        <v>32</v>
      </c>
      <c r="L926">
        <v>48</v>
      </c>
      <c r="M926" t="s">
        <v>15</v>
      </c>
    </row>
    <row r="927" spans="1:13" x14ac:dyDescent="0.25">
      <c r="A927">
        <v>15862</v>
      </c>
      <c r="B927" t="s">
        <v>35</v>
      </c>
      <c r="C927" t="s">
        <v>33</v>
      </c>
      <c r="D927" s="5">
        <v>50000</v>
      </c>
      <c r="E927">
        <v>0</v>
      </c>
      <c r="F927" t="s">
        <v>31</v>
      </c>
      <c r="G927" t="s">
        <v>14</v>
      </c>
      <c r="H927" t="s">
        <v>15</v>
      </c>
      <c r="I927">
        <v>0</v>
      </c>
      <c r="J927" t="s">
        <v>26</v>
      </c>
      <c r="K927" t="s">
        <v>32</v>
      </c>
      <c r="L927">
        <v>33</v>
      </c>
      <c r="M927" t="s">
        <v>15</v>
      </c>
    </row>
    <row r="928" spans="1:13" x14ac:dyDescent="0.25">
      <c r="A928">
        <v>26495</v>
      </c>
      <c r="B928" t="s">
        <v>35</v>
      </c>
      <c r="C928" t="s">
        <v>33</v>
      </c>
      <c r="D928" s="5">
        <v>40000</v>
      </c>
      <c r="E928">
        <v>2</v>
      </c>
      <c r="F928" t="s">
        <v>27</v>
      </c>
      <c r="G928" t="s">
        <v>21</v>
      </c>
      <c r="H928" t="s">
        <v>15</v>
      </c>
      <c r="I928">
        <v>2</v>
      </c>
      <c r="J928" t="s">
        <v>30</v>
      </c>
      <c r="K928" t="s">
        <v>32</v>
      </c>
      <c r="L928">
        <v>57</v>
      </c>
      <c r="M928" t="s">
        <v>18</v>
      </c>
    </row>
    <row r="929" spans="1:13" x14ac:dyDescent="0.25">
      <c r="A929">
        <v>11823</v>
      </c>
      <c r="B929" t="s">
        <v>34</v>
      </c>
      <c r="C929" t="s">
        <v>33</v>
      </c>
      <c r="D929" s="5">
        <v>70000</v>
      </c>
      <c r="E929">
        <v>0</v>
      </c>
      <c r="F929" t="s">
        <v>31</v>
      </c>
      <c r="G929" t="s">
        <v>21</v>
      </c>
      <c r="H929" t="s">
        <v>15</v>
      </c>
      <c r="I929">
        <v>0</v>
      </c>
      <c r="J929" t="s">
        <v>22</v>
      </c>
      <c r="K929" t="s">
        <v>32</v>
      </c>
      <c r="L929">
        <v>39</v>
      </c>
      <c r="M929" t="s">
        <v>18</v>
      </c>
    </row>
    <row r="930" spans="1:13" x14ac:dyDescent="0.25">
      <c r="A930">
        <v>23449</v>
      </c>
      <c r="B930" t="s">
        <v>34</v>
      </c>
      <c r="C930" t="s">
        <v>34</v>
      </c>
      <c r="D930" s="5">
        <v>60000</v>
      </c>
      <c r="E930">
        <v>2</v>
      </c>
      <c r="F930" t="s">
        <v>27</v>
      </c>
      <c r="G930" t="s">
        <v>21</v>
      </c>
      <c r="H930" t="s">
        <v>15</v>
      </c>
      <c r="I930">
        <v>2</v>
      </c>
      <c r="J930" t="s">
        <v>23</v>
      </c>
      <c r="K930" t="s">
        <v>32</v>
      </c>
      <c r="L930">
        <v>48</v>
      </c>
      <c r="M930" t="s">
        <v>18</v>
      </c>
    </row>
    <row r="931" spans="1:13" x14ac:dyDescent="0.25">
      <c r="A931">
        <v>23459</v>
      </c>
      <c r="B931" t="s">
        <v>34</v>
      </c>
      <c r="C931" t="s">
        <v>34</v>
      </c>
      <c r="D931" s="5">
        <v>60000</v>
      </c>
      <c r="E931">
        <v>2</v>
      </c>
      <c r="F931" t="s">
        <v>27</v>
      </c>
      <c r="G931" t="s">
        <v>21</v>
      </c>
      <c r="H931" t="s">
        <v>15</v>
      </c>
      <c r="I931">
        <v>2</v>
      </c>
      <c r="J931" t="s">
        <v>23</v>
      </c>
      <c r="K931" t="s">
        <v>32</v>
      </c>
      <c r="L931">
        <v>50</v>
      </c>
      <c r="M931" t="s">
        <v>18</v>
      </c>
    </row>
    <row r="932" spans="1:13" x14ac:dyDescent="0.25">
      <c r="A932">
        <v>19543</v>
      </c>
      <c r="B932" t="s">
        <v>34</v>
      </c>
      <c r="C932" t="s">
        <v>34</v>
      </c>
      <c r="D932" s="5">
        <v>70000</v>
      </c>
      <c r="E932">
        <v>5</v>
      </c>
      <c r="F932" t="s">
        <v>31</v>
      </c>
      <c r="G932" t="s">
        <v>21</v>
      </c>
      <c r="H932" t="s">
        <v>18</v>
      </c>
      <c r="I932">
        <v>3</v>
      </c>
      <c r="J932" t="s">
        <v>30</v>
      </c>
      <c r="K932" t="s">
        <v>32</v>
      </c>
      <c r="L932">
        <v>47</v>
      </c>
      <c r="M932" t="s">
        <v>18</v>
      </c>
    </row>
    <row r="933" spans="1:13" x14ac:dyDescent="0.25">
      <c r="A933">
        <v>14914</v>
      </c>
      <c r="B933" t="s">
        <v>34</v>
      </c>
      <c r="C933" t="s">
        <v>33</v>
      </c>
      <c r="D933" s="5">
        <v>40000</v>
      </c>
      <c r="E933">
        <v>1</v>
      </c>
      <c r="F933" t="s">
        <v>19</v>
      </c>
      <c r="G933" t="s">
        <v>20</v>
      </c>
      <c r="H933" t="s">
        <v>15</v>
      </c>
      <c r="I933">
        <v>1</v>
      </c>
      <c r="J933" t="s">
        <v>26</v>
      </c>
      <c r="K933" t="s">
        <v>32</v>
      </c>
      <c r="L933">
        <v>49</v>
      </c>
      <c r="M933" t="s">
        <v>15</v>
      </c>
    </row>
    <row r="934" spans="1:13" x14ac:dyDescent="0.25">
      <c r="A934">
        <v>12033</v>
      </c>
      <c r="B934" t="s">
        <v>35</v>
      </c>
      <c r="C934" t="s">
        <v>33</v>
      </c>
      <c r="D934" s="5">
        <v>40000</v>
      </c>
      <c r="E934">
        <v>0</v>
      </c>
      <c r="F934" t="s">
        <v>27</v>
      </c>
      <c r="G934" t="s">
        <v>14</v>
      </c>
      <c r="H934" t="s">
        <v>18</v>
      </c>
      <c r="I934">
        <v>2</v>
      </c>
      <c r="J934" t="s">
        <v>16</v>
      </c>
      <c r="K934" t="s">
        <v>32</v>
      </c>
      <c r="L934">
        <v>27</v>
      </c>
      <c r="M934" t="s">
        <v>15</v>
      </c>
    </row>
    <row r="935" spans="1:13" x14ac:dyDescent="0.25">
      <c r="A935">
        <v>11941</v>
      </c>
      <c r="B935" t="s">
        <v>35</v>
      </c>
      <c r="C935" t="s">
        <v>34</v>
      </c>
      <c r="D935" s="5">
        <v>60000</v>
      </c>
      <c r="E935">
        <v>0</v>
      </c>
      <c r="F935" t="s">
        <v>19</v>
      </c>
      <c r="G935" t="s">
        <v>14</v>
      </c>
      <c r="H935" t="s">
        <v>15</v>
      </c>
      <c r="I935">
        <v>0</v>
      </c>
      <c r="J935" t="s">
        <v>23</v>
      </c>
      <c r="K935" t="s">
        <v>32</v>
      </c>
      <c r="L935">
        <v>29</v>
      </c>
      <c r="M935" t="s">
        <v>18</v>
      </c>
    </row>
    <row r="936" spans="1:13" x14ac:dyDescent="0.25">
      <c r="A936">
        <v>14389</v>
      </c>
      <c r="B936" t="s">
        <v>34</v>
      </c>
      <c r="C936" t="s">
        <v>34</v>
      </c>
      <c r="D936" s="5">
        <v>60000</v>
      </c>
      <c r="E936">
        <v>2</v>
      </c>
      <c r="F936" t="s">
        <v>13</v>
      </c>
      <c r="G936" t="s">
        <v>28</v>
      </c>
      <c r="H936" t="s">
        <v>15</v>
      </c>
      <c r="I936">
        <v>0</v>
      </c>
      <c r="J936" t="s">
        <v>22</v>
      </c>
      <c r="K936" t="s">
        <v>32</v>
      </c>
      <c r="L936">
        <v>59</v>
      </c>
      <c r="M936" t="s">
        <v>18</v>
      </c>
    </row>
    <row r="937" spans="1:13" x14ac:dyDescent="0.25">
      <c r="A937">
        <v>18050</v>
      </c>
      <c r="B937" t="s">
        <v>34</v>
      </c>
      <c r="C937" t="s">
        <v>33</v>
      </c>
      <c r="D937" s="5">
        <v>60000</v>
      </c>
      <c r="E937">
        <v>1</v>
      </c>
      <c r="F937" t="s">
        <v>19</v>
      </c>
      <c r="G937" t="s">
        <v>14</v>
      </c>
      <c r="H937" t="s">
        <v>15</v>
      </c>
      <c r="I937">
        <v>1</v>
      </c>
      <c r="J937" t="s">
        <v>16</v>
      </c>
      <c r="K937" t="s">
        <v>32</v>
      </c>
      <c r="L937">
        <v>45</v>
      </c>
      <c r="M937" t="s">
        <v>15</v>
      </c>
    </row>
    <row r="938" spans="1:13" x14ac:dyDescent="0.25">
      <c r="A938">
        <v>19856</v>
      </c>
      <c r="B938" t="s">
        <v>34</v>
      </c>
      <c r="C938" t="s">
        <v>33</v>
      </c>
      <c r="D938" s="5">
        <v>60000</v>
      </c>
      <c r="E938">
        <v>4</v>
      </c>
      <c r="F938" t="s">
        <v>13</v>
      </c>
      <c r="G938" t="s">
        <v>28</v>
      </c>
      <c r="H938" t="s">
        <v>15</v>
      </c>
      <c r="I938">
        <v>2</v>
      </c>
      <c r="J938" t="s">
        <v>22</v>
      </c>
      <c r="K938" t="s">
        <v>32</v>
      </c>
      <c r="L938">
        <v>60</v>
      </c>
      <c r="M938" t="s">
        <v>18</v>
      </c>
    </row>
    <row r="939" spans="1:13" x14ac:dyDescent="0.25">
      <c r="A939">
        <v>11663</v>
      </c>
      <c r="B939" t="s">
        <v>34</v>
      </c>
      <c r="C939" t="s">
        <v>34</v>
      </c>
      <c r="D939" s="5">
        <v>70000</v>
      </c>
      <c r="E939">
        <v>4</v>
      </c>
      <c r="F939" t="s">
        <v>31</v>
      </c>
      <c r="G939" t="s">
        <v>21</v>
      </c>
      <c r="H939" t="s">
        <v>15</v>
      </c>
      <c r="I939">
        <v>0</v>
      </c>
      <c r="J939" t="s">
        <v>16</v>
      </c>
      <c r="K939" t="s">
        <v>32</v>
      </c>
      <c r="L939">
        <v>36</v>
      </c>
      <c r="M939" t="s">
        <v>15</v>
      </c>
    </row>
    <row r="940" spans="1:13" x14ac:dyDescent="0.25">
      <c r="A940">
        <v>27740</v>
      </c>
      <c r="B940" t="s">
        <v>34</v>
      </c>
      <c r="C940" t="s">
        <v>33</v>
      </c>
      <c r="D940" s="5">
        <v>40000</v>
      </c>
      <c r="E940">
        <v>0</v>
      </c>
      <c r="F940" t="s">
        <v>27</v>
      </c>
      <c r="G940" t="s">
        <v>14</v>
      </c>
      <c r="H940" t="s">
        <v>15</v>
      </c>
      <c r="I940">
        <v>2</v>
      </c>
      <c r="J940" t="s">
        <v>23</v>
      </c>
      <c r="K940" t="s">
        <v>32</v>
      </c>
      <c r="L940">
        <v>27</v>
      </c>
      <c r="M940" t="s">
        <v>18</v>
      </c>
    </row>
    <row r="941" spans="1:13" x14ac:dyDescent="0.25">
      <c r="A941">
        <v>23455</v>
      </c>
      <c r="B941" t="s">
        <v>35</v>
      </c>
      <c r="C941" t="s">
        <v>34</v>
      </c>
      <c r="D941" s="5">
        <v>80000</v>
      </c>
      <c r="E941">
        <v>2</v>
      </c>
      <c r="F941" t="s">
        <v>29</v>
      </c>
      <c r="G941" t="s">
        <v>14</v>
      </c>
      <c r="H941" t="s">
        <v>18</v>
      </c>
      <c r="I941">
        <v>2</v>
      </c>
      <c r="J941" t="s">
        <v>26</v>
      </c>
      <c r="K941" t="s">
        <v>32</v>
      </c>
      <c r="L941">
        <v>50</v>
      </c>
      <c r="M941" t="s">
        <v>18</v>
      </c>
    </row>
    <row r="942" spans="1:13" x14ac:dyDescent="0.25">
      <c r="A942">
        <v>15292</v>
      </c>
      <c r="B942" t="s">
        <v>35</v>
      </c>
      <c r="C942" t="s">
        <v>33</v>
      </c>
      <c r="D942" s="5">
        <v>60000</v>
      </c>
      <c r="E942">
        <v>1</v>
      </c>
      <c r="F942" t="s">
        <v>31</v>
      </c>
      <c r="G942" t="s">
        <v>14</v>
      </c>
      <c r="H942" t="s">
        <v>15</v>
      </c>
      <c r="I942">
        <v>0</v>
      </c>
      <c r="J942" t="s">
        <v>26</v>
      </c>
      <c r="K942" t="s">
        <v>32</v>
      </c>
      <c r="L942">
        <v>35</v>
      </c>
      <c r="M942" t="s">
        <v>18</v>
      </c>
    </row>
    <row r="943" spans="1:13" x14ac:dyDescent="0.25">
      <c r="A943">
        <v>21587</v>
      </c>
      <c r="B943" t="s">
        <v>34</v>
      </c>
      <c r="C943" t="s">
        <v>33</v>
      </c>
      <c r="D943" s="5">
        <v>60000</v>
      </c>
      <c r="E943">
        <v>1</v>
      </c>
      <c r="F943" t="s">
        <v>31</v>
      </c>
      <c r="G943" t="s">
        <v>14</v>
      </c>
      <c r="H943" t="s">
        <v>15</v>
      </c>
      <c r="I943">
        <v>0</v>
      </c>
      <c r="J943" t="s">
        <v>22</v>
      </c>
      <c r="K943" t="s">
        <v>32</v>
      </c>
      <c r="L943">
        <v>34</v>
      </c>
      <c r="M943" t="s">
        <v>15</v>
      </c>
    </row>
    <row r="944" spans="1:13" x14ac:dyDescent="0.25">
      <c r="A944">
        <v>23513</v>
      </c>
      <c r="B944" t="s">
        <v>34</v>
      </c>
      <c r="C944" t="s">
        <v>33</v>
      </c>
      <c r="D944" s="5">
        <v>40000</v>
      </c>
      <c r="E944">
        <v>3</v>
      </c>
      <c r="F944" t="s">
        <v>19</v>
      </c>
      <c r="G944" t="s">
        <v>21</v>
      </c>
      <c r="H944" t="s">
        <v>15</v>
      </c>
      <c r="I944">
        <v>2</v>
      </c>
      <c r="J944" t="s">
        <v>23</v>
      </c>
      <c r="K944" t="s">
        <v>32</v>
      </c>
      <c r="L944">
        <v>54</v>
      </c>
      <c r="M944" t="s">
        <v>18</v>
      </c>
    </row>
    <row r="945" spans="1:13" x14ac:dyDescent="0.25">
      <c r="A945">
        <v>24322</v>
      </c>
      <c r="B945" t="s">
        <v>34</v>
      </c>
      <c r="C945" t="s">
        <v>33</v>
      </c>
      <c r="D945" s="5">
        <v>60000</v>
      </c>
      <c r="E945">
        <v>4</v>
      </c>
      <c r="F945" t="s">
        <v>13</v>
      </c>
      <c r="G945" t="s">
        <v>14</v>
      </c>
      <c r="H945" t="s">
        <v>18</v>
      </c>
      <c r="I945">
        <v>2</v>
      </c>
      <c r="J945" t="s">
        <v>16</v>
      </c>
      <c r="K945" t="s">
        <v>32</v>
      </c>
      <c r="L945">
        <v>42</v>
      </c>
      <c r="M945" t="s">
        <v>18</v>
      </c>
    </row>
    <row r="946" spans="1:13" x14ac:dyDescent="0.25">
      <c r="A946">
        <v>26298</v>
      </c>
      <c r="B946" t="s">
        <v>34</v>
      </c>
      <c r="C946" t="s">
        <v>33</v>
      </c>
      <c r="D946" s="5">
        <v>50000</v>
      </c>
      <c r="E946">
        <v>1</v>
      </c>
      <c r="F946" t="s">
        <v>13</v>
      </c>
      <c r="G946" t="s">
        <v>14</v>
      </c>
      <c r="H946" t="s">
        <v>15</v>
      </c>
      <c r="I946">
        <v>0</v>
      </c>
      <c r="J946" t="s">
        <v>22</v>
      </c>
      <c r="K946" t="s">
        <v>32</v>
      </c>
      <c r="L946">
        <v>34</v>
      </c>
      <c r="M946" t="s">
        <v>15</v>
      </c>
    </row>
    <row r="947" spans="1:13" x14ac:dyDescent="0.25">
      <c r="A947">
        <v>25419</v>
      </c>
      <c r="B947" t="s">
        <v>35</v>
      </c>
      <c r="C947" t="s">
        <v>34</v>
      </c>
      <c r="D947" s="5">
        <v>50000</v>
      </c>
      <c r="E947">
        <v>2</v>
      </c>
      <c r="F947" t="s">
        <v>13</v>
      </c>
      <c r="G947" t="s">
        <v>14</v>
      </c>
      <c r="H947" t="s">
        <v>18</v>
      </c>
      <c r="I947">
        <v>1</v>
      </c>
      <c r="J947" t="s">
        <v>16</v>
      </c>
      <c r="K947" t="s">
        <v>32</v>
      </c>
      <c r="L947">
        <v>38</v>
      </c>
      <c r="M947" t="s">
        <v>15</v>
      </c>
    </row>
    <row r="948" spans="1:13" x14ac:dyDescent="0.25">
      <c r="A948">
        <v>13343</v>
      </c>
      <c r="B948" t="s">
        <v>34</v>
      </c>
      <c r="C948" t="s">
        <v>33</v>
      </c>
      <c r="D948" s="5">
        <v>90000</v>
      </c>
      <c r="E948">
        <v>5</v>
      </c>
      <c r="F948" t="s">
        <v>13</v>
      </c>
      <c r="G948" t="s">
        <v>28</v>
      </c>
      <c r="H948" t="s">
        <v>15</v>
      </c>
      <c r="I948">
        <v>2</v>
      </c>
      <c r="J948" t="s">
        <v>26</v>
      </c>
      <c r="K948" t="s">
        <v>32</v>
      </c>
      <c r="L948">
        <v>63</v>
      </c>
      <c r="M948" t="s">
        <v>15</v>
      </c>
    </row>
    <row r="949" spans="1:13" x14ac:dyDescent="0.25">
      <c r="A949">
        <v>11303</v>
      </c>
      <c r="B949" t="s">
        <v>35</v>
      </c>
      <c r="C949" t="s">
        <v>33</v>
      </c>
      <c r="D949" s="5">
        <v>90000</v>
      </c>
      <c r="E949">
        <v>4</v>
      </c>
      <c r="F949" t="s">
        <v>27</v>
      </c>
      <c r="G949" t="s">
        <v>21</v>
      </c>
      <c r="H949" t="s">
        <v>18</v>
      </c>
      <c r="I949">
        <v>3</v>
      </c>
      <c r="J949" t="s">
        <v>26</v>
      </c>
      <c r="K949" t="s">
        <v>32</v>
      </c>
      <c r="L949">
        <v>45</v>
      </c>
      <c r="M949" t="s">
        <v>15</v>
      </c>
    </row>
    <row r="950" spans="1:13" x14ac:dyDescent="0.25">
      <c r="A950">
        <v>21693</v>
      </c>
      <c r="B950" t="s">
        <v>35</v>
      </c>
      <c r="C950" t="s">
        <v>33</v>
      </c>
      <c r="D950" s="5">
        <v>60000</v>
      </c>
      <c r="E950">
        <v>0</v>
      </c>
      <c r="F950" t="s">
        <v>31</v>
      </c>
      <c r="G950" t="s">
        <v>14</v>
      </c>
      <c r="H950" t="s">
        <v>18</v>
      </c>
      <c r="I950">
        <v>0</v>
      </c>
      <c r="J950" t="s">
        <v>16</v>
      </c>
      <c r="K950" t="s">
        <v>32</v>
      </c>
      <c r="L950">
        <v>40</v>
      </c>
      <c r="M950" t="s">
        <v>18</v>
      </c>
    </row>
    <row r="951" spans="1:13" x14ac:dyDescent="0.25">
      <c r="A951">
        <v>28056</v>
      </c>
      <c r="B951" t="s">
        <v>34</v>
      </c>
      <c r="C951" t="s">
        <v>34</v>
      </c>
      <c r="D951" s="5">
        <v>70000</v>
      </c>
      <c r="E951">
        <v>2</v>
      </c>
      <c r="F951" t="s">
        <v>29</v>
      </c>
      <c r="G951" t="s">
        <v>14</v>
      </c>
      <c r="H951" t="s">
        <v>15</v>
      </c>
      <c r="I951">
        <v>2</v>
      </c>
      <c r="J951" t="s">
        <v>30</v>
      </c>
      <c r="K951" t="s">
        <v>32</v>
      </c>
      <c r="L951">
        <v>53</v>
      </c>
      <c r="M951" t="s">
        <v>18</v>
      </c>
    </row>
    <row r="952" spans="1:13" x14ac:dyDescent="0.25">
      <c r="A952">
        <v>11788</v>
      </c>
      <c r="B952" t="s">
        <v>35</v>
      </c>
      <c r="C952" t="s">
        <v>33</v>
      </c>
      <c r="D952" s="5">
        <v>70000</v>
      </c>
      <c r="E952">
        <v>1</v>
      </c>
      <c r="F952" t="s">
        <v>31</v>
      </c>
      <c r="G952" t="s">
        <v>21</v>
      </c>
      <c r="H952" t="s">
        <v>15</v>
      </c>
      <c r="I952">
        <v>0</v>
      </c>
      <c r="J952" t="s">
        <v>22</v>
      </c>
      <c r="K952" t="s">
        <v>32</v>
      </c>
      <c r="L952">
        <v>34</v>
      </c>
      <c r="M952" t="s">
        <v>18</v>
      </c>
    </row>
    <row r="953" spans="1:13" x14ac:dyDescent="0.25">
      <c r="A953">
        <v>22296</v>
      </c>
      <c r="B953" t="s">
        <v>34</v>
      </c>
      <c r="C953" t="s">
        <v>34</v>
      </c>
      <c r="D953" s="5">
        <v>70000</v>
      </c>
      <c r="E953">
        <v>0</v>
      </c>
      <c r="F953" t="s">
        <v>13</v>
      </c>
      <c r="G953" t="s">
        <v>21</v>
      </c>
      <c r="H953" t="s">
        <v>18</v>
      </c>
      <c r="I953">
        <v>1</v>
      </c>
      <c r="J953" t="s">
        <v>16</v>
      </c>
      <c r="K953" t="s">
        <v>32</v>
      </c>
      <c r="L953">
        <v>38</v>
      </c>
      <c r="M953" t="s">
        <v>18</v>
      </c>
    </row>
    <row r="954" spans="1:13" x14ac:dyDescent="0.25">
      <c r="A954">
        <v>15319</v>
      </c>
      <c r="B954" t="s">
        <v>34</v>
      </c>
      <c r="C954" t="s">
        <v>33</v>
      </c>
      <c r="D954" s="5">
        <v>70000</v>
      </c>
      <c r="E954">
        <v>4</v>
      </c>
      <c r="F954" t="s">
        <v>13</v>
      </c>
      <c r="G954" t="s">
        <v>28</v>
      </c>
      <c r="H954" t="s">
        <v>18</v>
      </c>
      <c r="I954">
        <v>1</v>
      </c>
      <c r="J954" t="s">
        <v>26</v>
      </c>
      <c r="K954" t="s">
        <v>32</v>
      </c>
      <c r="L954">
        <v>59</v>
      </c>
      <c r="M954" t="s">
        <v>18</v>
      </c>
    </row>
    <row r="955" spans="1:13" x14ac:dyDescent="0.25">
      <c r="A955">
        <v>17654</v>
      </c>
      <c r="B955" t="s">
        <v>35</v>
      </c>
      <c r="C955" t="s">
        <v>33</v>
      </c>
      <c r="D955" s="5">
        <v>40000</v>
      </c>
      <c r="E955">
        <v>3</v>
      </c>
      <c r="F955" t="s">
        <v>19</v>
      </c>
      <c r="G955" t="s">
        <v>20</v>
      </c>
      <c r="H955" t="s">
        <v>15</v>
      </c>
      <c r="I955">
        <v>1</v>
      </c>
      <c r="J955" t="s">
        <v>26</v>
      </c>
      <c r="K955" t="s">
        <v>32</v>
      </c>
      <c r="L955">
        <v>30</v>
      </c>
      <c r="M955" t="s">
        <v>15</v>
      </c>
    </row>
    <row r="956" spans="1:13" x14ac:dyDescent="0.25">
      <c r="A956">
        <v>14662</v>
      </c>
      <c r="B956" t="s">
        <v>34</v>
      </c>
      <c r="C956" t="s">
        <v>34</v>
      </c>
      <c r="D956" s="5">
        <v>60000</v>
      </c>
      <c r="E956">
        <v>1</v>
      </c>
      <c r="F956" t="s">
        <v>13</v>
      </c>
      <c r="G956" t="s">
        <v>21</v>
      </c>
      <c r="H956" t="s">
        <v>15</v>
      </c>
      <c r="I956">
        <v>1</v>
      </c>
      <c r="J956" t="s">
        <v>16</v>
      </c>
      <c r="K956" t="s">
        <v>32</v>
      </c>
      <c r="L956">
        <v>48</v>
      </c>
      <c r="M956" t="s">
        <v>15</v>
      </c>
    </row>
    <row r="957" spans="1:13" x14ac:dyDescent="0.25">
      <c r="A957">
        <v>17541</v>
      </c>
      <c r="B957" t="s">
        <v>34</v>
      </c>
      <c r="C957" t="s">
        <v>33</v>
      </c>
      <c r="D957" s="5">
        <v>40000</v>
      </c>
      <c r="E957">
        <v>4</v>
      </c>
      <c r="F957" t="s">
        <v>27</v>
      </c>
      <c r="G957" t="s">
        <v>14</v>
      </c>
      <c r="H957" t="s">
        <v>15</v>
      </c>
      <c r="I957">
        <v>2</v>
      </c>
      <c r="J957" t="s">
        <v>22</v>
      </c>
      <c r="K957" t="s">
        <v>32</v>
      </c>
      <c r="L957">
        <v>43</v>
      </c>
      <c r="M957" t="s">
        <v>18</v>
      </c>
    </row>
    <row r="958" spans="1:13" x14ac:dyDescent="0.25">
      <c r="A958">
        <v>13886</v>
      </c>
      <c r="B958" t="s">
        <v>34</v>
      </c>
      <c r="C958" t="s">
        <v>33</v>
      </c>
      <c r="D958" s="5">
        <v>70000</v>
      </c>
      <c r="E958">
        <v>4</v>
      </c>
      <c r="F958" t="s">
        <v>31</v>
      </c>
      <c r="G958" t="s">
        <v>21</v>
      </c>
      <c r="H958" t="s">
        <v>15</v>
      </c>
      <c r="I958">
        <v>0</v>
      </c>
      <c r="J958" t="s">
        <v>22</v>
      </c>
      <c r="K958" t="s">
        <v>32</v>
      </c>
      <c r="L958">
        <v>35</v>
      </c>
      <c r="M958" t="s">
        <v>15</v>
      </c>
    </row>
    <row r="959" spans="1:13" x14ac:dyDescent="0.25">
      <c r="A959">
        <v>13073</v>
      </c>
      <c r="B959" t="s">
        <v>34</v>
      </c>
      <c r="C959" t="s">
        <v>33</v>
      </c>
      <c r="D959" s="5">
        <v>60000</v>
      </c>
      <c r="E959">
        <v>0</v>
      </c>
      <c r="F959" t="s">
        <v>19</v>
      </c>
      <c r="G959" t="s">
        <v>21</v>
      </c>
      <c r="H959" t="s">
        <v>15</v>
      </c>
      <c r="I959">
        <v>2</v>
      </c>
      <c r="J959" t="s">
        <v>23</v>
      </c>
      <c r="K959" t="s">
        <v>32</v>
      </c>
      <c r="L959">
        <v>30</v>
      </c>
      <c r="M959" t="s">
        <v>18</v>
      </c>
    </row>
    <row r="960" spans="1:13" x14ac:dyDescent="0.25">
      <c r="A960">
        <v>21940</v>
      </c>
      <c r="B960" t="s">
        <v>34</v>
      </c>
      <c r="C960" t="s">
        <v>34</v>
      </c>
      <c r="D960" s="5">
        <v>90000</v>
      </c>
      <c r="E960">
        <v>5</v>
      </c>
      <c r="F960" t="s">
        <v>31</v>
      </c>
      <c r="G960" t="s">
        <v>21</v>
      </c>
      <c r="H960" t="s">
        <v>15</v>
      </c>
      <c r="I960">
        <v>0</v>
      </c>
      <c r="J960" t="s">
        <v>16</v>
      </c>
      <c r="K960" t="s">
        <v>32</v>
      </c>
      <c r="L960">
        <v>47</v>
      </c>
      <c r="M960" t="s">
        <v>15</v>
      </c>
    </row>
    <row r="961" spans="1:13" x14ac:dyDescent="0.25">
      <c r="A961">
        <v>20196</v>
      </c>
      <c r="B961" t="s">
        <v>34</v>
      </c>
      <c r="C961" t="s">
        <v>34</v>
      </c>
      <c r="D961" s="5">
        <v>60000</v>
      </c>
      <c r="E961">
        <v>1</v>
      </c>
      <c r="F961" t="s">
        <v>19</v>
      </c>
      <c r="G961" t="s">
        <v>14</v>
      </c>
      <c r="H961" t="s">
        <v>15</v>
      </c>
      <c r="I961">
        <v>1</v>
      </c>
      <c r="J961" t="s">
        <v>22</v>
      </c>
      <c r="K961" t="s">
        <v>32</v>
      </c>
      <c r="L961">
        <v>45</v>
      </c>
      <c r="M961" t="s">
        <v>15</v>
      </c>
    </row>
    <row r="962" spans="1:13" x14ac:dyDescent="0.25">
      <c r="A962">
        <v>23491</v>
      </c>
      <c r="B962" t="s">
        <v>35</v>
      </c>
      <c r="C962" t="s">
        <v>34</v>
      </c>
      <c r="D962" s="5">
        <v>100000</v>
      </c>
      <c r="E962">
        <v>0</v>
      </c>
      <c r="F962" t="s">
        <v>19</v>
      </c>
      <c r="G962" t="s">
        <v>21</v>
      </c>
      <c r="H962" t="s">
        <v>18</v>
      </c>
      <c r="I962">
        <v>4</v>
      </c>
      <c r="J962" t="s">
        <v>26</v>
      </c>
      <c r="K962" t="s">
        <v>32</v>
      </c>
      <c r="L962">
        <v>45</v>
      </c>
      <c r="M962" t="s">
        <v>18</v>
      </c>
    </row>
    <row r="963" spans="1:13" x14ac:dyDescent="0.25">
      <c r="A963">
        <v>16651</v>
      </c>
      <c r="B963" t="s">
        <v>34</v>
      </c>
      <c r="C963" t="s">
        <v>33</v>
      </c>
      <c r="D963" s="5">
        <v>120000</v>
      </c>
      <c r="E963">
        <v>2</v>
      </c>
      <c r="F963" t="s">
        <v>13</v>
      </c>
      <c r="G963" t="s">
        <v>28</v>
      </c>
      <c r="H963" t="s">
        <v>15</v>
      </c>
      <c r="I963">
        <v>3</v>
      </c>
      <c r="J963" t="s">
        <v>23</v>
      </c>
      <c r="K963" t="s">
        <v>32</v>
      </c>
      <c r="L963">
        <v>62</v>
      </c>
      <c r="M963" t="s">
        <v>18</v>
      </c>
    </row>
    <row r="964" spans="1:13" x14ac:dyDescent="0.25">
      <c r="A964">
        <v>16813</v>
      </c>
      <c r="B964" t="s">
        <v>34</v>
      </c>
      <c r="C964" t="s">
        <v>34</v>
      </c>
      <c r="D964" s="5">
        <v>60000</v>
      </c>
      <c r="E964">
        <v>2</v>
      </c>
      <c r="F964" t="s">
        <v>19</v>
      </c>
      <c r="G964" t="s">
        <v>21</v>
      </c>
      <c r="H964" t="s">
        <v>15</v>
      </c>
      <c r="I964">
        <v>2</v>
      </c>
      <c r="J964" t="s">
        <v>30</v>
      </c>
      <c r="K964" t="s">
        <v>32</v>
      </c>
      <c r="L964">
        <v>55</v>
      </c>
      <c r="M964" t="s">
        <v>18</v>
      </c>
    </row>
    <row r="965" spans="1:13" x14ac:dyDescent="0.25">
      <c r="A965">
        <v>16007</v>
      </c>
      <c r="B965" t="s">
        <v>34</v>
      </c>
      <c r="C965" t="s">
        <v>33</v>
      </c>
      <c r="D965" s="5">
        <v>90000</v>
      </c>
      <c r="E965">
        <v>5</v>
      </c>
      <c r="F965" t="s">
        <v>13</v>
      </c>
      <c r="G965" t="s">
        <v>28</v>
      </c>
      <c r="H965" t="s">
        <v>15</v>
      </c>
      <c r="I965">
        <v>2</v>
      </c>
      <c r="J965" t="s">
        <v>26</v>
      </c>
      <c r="K965" t="s">
        <v>32</v>
      </c>
      <c r="L965">
        <v>66</v>
      </c>
      <c r="M965" t="s">
        <v>15</v>
      </c>
    </row>
    <row r="966" spans="1:13" x14ac:dyDescent="0.25">
      <c r="A966">
        <v>27434</v>
      </c>
      <c r="B966" t="s">
        <v>35</v>
      </c>
      <c r="C966" t="s">
        <v>34</v>
      </c>
      <c r="D966" s="5">
        <v>70000</v>
      </c>
      <c r="E966">
        <v>4</v>
      </c>
      <c r="F966" t="s">
        <v>19</v>
      </c>
      <c r="G966" t="s">
        <v>21</v>
      </c>
      <c r="H966" t="s">
        <v>15</v>
      </c>
      <c r="I966">
        <v>1</v>
      </c>
      <c r="J966" t="s">
        <v>30</v>
      </c>
      <c r="K966" t="s">
        <v>32</v>
      </c>
      <c r="L966">
        <v>56</v>
      </c>
      <c r="M966" t="s">
        <v>18</v>
      </c>
    </row>
    <row r="967" spans="1:13" x14ac:dyDescent="0.25">
      <c r="A967">
        <v>27756</v>
      </c>
      <c r="B967" t="s">
        <v>35</v>
      </c>
      <c r="C967" t="s">
        <v>33</v>
      </c>
      <c r="D967" s="5">
        <v>50000</v>
      </c>
      <c r="E967">
        <v>3</v>
      </c>
      <c r="F967" t="s">
        <v>13</v>
      </c>
      <c r="G967" t="s">
        <v>14</v>
      </c>
      <c r="H967" t="s">
        <v>18</v>
      </c>
      <c r="I967">
        <v>1</v>
      </c>
      <c r="J967" t="s">
        <v>16</v>
      </c>
      <c r="K967" t="s">
        <v>32</v>
      </c>
      <c r="L967">
        <v>40</v>
      </c>
      <c r="M967" t="s">
        <v>18</v>
      </c>
    </row>
    <row r="968" spans="1:13" x14ac:dyDescent="0.25">
      <c r="A968">
        <v>23818</v>
      </c>
      <c r="B968" t="s">
        <v>34</v>
      </c>
      <c r="C968" t="s">
        <v>33</v>
      </c>
      <c r="D968" s="5">
        <v>50000</v>
      </c>
      <c r="E968">
        <v>0</v>
      </c>
      <c r="F968" t="s">
        <v>31</v>
      </c>
      <c r="G968" t="s">
        <v>14</v>
      </c>
      <c r="H968" t="s">
        <v>15</v>
      </c>
      <c r="I968">
        <v>0</v>
      </c>
      <c r="J968" t="s">
        <v>26</v>
      </c>
      <c r="K968" t="s">
        <v>32</v>
      </c>
      <c r="L968">
        <v>33</v>
      </c>
      <c r="M968" t="s">
        <v>15</v>
      </c>
    </row>
    <row r="969" spans="1:13" x14ac:dyDescent="0.25">
      <c r="A969">
        <v>19012</v>
      </c>
      <c r="B969" t="s">
        <v>34</v>
      </c>
      <c r="C969" t="s">
        <v>34</v>
      </c>
      <c r="D969" s="5">
        <v>80000</v>
      </c>
      <c r="E969">
        <v>3</v>
      </c>
      <c r="F969" t="s">
        <v>13</v>
      </c>
      <c r="G969" t="s">
        <v>28</v>
      </c>
      <c r="H969" t="s">
        <v>15</v>
      </c>
      <c r="I969">
        <v>1</v>
      </c>
      <c r="J969" t="s">
        <v>26</v>
      </c>
      <c r="K969" t="s">
        <v>32</v>
      </c>
      <c r="L969">
        <v>56</v>
      </c>
      <c r="M969" t="s">
        <v>18</v>
      </c>
    </row>
    <row r="970" spans="1:13" x14ac:dyDescent="0.25">
      <c r="A970">
        <v>18329</v>
      </c>
      <c r="B970" t="s">
        <v>35</v>
      </c>
      <c r="C970" t="s">
        <v>34</v>
      </c>
      <c r="D970" s="5">
        <v>30000</v>
      </c>
      <c r="E970">
        <v>0</v>
      </c>
      <c r="F970" t="s">
        <v>29</v>
      </c>
      <c r="G970" t="s">
        <v>20</v>
      </c>
      <c r="H970" t="s">
        <v>18</v>
      </c>
      <c r="I970">
        <v>2</v>
      </c>
      <c r="J970" t="s">
        <v>23</v>
      </c>
      <c r="K970" t="s">
        <v>32</v>
      </c>
      <c r="L970">
        <v>27</v>
      </c>
      <c r="M970" t="s">
        <v>18</v>
      </c>
    </row>
    <row r="971" spans="1:13" x14ac:dyDescent="0.25">
      <c r="A971">
        <v>29037</v>
      </c>
      <c r="B971" t="s">
        <v>34</v>
      </c>
      <c r="C971" t="s">
        <v>34</v>
      </c>
      <c r="D971" s="5">
        <v>60000</v>
      </c>
      <c r="E971">
        <v>0</v>
      </c>
      <c r="F971" t="s">
        <v>31</v>
      </c>
      <c r="G971" t="s">
        <v>21</v>
      </c>
      <c r="H971" t="s">
        <v>18</v>
      </c>
      <c r="I971">
        <v>0</v>
      </c>
      <c r="J971" t="s">
        <v>16</v>
      </c>
      <c r="K971" t="s">
        <v>32</v>
      </c>
      <c r="L971">
        <v>39</v>
      </c>
      <c r="M971" t="s">
        <v>18</v>
      </c>
    </row>
    <row r="972" spans="1:13" x14ac:dyDescent="0.25">
      <c r="A972">
        <v>26576</v>
      </c>
      <c r="B972" t="s">
        <v>34</v>
      </c>
      <c r="C972" t="s">
        <v>33</v>
      </c>
      <c r="D972" s="5">
        <v>60000</v>
      </c>
      <c r="E972">
        <v>0</v>
      </c>
      <c r="F972" t="s">
        <v>19</v>
      </c>
      <c r="G972" t="s">
        <v>14</v>
      </c>
      <c r="H972" t="s">
        <v>15</v>
      </c>
      <c r="I972">
        <v>2</v>
      </c>
      <c r="J972" t="s">
        <v>23</v>
      </c>
      <c r="K972" t="s">
        <v>32</v>
      </c>
      <c r="L972">
        <v>31</v>
      </c>
      <c r="M972" t="s">
        <v>18</v>
      </c>
    </row>
    <row r="973" spans="1:13" x14ac:dyDescent="0.25">
      <c r="A973">
        <v>12192</v>
      </c>
      <c r="B973" t="s">
        <v>35</v>
      </c>
      <c r="C973" t="s">
        <v>33</v>
      </c>
      <c r="D973" s="5">
        <v>60000</v>
      </c>
      <c r="E973">
        <v>2</v>
      </c>
      <c r="F973" t="s">
        <v>29</v>
      </c>
      <c r="G973" t="s">
        <v>14</v>
      </c>
      <c r="H973" t="s">
        <v>18</v>
      </c>
      <c r="I973">
        <v>2</v>
      </c>
      <c r="J973" t="s">
        <v>26</v>
      </c>
      <c r="K973" t="s">
        <v>32</v>
      </c>
      <c r="L973">
        <v>51</v>
      </c>
      <c r="M973" t="s">
        <v>18</v>
      </c>
    </row>
    <row r="974" spans="1:13" x14ac:dyDescent="0.25">
      <c r="A974">
        <v>14887</v>
      </c>
      <c r="B974" t="s">
        <v>34</v>
      </c>
      <c r="C974" t="s">
        <v>33</v>
      </c>
      <c r="D974" s="5">
        <v>30000</v>
      </c>
      <c r="E974">
        <v>1</v>
      </c>
      <c r="F974" t="s">
        <v>27</v>
      </c>
      <c r="G974" t="s">
        <v>20</v>
      </c>
      <c r="H974" t="s">
        <v>15</v>
      </c>
      <c r="I974">
        <v>1</v>
      </c>
      <c r="J974" t="s">
        <v>23</v>
      </c>
      <c r="K974" t="s">
        <v>32</v>
      </c>
      <c r="L974">
        <v>52</v>
      </c>
      <c r="M974" t="s">
        <v>18</v>
      </c>
    </row>
    <row r="975" spans="1:13" x14ac:dyDescent="0.25">
      <c r="A975">
        <v>11734</v>
      </c>
      <c r="B975" t="s">
        <v>34</v>
      </c>
      <c r="C975" t="s">
        <v>34</v>
      </c>
      <c r="D975" s="5">
        <v>60000</v>
      </c>
      <c r="E975">
        <v>1</v>
      </c>
      <c r="F975" t="s">
        <v>19</v>
      </c>
      <c r="G975" t="s">
        <v>14</v>
      </c>
      <c r="H975" t="s">
        <v>18</v>
      </c>
      <c r="I975">
        <v>1</v>
      </c>
      <c r="J975" t="s">
        <v>16</v>
      </c>
      <c r="K975" t="s">
        <v>32</v>
      </c>
      <c r="L975">
        <v>47</v>
      </c>
      <c r="M975" t="s">
        <v>18</v>
      </c>
    </row>
    <row r="976" spans="1:13" x14ac:dyDescent="0.25">
      <c r="A976">
        <v>17462</v>
      </c>
      <c r="B976" t="s">
        <v>34</v>
      </c>
      <c r="C976" t="s">
        <v>34</v>
      </c>
      <c r="D976" s="5">
        <v>70000</v>
      </c>
      <c r="E976">
        <v>3</v>
      </c>
      <c r="F976" t="s">
        <v>31</v>
      </c>
      <c r="G976" t="s">
        <v>28</v>
      </c>
      <c r="H976" t="s">
        <v>15</v>
      </c>
      <c r="I976">
        <v>2</v>
      </c>
      <c r="J976" t="s">
        <v>23</v>
      </c>
      <c r="K976" t="s">
        <v>32</v>
      </c>
      <c r="L976">
        <v>53</v>
      </c>
      <c r="M976" t="s">
        <v>15</v>
      </c>
    </row>
    <row r="977" spans="1:13" x14ac:dyDescent="0.25">
      <c r="A977">
        <v>20659</v>
      </c>
      <c r="B977" t="s">
        <v>34</v>
      </c>
      <c r="C977" t="s">
        <v>34</v>
      </c>
      <c r="D977" s="5">
        <v>70000</v>
      </c>
      <c r="E977">
        <v>3</v>
      </c>
      <c r="F977" t="s">
        <v>31</v>
      </c>
      <c r="G977" t="s">
        <v>21</v>
      </c>
      <c r="H977" t="s">
        <v>15</v>
      </c>
      <c r="I977">
        <v>0</v>
      </c>
      <c r="J977" t="s">
        <v>16</v>
      </c>
      <c r="K977" t="s">
        <v>32</v>
      </c>
      <c r="L977">
        <v>35</v>
      </c>
      <c r="M977" t="s">
        <v>15</v>
      </c>
    </row>
    <row r="978" spans="1:13" x14ac:dyDescent="0.25">
      <c r="A978">
        <v>28004</v>
      </c>
      <c r="B978" t="s">
        <v>34</v>
      </c>
      <c r="C978" t="s">
        <v>33</v>
      </c>
      <c r="D978" s="5">
        <v>60000</v>
      </c>
      <c r="E978">
        <v>3</v>
      </c>
      <c r="F978" t="s">
        <v>13</v>
      </c>
      <c r="G978" t="s">
        <v>28</v>
      </c>
      <c r="H978" t="s">
        <v>15</v>
      </c>
      <c r="I978">
        <v>2</v>
      </c>
      <c r="J978" t="s">
        <v>30</v>
      </c>
      <c r="K978" t="s">
        <v>32</v>
      </c>
      <c r="L978">
        <v>66</v>
      </c>
      <c r="M978" t="s">
        <v>18</v>
      </c>
    </row>
    <row r="979" spans="1:13" x14ac:dyDescent="0.25">
      <c r="A979">
        <v>19741</v>
      </c>
      <c r="B979" t="s">
        <v>35</v>
      </c>
      <c r="C979" t="s">
        <v>33</v>
      </c>
      <c r="D979" s="5">
        <v>80000</v>
      </c>
      <c r="E979">
        <v>4</v>
      </c>
      <c r="F979" t="s">
        <v>31</v>
      </c>
      <c r="G979" t="s">
        <v>28</v>
      </c>
      <c r="H979" t="s">
        <v>15</v>
      </c>
      <c r="I979">
        <v>2</v>
      </c>
      <c r="J979" t="s">
        <v>23</v>
      </c>
      <c r="K979" t="s">
        <v>32</v>
      </c>
      <c r="L979">
        <v>65</v>
      </c>
      <c r="M979" t="s">
        <v>18</v>
      </c>
    </row>
    <row r="980" spans="1:13" x14ac:dyDescent="0.25">
      <c r="A980">
        <v>17450</v>
      </c>
      <c r="B980" t="s">
        <v>34</v>
      </c>
      <c r="C980" t="s">
        <v>34</v>
      </c>
      <c r="D980" s="5">
        <v>80000</v>
      </c>
      <c r="E980">
        <v>5</v>
      </c>
      <c r="F980" t="s">
        <v>19</v>
      </c>
      <c r="G980" t="s">
        <v>21</v>
      </c>
      <c r="H980" t="s">
        <v>15</v>
      </c>
      <c r="I980">
        <v>3</v>
      </c>
      <c r="J980" t="s">
        <v>23</v>
      </c>
      <c r="K980" t="s">
        <v>32</v>
      </c>
      <c r="L980">
        <v>45</v>
      </c>
      <c r="M980" t="s">
        <v>18</v>
      </c>
    </row>
    <row r="981" spans="1:13" x14ac:dyDescent="0.25">
      <c r="A981">
        <v>17337</v>
      </c>
      <c r="B981" t="s">
        <v>35</v>
      </c>
      <c r="C981" t="s">
        <v>34</v>
      </c>
      <c r="D981" s="5">
        <v>40000</v>
      </c>
      <c r="E981">
        <v>0</v>
      </c>
      <c r="F981" t="s">
        <v>27</v>
      </c>
      <c r="G981" t="s">
        <v>14</v>
      </c>
      <c r="H981" t="s">
        <v>15</v>
      </c>
      <c r="I981">
        <v>1</v>
      </c>
      <c r="J981" t="s">
        <v>23</v>
      </c>
      <c r="K981" t="s">
        <v>32</v>
      </c>
      <c r="L981">
        <v>31</v>
      </c>
      <c r="M981" t="s">
        <v>18</v>
      </c>
    </row>
    <row r="982" spans="1:13" x14ac:dyDescent="0.25">
      <c r="A982">
        <v>18594</v>
      </c>
      <c r="B982" t="s">
        <v>35</v>
      </c>
      <c r="C982" t="s">
        <v>33</v>
      </c>
      <c r="D982" s="5">
        <v>80000</v>
      </c>
      <c r="E982">
        <v>3</v>
      </c>
      <c r="F982" t="s">
        <v>13</v>
      </c>
      <c r="G982" t="s">
        <v>14</v>
      </c>
      <c r="H982" t="s">
        <v>15</v>
      </c>
      <c r="I982">
        <v>3</v>
      </c>
      <c r="J982" t="s">
        <v>30</v>
      </c>
      <c r="K982" t="s">
        <v>32</v>
      </c>
      <c r="L982">
        <v>40</v>
      </c>
      <c r="M982" t="s">
        <v>15</v>
      </c>
    </row>
    <row r="983" spans="1:13" x14ac:dyDescent="0.25">
      <c r="A983">
        <v>15982</v>
      </c>
      <c r="B983" t="s">
        <v>34</v>
      </c>
      <c r="C983" t="s">
        <v>34</v>
      </c>
      <c r="D983" s="5">
        <v>110000</v>
      </c>
      <c r="E983">
        <v>5</v>
      </c>
      <c r="F983" t="s">
        <v>19</v>
      </c>
      <c r="G983" t="s">
        <v>21</v>
      </c>
      <c r="H983" t="s">
        <v>15</v>
      </c>
      <c r="I983">
        <v>4</v>
      </c>
      <c r="J983" t="s">
        <v>22</v>
      </c>
      <c r="K983" t="s">
        <v>32</v>
      </c>
      <c r="L983">
        <v>46</v>
      </c>
      <c r="M983" t="s">
        <v>18</v>
      </c>
    </row>
    <row r="984" spans="1:13" x14ac:dyDescent="0.25">
      <c r="A984">
        <v>28625</v>
      </c>
      <c r="B984" t="s">
        <v>35</v>
      </c>
      <c r="C984" t="s">
        <v>34</v>
      </c>
      <c r="D984" s="5">
        <v>40000</v>
      </c>
      <c r="E984">
        <v>2</v>
      </c>
      <c r="F984" t="s">
        <v>19</v>
      </c>
      <c r="G984" t="s">
        <v>20</v>
      </c>
      <c r="H984" t="s">
        <v>18</v>
      </c>
      <c r="I984">
        <v>1</v>
      </c>
      <c r="J984" t="s">
        <v>26</v>
      </c>
      <c r="K984" t="s">
        <v>32</v>
      </c>
      <c r="L984">
        <v>47</v>
      </c>
      <c r="M984" t="s">
        <v>15</v>
      </c>
    </row>
    <row r="985" spans="1:13" x14ac:dyDescent="0.25">
      <c r="A985">
        <v>11269</v>
      </c>
      <c r="B985" t="s">
        <v>34</v>
      </c>
      <c r="C985" t="s">
        <v>34</v>
      </c>
      <c r="D985" s="5">
        <v>130000</v>
      </c>
      <c r="E985">
        <v>2</v>
      </c>
      <c r="F985" t="s">
        <v>31</v>
      </c>
      <c r="G985" t="s">
        <v>28</v>
      </c>
      <c r="H985" t="s">
        <v>15</v>
      </c>
      <c r="I985">
        <v>2</v>
      </c>
      <c r="J985" t="s">
        <v>16</v>
      </c>
      <c r="K985" t="s">
        <v>32</v>
      </c>
      <c r="L985">
        <v>41</v>
      </c>
      <c r="M985" t="s">
        <v>18</v>
      </c>
    </row>
    <row r="986" spans="1:13" x14ac:dyDescent="0.25">
      <c r="A986">
        <v>25148</v>
      </c>
      <c r="B986" t="s">
        <v>34</v>
      </c>
      <c r="C986" t="s">
        <v>34</v>
      </c>
      <c r="D986" s="5">
        <v>60000</v>
      </c>
      <c r="E986">
        <v>2</v>
      </c>
      <c r="F986" t="s">
        <v>27</v>
      </c>
      <c r="G986" t="s">
        <v>21</v>
      </c>
      <c r="H986" t="s">
        <v>18</v>
      </c>
      <c r="I986">
        <v>2</v>
      </c>
      <c r="J986" t="s">
        <v>26</v>
      </c>
      <c r="K986" t="s">
        <v>32</v>
      </c>
      <c r="L986">
        <v>48</v>
      </c>
      <c r="M986" t="s">
        <v>15</v>
      </c>
    </row>
    <row r="987" spans="1:13" x14ac:dyDescent="0.25">
      <c r="A987">
        <v>13920</v>
      </c>
      <c r="B987" t="s">
        <v>35</v>
      </c>
      <c r="C987" t="s">
        <v>33</v>
      </c>
      <c r="D987" s="5">
        <v>50000</v>
      </c>
      <c r="E987">
        <v>4</v>
      </c>
      <c r="F987" t="s">
        <v>13</v>
      </c>
      <c r="G987" t="s">
        <v>14</v>
      </c>
      <c r="H987" t="s">
        <v>15</v>
      </c>
      <c r="I987">
        <v>2</v>
      </c>
      <c r="J987" t="s">
        <v>16</v>
      </c>
      <c r="K987" t="s">
        <v>32</v>
      </c>
      <c r="L987">
        <v>42</v>
      </c>
      <c r="M987" t="s">
        <v>18</v>
      </c>
    </row>
    <row r="988" spans="1:13" x14ac:dyDescent="0.25">
      <c r="A988">
        <v>23704</v>
      </c>
      <c r="B988" t="s">
        <v>35</v>
      </c>
      <c r="C988" t="s">
        <v>34</v>
      </c>
      <c r="D988" s="5">
        <v>40000</v>
      </c>
      <c r="E988">
        <v>5</v>
      </c>
      <c r="F988" t="s">
        <v>27</v>
      </c>
      <c r="G988" t="s">
        <v>21</v>
      </c>
      <c r="H988" t="s">
        <v>15</v>
      </c>
      <c r="I988">
        <v>4</v>
      </c>
      <c r="J988" t="s">
        <v>30</v>
      </c>
      <c r="K988" t="s">
        <v>32</v>
      </c>
      <c r="L988">
        <v>60</v>
      </c>
      <c r="M988" t="s">
        <v>15</v>
      </c>
    </row>
    <row r="989" spans="1:13" x14ac:dyDescent="0.25">
      <c r="A989">
        <v>28972</v>
      </c>
      <c r="B989" t="s">
        <v>35</v>
      </c>
      <c r="C989" t="s">
        <v>33</v>
      </c>
      <c r="D989" s="5">
        <v>60000</v>
      </c>
      <c r="E989">
        <v>3</v>
      </c>
      <c r="F989" t="s">
        <v>31</v>
      </c>
      <c r="G989" t="s">
        <v>28</v>
      </c>
      <c r="H989" t="s">
        <v>15</v>
      </c>
      <c r="I989">
        <v>2</v>
      </c>
      <c r="J989" t="s">
        <v>30</v>
      </c>
      <c r="K989" t="s">
        <v>32</v>
      </c>
      <c r="L989">
        <v>66</v>
      </c>
      <c r="M989" t="s">
        <v>18</v>
      </c>
    </row>
    <row r="990" spans="1:13" x14ac:dyDescent="0.25">
      <c r="A990">
        <v>22730</v>
      </c>
      <c r="B990" t="s">
        <v>34</v>
      </c>
      <c r="C990" t="s">
        <v>34</v>
      </c>
      <c r="D990" s="5">
        <v>70000</v>
      </c>
      <c r="E990">
        <v>5</v>
      </c>
      <c r="F990" t="s">
        <v>13</v>
      </c>
      <c r="G990" t="s">
        <v>28</v>
      </c>
      <c r="H990" t="s">
        <v>15</v>
      </c>
      <c r="I990">
        <v>2</v>
      </c>
      <c r="J990" t="s">
        <v>30</v>
      </c>
      <c r="K990" t="s">
        <v>32</v>
      </c>
      <c r="L990">
        <v>63</v>
      </c>
      <c r="M990" t="s">
        <v>18</v>
      </c>
    </row>
    <row r="991" spans="1:13" x14ac:dyDescent="0.25">
      <c r="A991">
        <v>29134</v>
      </c>
      <c r="B991" t="s">
        <v>34</v>
      </c>
      <c r="C991" t="s">
        <v>34</v>
      </c>
      <c r="D991" s="5">
        <v>60000</v>
      </c>
      <c r="E991">
        <v>4</v>
      </c>
      <c r="F991" t="s">
        <v>13</v>
      </c>
      <c r="G991" t="s">
        <v>14</v>
      </c>
      <c r="H991" t="s">
        <v>18</v>
      </c>
      <c r="I991">
        <v>3</v>
      </c>
      <c r="J991" t="s">
        <v>30</v>
      </c>
      <c r="K991" t="s">
        <v>32</v>
      </c>
      <c r="L991">
        <v>42</v>
      </c>
      <c r="M991" t="s">
        <v>18</v>
      </c>
    </row>
    <row r="992" spans="1:13" x14ac:dyDescent="0.25">
      <c r="A992">
        <v>14332</v>
      </c>
      <c r="B992" t="s">
        <v>35</v>
      </c>
      <c r="C992" t="s">
        <v>33</v>
      </c>
      <c r="D992" s="5">
        <v>30000</v>
      </c>
      <c r="E992">
        <v>0</v>
      </c>
      <c r="F992" t="s">
        <v>27</v>
      </c>
      <c r="G992" t="s">
        <v>14</v>
      </c>
      <c r="H992" t="s">
        <v>18</v>
      </c>
      <c r="I992">
        <v>2</v>
      </c>
      <c r="J992" t="s">
        <v>23</v>
      </c>
      <c r="K992" t="s">
        <v>32</v>
      </c>
      <c r="L992">
        <v>26</v>
      </c>
      <c r="M992" t="s">
        <v>18</v>
      </c>
    </row>
    <row r="993" spans="1:13" x14ac:dyDescent="0.25">
      <c r="A993">
        <v>19117</v>
      </c>
      <c r="B993" t="s">
        <v>35</v>
      </c>
      <c r="C993" t="s">
        <v>33</v>
      </c>
      <c r="D993" s="5">
        <v>60000</v>
      </c>
      <c r="E993">
        <v>1</v>
      </c>
      <c r="F993" t="s">
        <v>31</v>
      </c>
      <c r="G993" t="s">
        <v>21</v>
      </c>
      <c r="H993" t="s">
        <v>15</v>
      </c>
      <c r="I993">
        <v>0</v>
      </c>
      <c r="J993" t="s">
        <v>22</v>
      </c>
      <c r="K993" t="s">
        <v>32</v>
      </c>
      <c r="L993">
        <v>36</v>
      </c>
      <c r="M993" t="s">
        <v>15</v>
      </c>
    </row>
    <row r="994" spans="1:13" x14ac:dyDescent="0.25">
      <c r="A994">
        <v>22864</v>
      </c>
      <c r="B994" t="s">
        <v>34</v>
      </c>
      <c r="C994" t="s">
        <v>34</v>
      </c>
      <c r="D994" s="5">
        <v>90000</v>
      </c>
      <c r="E994">
        <v>2</v>
      </c>
      <c r="F994" t="s">
        <v>19</v>
      </c>
      <c r="G994" t="s">
        <v>21</v>
      </c>
      <c r="H994" t="s">
        <v>18</v>
      </c>
      <c r="I994">
        <v>0</v>
      </c>
      <c r="J994" t="s">
        <v>23</v>
      </c>
      <c r="K994" t="s">
        <v>32</v>
      </c>
      <c r="L994">
        <v>49</v>
      </c>
      <c r="M994" t="s">
        <v>15</v>
      </c>
    </row>
    <row r="995" spans="1:13" x14ac:dyDescent="0.25">
      <c r="A995">
        <v>11292</v>
      </c>
      <c r="B995" t="s">
        <v>35</v>
      </c>
      <c r="C995" t="s">
        <v>34</v>
      </c>
      <c r="D995" s="5">
        <v>150000</v>
      </c>
      <c r="E995">
        <v>1</v>
      </c>
      <c r="F995" t="s">
        <v>19</v>
      </c>
      <c r="G995" t="s">
        <v>21</v>
      </c>
      <c r="H995" t="s">
        <v>18</v>
      </c>
      <c r="I995">
        <v>3</v>
      </c>
      <c r="J995" t="s">
        <v>16</v>
      </c>
      <c r="K995" t="s">
        <v>32</v>
      </c>
      <c r="L995">
        <v>44</v>
      </c>
      <c r="M995" t="s">
        <v>15</v>
      </c>
    </row>
    <row r="996" spans="1:13" x14ac:dyDescent="0.25">
      <c r="A996">
        <v>13466</v>
      </c>
      <c r="B996" t="s">
        <v>34</v>
      </c>
      <c r="C996" t="s">
        <v>34</v>
      </c>
      <c r="D996" s="5">
        <v>80000</v>
      </c>
      <c r="E996">
        <v>5</v>
      </c>
      <c r="F996" t="s">
        <v>19</v>
      </c>
      <c r="G996" t="s">
        <v>21</v>
      </c>
      <c r="H996" t="s">
        <v>15</v>
      </c>
      <c r="I996">
        <v>3</v>
      </c>
      <c r="J996" t="s">
        <v>26</v>
      </c>
      <c r="K996" t="s">
        <v>32</v>
      </c>
      <c r="L996">
        <v>46</v>
      </c>
      <c r="M996" t="s">
        <v>18</v>
      </c>
    </row>
    <row r="997" spans="1:13" x14ac:dyDescent="0.25">
      <c r="A997">
        <v>23731</v>
      </c>
      <c r="B997" t="s">
        <v>34</v>
      </c>
      <c r="C997" t="s">
        <v>34</v>
      </c>
      <c r="D997" s="5">
        <v>60000</v>
      </c>
      <c r="E997" s="1">
        <v>2</v>
      </c>
      <c r="F997" t="s">
        <v>27</v>
      </c>
      <c r="G997" t="s">
        <v>21</v>
      </c>
      <c r="H997" t="s">
        <v>15</v>
      </c>
      <c r="I997">
        <v>2</v>
      </c>
      <c r="J997" t="s">
        <v>22</v>
      </c>
      <c r="K997" t="s">
        <v>32</v>
      </c>
      <c r="L997">
        <v>54</v>
      </c>
      <c r="M997" t="s">
        <v>15</v>
      </c>
    </row>
    <row r="998" spans="1:13" x14ac:dyDescent="0.25">
      <c r="A998">
        <v>28672</v>
      </c>
      <c r="B998" t="s">
        <v>35</v>
      </c>
      <c r="C998" t="s">
        <v>34</v>
      </c>
      <c r="D998" s="5">
        <v>70000</v>
      </c>
      <c r="E998">
        <v>4</v>
      </c>
      <c r="F998" t="s">
        <v>31</v>
      </c>
      <c r="G998" t="s">
        <v>21</v>
      </c>
      <c r="H998" t="s">
        <v>15</v>
      </c>
      <c r="I998">
        <v>0</v>
      </c>
      <c r="J998" t="s">
        <v>22</v>
      </c>
      <c r="K998" t="s">
        <v>32</v>
      </c>
      <c r="L998">
        <v>35</v>
      </c>
      <c r="M998" t="s">
        <v>15</v>
      </c>
    </row>
    <row r="999" spans="1:13" x14ac:dyDescent="0.25">
      <c r="A999">
        <v>11809</v>
      </c>
      <c r="B999" t="s">
        <v>34</v>
      </c>
      <c r="C999" t="s">
        <v>34</v>
      </c>
      <c r="D999" s="5">
        <v>60000</v>
      </c>
      <c r="E999">
        <v>2</v>
      </c>
      <c r="F999" t="s">
        <v>13</v>
      </c>
      <c r="G999" t="s">
        <v>14</v>
      </c>
      <c r="H999" t="s">
        <v>15</v>
      </c>
      <c r="I999">
        <v>0</v>
      </c>
      <c r="J999" t="s">
        <v>16</v>
      </c>
      <c r="K999" t="s">
        <v>32</v>
      </c>
      <c r="L999">
        <v>38</v>
      </c>
      <c r="M999" t="s">
        <v>15</v>
      </c>
    </row>
    <row r="1000" spans="1:13" x14ac:dyDescent="0.25">
      <c r="A1000">
        <v>19664</v>
      </c>
      <c r="B1000" t="s">
        <v>35</v>
      </c>
      <c r="C1000" t="s">
        <v>34</v>
      </c>
      <c r="D1000" s="5">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5">
        <v>60000</v>
      </c>
      <c r="E1001">
        <v>3</v>
      </c>
      <c r="F1001" t="s">
        <v>27</v>
      </c>
      <c r="G1001" t="s">
        <v>21</v>
      </c>
      <c r="H1001" t="s">
        <v>15</v>
      </c>
      <c r="I1001">
        <v>2</v>
      </c>
      <c r="J1001" t="s">
        <v>30</v>
      </c>
      <c r="K1001" t="s">
        <v>32</v>
      </c>
      <c r="L1001">
        <v>53</v>
      </c>
      <c r="M1001" t="s">
        <v>15</v>
      </c>
    </row>
    <row r="1002" spans="1:13" x14ac:dyDescent="0.25">
      <c r="A1002">
        <v>13507</v>
      </c>
      <c r="B1002" t="s">
        <v>34</v>
      </c>
      <c r="C1002" t="s">
        <v>33</v>
      </c>
      <c r="D1002" s="5">
        <v>10000</v>
      </c>
      <c r="E1002">
        <v>2</v>
      </c>
      <c r="F1002" t="s">
        <v>19</v>
      </c>
      <c r="G1002" t="s">
        <v>25</v>
      </c>
      <c r="H1002" t="s">
        <v>15</v>
      </c>
      <c r="I1002">
        <v>0</v>
      </c>
      <c r="J1002" t="s">
        <v>26</v>
      </c>
      <c r="K1002" t="s">
        <v>17</v>
      </c>
      <c r="L1002">
        <v>50</v>
      </c>
      <c r="M1002" t="s">
        <v>18</v>
      </c>
    </row>
    <row r="1003" spans="1:13" x14ac:dyDescent="0.25">
      <c r="A1003">
        <v>19280</v>
      </c>
      <c r="B1003" t="s">
        <v>34</v>
      </c>
      <c r="C1003" t="s">
        <v>34</v>
      </c>
      <c r="D1003" s="5">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5">
        <v>30000</v>
      </c>
      <c r="E1004">
        <v>3</v>
      </c>
      <c r="F1004" t="s">
        <v>27</v>
      </c>
      <c r="G1004" t="s">
        <v>14</v>
      </c>
      <c r="H1004" t="s">
        <v>18</v>
      </c>
      <c r="I1004">
        <v>2</v>
      </c>
      <c r="J1004" t="s">
        <v>26</v>
      </c>
      <c r="K1004" t="s">
        <v>24</v>
      </c>
      <c r="L1004">
        <v>54</v>
      </c>
      <c r="M1004" t="s">
        <v>15</v>
      </c>
    </row>
    <row r="1005" spans="1:13" x14ac:dyDescent="0.25">
      <c r="A1005">
        <v>12697</v>
      </c>
      <c r="B1005" t="s">
        <v>35</v>
      </c>
      <c r="C1005" t="s">
        <v>33</v>
      </c>
      <c r="D1005" s="5">
        <v>90000</v>
      </c>
      <c r="E1005">
        <v>0</v>
      </c>
      <c r="F1005" t="s">
        <v>13</v>
      </c>
      <c r="G1005" t="s">
        <v>21</v>
      </c>
      <c r="H1005" t="s">
        <v>18</v>
      </c>
      <c r="I1005">
        <v>4</v>
      </c>
      <c r="J1005" t="s">
        <v>30</v>
      </c>
      <c r="K1005" t="s">
        <v>24</v>
      </c>
      <c r="L1005">
        <v>36</v>
      </c>
      <c r="M1005" t="s">
        <v>18</v>
      </c>
    </row>
    <row r="1006" spans="1:13" x14ac:dyDescent="0.25">
      <c r="A1006">
        <v>11434</v>
      </c>
      <c r="B1006" t="s">
        <v>34</v>
      </c>
      <c r="C1006" t="s">
        <v>34</v>
      </c>
      <c r="D1006" s="5">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5">
        <v>40000</v>
      </c>
      <c r="E1007">
        <v>2</v>
      </c>
      <c r="F1007" t="s">
        <v>19</v>
      </c>
      <c r="G1007" t="s">
        <v>20</v>
      </c>
      <c r="H1007" t="s">
        <v>15</v>
      </c>
      <c r="I1007">
        <v>1</v>
      </c>
      <c r="J1007" t="s">
        <v>26</v>
      </c>
      <c r="K1007" t="s">
        <v>17</v>
      </c>
      <c r="L1007">
        <v>35</v>
      </c>
      <c r="M1007" t="s">
        <v>15</v>
      </c>
    </row>
    <row r="1008" spans="1:13" x14ac:dyDescent="0.25">
      <c r="A1008">
        <v>23542</v>
      </c>
      <c r="B1008" t="s">
        <v>35</v>
      </c>
      <c r="C1008" t="s">
        <v>34</v>
      </c>
      <c r="D1008" s="5">
        <v>60000</v>
      </c>
      <c r="E1008">
        <v>1</v>
      </c>
      <c r="F1008" t="s">
        <v>19</v>
      </c>
      <c r="G1008" t="s">
        <v>14</v>
      </c>
      <c r="H1008" t="s">
        <v>18</v>
      </c>
      <c r="I1008">
        <v>1</v>
      </c>
      <c r="J1008" t="s">
        <v>16</v>
      </c>
      <c r="K1008" t="s">
        <v>24</v>
      </c>
      <c r="L1008">
        <v>45</v>
      </c>
      <c r="M1008" t="s">
        <v>15</v>
      </c>
    </row>
    <row r="1009" spans="1:13" x14ac:dyDescent="0.25">
      <c r="A1009">
        <v>20870</v>
      </c>
      <c r="B1009" t="s">
        <v>35</v>
      </c>
      <c r="C1009" t="s">
        <v>33</v>
      </c>
      <c r="D1009" s="5">
        <v>10000</v>
      </c>
      <c r="E1009">
        <v>2</v>
      </c>
      <c r="F1009" t="s">
        <v>27</v>
      </c>
      <c r="G1009" t="s">
        <v>25</v>
      </c>
      <c r="H1009" t="s">
        <v>15</v>
      </c>
      <c r="I1009">
        <v>1</v>
      </c>
      <c r="J1009" t="s">
        <v>16</v>
      </c>
      <c r="K1009" t="s">
        <v>17</v>
      </c>
      <c r="L1009">
        <v>38</v>
      </c>
      <c r="M1009" t="s">
        <v>15</v>
      </c>
    </row>
    <row r="1010" spans="1:13" x14ac:dyDescent="0.25">
      <c r="A1010">
        <v>23316</v>
      </c>
      <c r="B1010" t="s">
        <v>35</v>
      </c>
      <c r="C1010" t="s">
        <v>34</v>
      </c>
      <c r="D1010" s="5">
        <v>30000</v>
      </c>
      <c r="E1010">
        <v>3</v>
      </c>
      <c r="F1010" t="s">
        <v>19</v>
      </c>
      <c r="G1010" t="s">
        <v>20</v>
      </c>
      <c r="H1010" t="s">
        <v>18</v>
      </c>
      <c r="I1010">
        <v>2</v>
      </c>
      <c r="J1010" t="s">
        <v>26</v>
      </c>
      <c r="K1010" t="s">
        <v>24</v>
      </c>
      <c r="L1010">
        <v>59</v>
      </c>
      <c r="M1010" t="s">
        <v>15</v>
      </c>
    </row>
    <row r="1011" spans="1:13" x14ac:dyDescent="0.25">
      <c r="A1011">
        <v>12610</v>
      </c>
      <c r="B1011" t="s">
        <v>34</v>
      </c>
      <c r="C1011" t="s">
        <v>33</v>
      </c>
      <c r="D1011" s="5">
        <v>30000</v>
      </c>
      <c r="E1011">
        <v>1</v>
      </c>
      <c r="F1011" t="s">
        <v>13</v>
      </c>
      <c r="G1011" t="s">
        <v>20</v>
      </c>
      <c r="H1011" t="s">
        <v>15</v>
      </c>
      <c r="I1011">
        <v>0</v>
      </c>
      <c r="J1011" t="s">
        <v>16</v>
      </c>
      <c r="K1011" t="s">
        <v>17</v>
      </c>
      <c r="L1011">
        <v>47</v>
      </c>
      <c r="M1011" t="s">
        <v>18</v>
      </c>
    </row>
    <row r="1012" spans="1:13" x14ac:dyDescent="0.25">
      <c r="A1012">
        <v>27183</v>
      </c>
      <c r="B1012" t="s">
        <v>35</v>
      </c>
      <c r="C1012" t="s">
        <v>34</v>
      </c>
      <c r="D1012" s="5">
        <v>40000</v>
      </c>
      <c r="E1012">
        <v>2</v>
      </c>
      <c r="F1012" t="s">
        <v>19</v>
      </c>
      <c r="G1012" t="s">
        <v>20</v>
      </c>
      <c r="H1012" t="s">
        <v>15</v>
      </c>
      <c r="I1012">
        <v>1</v>
      </c>
      <c r="J1012" t="s">
        <v>26</v>
      </c>
      <c r="K1012" t="s">
        <v>17</v>
      </c>
      <c r="L1012">
        <v>35</v>
      </c>
      <c r="M1012" t="s">
        <v>15</v>
      </c>
    </row>
    <row r="1013" spans="1:13" x14ac:dyDescent="0.25">
      <c r="A1013">
        <v>25940</v>
      </c>
      <c r="B1013" t="s">
        <v>35</v>
      </c>
      <c r="C1013" t="s">
        <v>34</v>
      </c>
      <c r="D1013" s="5">
        <v>20000</v>
      </c>
      <c r="E1013">
        <v>2</v>
      </c>
      <c r="F1013" t="s">
        <v>29</v>
      </c>
      <c r="G1013" t="s">
        <v>20</v>
      </c>
      <c r="H1013" t="s">
        <v>15</v>
      </c>
      <c r="I1013">
        <v>2</v>
      </c>
      <c r="J1013" t="s">
        <v>23</v>
      </c>
      <c r="K1013" t="s">
        <v>24</v>
      </c>
      <c r="L1013">
        <v>55</v>
      </c>
      <c r="M1013" t="s">
        <v>15</v>
      </c>
    </row>
    <row r="1014" spans="1:13" x14ac:dyDescent="0.25">
      <c r="A1014">
        <v>25598</v>
      </c>
      <c r="B1014" t="s">
        <v>34</v>
      </c>
      <c r="C1014" t="s">
        <v>33</v>
      </c>
      <c r="D1014" s="5">
        <v>40000</v>
      </c>
      <c r="E1014">
        <v>0</v>
      </c>
      <c r="F1014" t="s">
        <v>31</v>
      </c>
      <c r="G1014" t="s">
        <v>20</v>
      </c>
      <c r="H1014" t="s">
        <v>15</v>
      </c>
      <c r="I1014">
        <v>0</v>
      </c>
      <c r="J1014" t="s">
        <v>16</v>
      </c>
      <c r="K1014" t="s">
        <v>17</v>
      </c>
      <c r="L1014">
        <v>36</v>
      </c>
      <c r="M1014" t="s">
        <v>15</v>
      </c>
    </row>
    <row r="1015" spans="1:13" x14ac:dyDescent="0.25">
      <c r="A1015">
        <v>21564</v>
      </c>
      <c r="B1015" t="s">
        <v>35</v>
      </c>
      <c r="C1015" t="s">
        <v>33</v>
      </c>
      <c r="D1015" s="5">
        <v>80000</v>
      </c>
      <c r="E1015">
        <v>0</v>
      </c>
      <c r="F1015" t="s">
        <v>13</v>
      </c>
      <c r="G1015" t="s">
        <v>21</v>
      </c>
      <c r="H1015" t="s">
        <v>15</v>
      </c>
      <c r="I1015">
        <v>4</v>
      </c>
      <c r="J1015" t="s">
        <v>30</v>
      </c>
      <c r="K1015" t="s">
        <v>24</v>
      </c>
      <c r="L1015">
        <v>35</v>
      </c>
      <c r="M1015" t="s">
        <v>18</v>
      </c>
    </row>
    <row r="1016" spans="1:13" x14ac:dyDescent="0.25">
      <c r="A1016">
        <v>19193</v>
      </c>
      <c r="B1016" t="s">
        <v>35</v>
      </c>
      <c r="C1016" t="s">
        <v>34</v>
      </c>
      <c r="D1016" s="5">
        <v>40000</v>
      </c>
      <c r="E1016">
        <v>2</v>
      </c>
      <c r="F1016" t="s">
        <v>19</v>
      </c>
      <c r="G1016" t="s">
        <v>20</v>
      </c>
      <c r="H1016" t="s">
        <v>15</v>
      </c>
      <c r="I1016">
        <v>0</v>
      </c>
      <c r="J1016" t="s">
        <v>26</v>
      </c>
      <c r="K1016" t="s">
        <v>17</v>
      </c>
      <c r="L1016">
        <v>35</v>
      </c>
      <c r="M1016" t="s">
        <v>15</v>
      </c>
    </row>
    <row r="1017" spans="1:13" x14ac:dyDescent="0.25">
      <c r="A1017">
        <v>26412</v>
      </c>
      <c r="B1017" t="s">
        <v>34</v>
      </c>
      <c r="C1017" t="s">
        <v>33</v>
      </c>
      <c r="D1017" s="5">
        <v>80000</v>
      </c>
      <c r="E1017">
        <v>5</v>
      </c>
      <c r="F1017" t="s">
        <v>27</v>
      </c>
      <c r="G1017" t="s">
        <v>28</v>
      </c>
      <c r="H1017" t="s">
        <v>18</v>
      </c>
      <c r="I1017">
        <v>3</v>
      </c>
      <c r="J1017" t="s">
        <v>23</v>
      </c>
      <c r="K1017" t="s">
        <v>17</v>
      </c>
      <c r="L1017">
        <v>56</v>
      </c>
      <c r="M1017" t="s">
        <v>18</v>
      </c>
    </row>
    <row r="1018" spans="1:13" x14ac:dyDescent="0.25">
      <c r="A1018">
        <v>27184</v>
      </c>
      <c r="B1018" t="s">
        <v>35</v>
      </c>
      <c r="C1018" t="s">
        <v>34</v>
      </c>
      <c r="D1018" s="5">
        <v>40000</v>
      </c>
      <c r="E1018">
        <v>2</v>
      </c>
      <c r="F1018" t="s">
        <v>19</v>
      </c>
      <c r="G1018" t="s">
        <v>20</v>
      </c>
      <c r="H1018" t="s">
        <v>18</v>
      </c>
      <c r="I1018">
        <v>1</v>
      </c>
      <c r="J1018" t="s">
        <v>16</v>
      </c>
      <c r="K1018" t="s">
        <v>17</v>
      </c>
      <c r="L1018">
        <v>34</v>
      </c>
      <c r="M1018" t="s">
        <v>18</v>
      </c>
    </row>
    <row r="1019" spans="1:13" x14ac:dyDescent="0.25">
      <c r="A1019">
        <v>12590</v>
      </c>
      <c r="B1019" t="s">
        <v>35</v>
      </c>
      <c r="C1019" t="s">
        <v>34</v>
      </c>
      <c r="D1019" s="5">
        <v>30000</v>
      </c>
      <c r="E1019">
        <v>1</v>
      </c>
      <c r="F1019" t="s">
        <v>13</v>
      </c>
      <c r="G1019" t="s">
        <v>20</v>
      </c>
      <c r="H1019" t="s">
        <v>15</v>
      </c>
      <c r="I1019">
        <v>0</v>
      </c>
      <c r="J1019" t="s">
        <v>16</v>
      </c>
      <c r="K1019" t="s">
        <v>17</v>
      </c>
      <c r="L1019">
        <v>63</v>
      </c>
      <c r="M1019" t="s">
        <v>18</v>
      </c>
    </row>
    <row r="1020" spans="1:13" x14ac:dyDescent="0.25">
      <c r="A1020">
        <v>17841</v>
      </c>
      <c r="B1020" t="s">
        <v>35</v>
      </c>
      <c r="C1020" t="s">
        <v>34</v>
      </c>
      <c r="D1020" s="5">
        <v>30000</v>
      </c>
      <c r="E1020">
        <v>0</v>
      </c>
      <c r="F1020" t="s">
        <v>19</v>
      </c>
      <c r="G1020" t="s">
        <v>20</v>
      </c>
      <c r="H1020" t="s">
        <v>18</v>
      </c>
      <c r="I1020">
        <v>1</v>
      </c>
      <c r="J1020" t="s">
        <v>16</v>
      </c>
      <c r="K1020" t="s">
        <v>17</v>
      </c>
      <c r="L1020">
        <v>29</v>
      </c>
      <c r="M1020" t="s">
        <v>15</v>
      </c>
    </row>
    <row r="1021" spans="1:13" x14ac:dyDescent="0.25">
      <c r="A1021">
        <v>18283</v>
      </c>
      <c r="B1021" t="s">
        <v>35</v>
      </c>
      <c r="C1021" t="s">
        <v>33</v>
      </c>
      <c r="D1021" s="5">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5">
        <v>70000</v>
      </c>
      <c r="E1022">
        <v>5</v>
      </c>
      <c r="F1022" t="s">
        <v>19</v>
      </c>
      <c r="G1022" t="s">
        <v>14</v>
      </c>
      <c r="H1022" t="s">
        <v>15</v>
      </c>
      <c r="I1022">
        <v>2</v>
      </c>
      <c r="J1022" t="s">
        <v>23</v>
      </c>
      <c r="K1022" t="s">
        <v>24</v>
      </c>
      <c r="L1022">
        <v>44</v>
      </c>
      <c r="M1022" t="s">
        <v>18</v>
      </c>
    </row>
    <row r="1023" spans="1:13" x14ac:dyDescent="0.25">
      <c r="A1023">
        <v>16466</v>
      </c>
      <c r="B1023" t="s">
        <v>35</v>
      </c>
      <c r="C1023" t="s">
        <v>33</v>
      </c>
      <c r="D1023" s="5">
        <v>20000</v>
      </c>
      <c r="E1023">
        <v>0</v>
      </c>
      <c r="F1023" t="s">
        <v>29</v>
      </c>
      <c r="G1023" t="s">
        <v>25</v>
      </c>
      <c r="H1023" t="s">
        <v>18</v>
      </c>
      <c r="I1023">
        <v>2</v>
      </c>
      <c r="J1023" t="s">
        <v>16</v>
      </c>
      <c r="K1023" t="s">
        <v>17</v>
      </c>
      <c r="L1023">
        <v>32</v>
      </c>
      <c r="M1023" t="s">
        <v>15</v>
      </c>
    </row>
    <row r="1024" spans="1:13" x14ac:dyDescent="0.25">
      <c r="A1024">
        <v>19273</v>
      </c>
      <c r="B1024" t="s">
        <v>34</v>
      </c>
      <c r="C1024" t="s">
        <v>33</v>
      </c>
      <c r="D1024" s="5">
        <v>20000</v>
      </c>
      <c r="E1024">
        <v>2</v>
      </c>
      <c r="F1024" t="s">
        <v>19</v>
      </c>
      <c r="G1024" t="s">
        <v>25</v>
      </c>
      <c r="H1024" t="s">
        <v>15</v>
      </c>
      <c r="I1024">
        <v>0</v>
      </c>
      <c r="J1024" t="s">
        <v>16</v>
      </c>
      <c r="K1024" t="s">
        <v>17</v>
      </c>
      <c r="L1024">
        <v>63</v>
      </c>
      <c r="M1024" t="s">
        <v>18</v>
      </c>
    </row>
    <row r="1025" spans="1:13" x14ac:dyDescent="0.25">
      <c r="A1025">
        <v>22400</v>
      </c>
      <c r="B1025" t="s">
        <v>34</v>
      </c>
      <c r="C1025" t="s">
        <v>34</v>
      </c>
      <c r="D1025" s="5">
        <v>10000</v>
      </c>
      <c r="E1025">
        <v>0</v>
      </c>
      <c r="F1025" t="s">
        <v>19</v>
      </c>
      <c r="G1025" t="s">
        <v>25</v>
      </c>
      <c r="H1025" t="s">
        <v>18</v>
      </c>
      <c r="I1025">
        <v>1</v>
      </c>
      <c r="J1025" t="s">
        <v>16</v>
      </c>
      <c r="K1025" t="s">
        <v>24</v>
      </c>
      <c r="L1025">
        <v>26</v>
      </c>
      <c r="M1025" t="s">
        <v>15</v>
      </c>
    </row>
    <row r="1026" spans="1:13" x14ac:dyDescent="0.25">
      <c r="A1026">
        <v>20942</v>
      </c>
      <c r="B1026" t="s">
        <v>35</v>
      </c>
      <c r="C1026" t="s">
        <v>33</v>
      </c>
      <c r="D1026" s="5">
        <v>20000</v>
      </c>
      <c r="E1026">
        <v>0</v>
      </c>
      <c r="F1026" t="s">
        <v>27</v>
      </c>
      <c r="G1026" t="s">
        <v>25</v>
      </c>
      <c r="H1026" t="s">
        <v>18</v>
      </c>
      <c r="I1026">
        <v>1</v>
      </c>
      <c r="J1026" t="s">
        <v>23</v>
      </c>
      <c r="K1026" t="s">
        <v>17</v>
      </c>
      <c r="L1026">
        <v>31</v>
      </c>
      <c r="M1026" t="s">
        <v>18</v>
      </c>
    </row>
    <row r="1027" spans="1:13" x14ac:dyDescent="0.25">
      <c r="A1027">
        <v>18484</v>
      </c>
      <c r="B1027" t="s">
        <v>35</v>
      </c>
      <c r="C1027" t="s">
        <v>34</v>
      </c>
      <c r="D1027" s="5">
        <v>80000</v>
      </c>
      <c r="E1027">
        <v>2</v>
      </c>
      <c r="F1027" t="s">
        <v>54</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E3075-6B83-46F7-A22D-0B438D194EF7}">
  <dimension ref="A1:D16"/>
  <sheetViews>
    <sheetView workbookViewId="0">
      <selection activeCell="E5" sqref="E5"/>
    </sheetView>
  </sheetViews>
  <sheetFormatPr defaultColWidth="14.28515625" defaultRowHeight="15" x14ac:dyDescent="0.25"/>
  <cols>
    <col min="1" max="1" width="21.85546875" customWidth="1"/>
    <col min="2" max="2" width="52.28515625" customWidth="1"/>
  </cols>
  <sheetData>
    <row r="1" spans="1:4" ht="15.75" x14ac:dyDescent="0.25">
      <c r="A1" s="10" t="s">
        <v>82</v>
      </c>
      <c r="B1" s="10" t="s">
        <v>83</v>
      </c>
      <c r="C1" s="10" t="s">
        <v>84</v>
      </c>
      <c r="D1" s="10" t="s">
        <v>85</v>
      </c>
    </row>
    <row r="2" spans="1:4" x14ac:dyDescent="0.25">
      <c r="A2" t="s">
        <v>0</v>
      </c>
      <c r="B2" t="s">
        <v>87</v>
      </c>
      <c r="C2" t="s">
        <v>102</v>
      </c>
      <c r="D2">
        <v>12496</v>
      </c>
    </row>
    <row r="3" spans="1:4" x14ac:dyDescent="0.25">
      <c r="A3" t="s">
        <v>1</v>
      </c>
      <c r="B3" t="s">
        <v>89</v>
      </c>
      <c r="C3" t="s">
        <v>101</v>
      </c>
      <c r="D3" t="s">
        <v>36</v>
      </c>
    </row>
    <row r="4" spans="1:4" x14ac:dyDescent="0.25">
      <c r="A4" t="s">
        <v>2</v>
      </c>
      <c r="B4" t="s">
        <v>90</v>
      </c>
      <c r="C4" t="s">
        <v>101</v>
      </c>
      <c r="D4" t="s">
        <v>38</v>
      </c>
    </row>
    <row r="5" spans="1:4" x14ac:dyDescent="0.25">
      <c r="A5" t="s">
        <v>3</v>
      </c>
      <c r="B5" t="s">
        <v>91</v>
      </c>
      <c r="C5" t="s">
        <v>102</v>
      </c>
      <c r="D5" s="22">
        <v>40000</v>
      </c>
    </row>
    <row r="6" spans="1:4" x14ac:dyDescent="0.25">
      <c r="A6" t="s">
        <v>4</v>
      </c>
      <c r="B6" t="s">
        <v>93</v>
      </c>
      <c r="C6" t="s">
        <v>102</v>
      </c>
      <c r="D6">
        <v>2</v>
      </c>
    </row>
    <row r="7" spans="1:4" x14ac:dyDescent="0.25">
      <c r="A7" t="s">
        <v>5</v>
      </c>
      <c r="B7" t="s">
        <v>103</v>
      </c>
      <c r="C7" t="s">
        <v>101</v>
      </c>
      <c r="D7" t="s">
        <v>13</v>
      </c>
    </row>
    <row r="8" spans="1:4" x14ac:dyDescent="0.25">
      <c r="A8" t="s">
        <v>6</v>
      </c>
      <c r="B8" t="s">
        <v>94</v>
      </c>
      <c r="C8" t="s">
        <v>101</v>
      </c>
      <c r="D8" t="s">
        <v>21</v>
      </c>
    </row>
    <row r="9" spans="1:4" x14ac:dyDescent="0.25">
      <c r="A9" t="s">
        <v>7</v>
      </c>
      <c r="B9" t="s">
        <v>95</v>
      </c>
      <c r="C9" t="s">
        <v>101</v>
      </c>
      <c r="D9" t="s">
        <v>15</v>
      </c>
    </row>
    <row r="10" spans="1:4" x14ac:dyDescent="0.25">
      <c r="A10" t="s">
        <v>8</v>
      </c>
      <c r="B10" t="s">
        <v>96</v>
      </c>
      <c r="C10" t="s">
        <v>102</v>
      </c>
      <c r="D10">
        <v>1</v>
      </c>
    </row>
    <row r="11" spans="1:4" x14ac:dyDescent="0.25">
      <c r="A11" t="s">
        <v>9</v>
      </c>
      <c r="B11" t="s">
        <v>100</v>
      </c>
      <c r="C11" t="s">
        <v>101</v>
      </c>
      <c r="D11" t="s">
        <v>16</v>
      </c>
    </row>
    <row r="12" spans="1:4" x14ac:dyDescent="0.25">
      <c r="A12" t="s">
        <v>86</v>
      </c>
      <c r="B12" t="s">
        <v>97</v>
      </c>
      <c r="C12" t="s">
        <v>101</v>
      </c>
      <c r="D12" t="s">
        <v>32</v>
      </c>
    </row>
    <row r="13" spans="1:4" x14ac:dyDescent="0.25">
      <c r="A13" t="s">
        <v>11</v>
      </c>
      <c r="B13" t="s">
        <v>88</v>
      </c>
      <c r="C13" t="s">
        <v>102</v>
      </c>
      <c r="D13">
        <v>42</v>
      </c>
    </row>
    <row r="14" spans="1:4" x14ac:dyDescent="0.25">
      <c r="A14" t="s">
        <v>12</v>
      </c>
      <c r="B14" t="s">
        <v>99</v>
      </c>
      <c r="C14" t="s">
        <v>101</v>
      </c>
      <c r="D14" t="s">
        <v>15</v>
      </c>
    </row>
    <row r="15" spans="1:4" x14ac:dyDescent="0.25">
      <c r="A15" t="s">
        <v>58</v>
      </c>
      <c r="B15" t="s">
        <v>92</v>
      </c>
      <c r="C15" t="s">
        <v>101</v>
      </c>
      <c r="D15" t="s">
        <v>60</v>
      </c>
    </row>
    <row r="16" spans="1:4" x14ac:dyDescent="0.25">
      <c r="A16" t="s">
        <v>40</v>
      </c>
      <c r="B16" t="s">
        <v>98</v>
      </c>
      <c r="C16" t="s">
        <v>101</v>
      </c>
      <c r="D16" t="s">
        <v>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2899-3D9E-4460-914E-5E577A44F1A2}">
  <dimension ref="A1:O1001"/>
  <sheetViews>
    <sheetView topLeftCell="H1" workbookViewId="0">
      <selection activeCell="P20" sqref="P20"/>
    </sheetView>
  </sheetViews>
  <sheetFormatPr defaultColWidth="18.85546875" defaultRowHeight="15" x14ac:dyDescent="0.25"/>
  <cols>
    <col min="1" max="1" width="18.85546875" style="5"/>
    <col min="2" max="3" width="18.85546875" style="12"/>
    <col min="4" max="4" width="18.85546875" style="20"/>
    <col min="5" max="5" width="18.85546875" style="12"/>
    <col min="6" max="6" width="15.85546875" style="11" customWidth="1"/>
    <col min="7" max="9" width="18.85546875" style="12"/>
    <col min="10" max="10" width="18.85546875" style="11"/>
    <col min="11" max="11" width="19.85546875" style="12" customWidth="1"/>
    <col min="12" max="12" width="18.85546875" style="12"/>
    <col min="13" max="13" width="18.85546875" style="5"/>
    <col min="14" max="15" width="18.85546875" style="12"/>
  </cols>
  <sheetData>
    <row r="1" spans="1:15" x14ac:dyDescent="0.25">
      <c r="A1" s="13" t="s">
        <v>0</v>
      </c>
      <c r="B1" s="17" t="s">
        <v>1</v>
      </c>
      <c r="C1" s="17" t="s">
        <v>2</v>
      </c>
      <c r="D1" s="19" t="s">
        <v>3</v>
      </c>
      <c r="E1" s="17" t="s">
        <v>58</v>
      </c>
      <c r="F1" s="15" t="s">
        <v>4</v>
      </c>
      <c r="G1" s="17" t="s">
        <v>5</v>
      </c>
      <c r="H1" s="17" t="s">
        <v>6</v>
      </c>
      <c r="I1" s="17" t="s">
        <v>7</v>
      </c>
      <c r="J1" s="15" t="s">
        <v>8</v>
      </c>
      <c r="K1" s="17" t="s">
        <v>9</v>
      </c>
      <c r="L1" s="17" t="s">
        <v>10</v>
      </c>
      <c r="M1" s="13" t="s">
        <v>11</v>
      </c>
      <c r="N1" s="17" t="s">
        <v>40</v>
      </c>
      <c r="O1" s="17" t="s">
        <v>12</v>
      </c>
    </row>
    <row r="2" spans="1:15" x14ac:dyDescent="0.25">
      <c r="A2" s="14">
        <v>12496</v>
      </c>
      <c r="B2" s="18" t="s">
        <v>36</v>
      </c>
      <c r="C2" s="18" t="s">
        <v>38</v>
      </c>
      <c r="D2" s="6">
        <v>40000</v>
      </c>
      <c r="E2" s="18" t="str" cm="1">
        <f t="array" ref="E2">_xlfn.IFS(Cleaned_Working_Sheet!$D2&lt;=50000,"Low Income",Cleaned_Working_Sheet!$D2&lt;100000,"Middle Income",TRUE,"High Income")</f>
        <v>Low Income</v>
      </c>
      <c r="F2" s="16">
        <v>1</v>
      </c>
      <c r="G2" s="18" t="s">
        <v>13</v>
      </c>
      <c r="H2" s="18" t="s">
        <v>14</v>
      </c>
      <c r="I2" s="18" t="s">
        <v>15</v>
      </c>
      <c r="J2" s="16">
        <v>0</v>
      </c>
      <c r="K2" s="18" t="s">
        <v>16</v>
      </c>
      <c r="L2" s="18" t="s">
        <v>17</v>
      </c>
      <c r="M2" s="14">
        <v>42</v>
      </c>
      <c r="N2" s="18" t="str" cm="1">
        <f t="array" ref="N2">_xlfn.IFS(Cleaned_Working_Sheet!$M2&lt;=34,"Young",Cleaned_Working_Sheet!$M2&lt;=54,"Middle-aged",Cleaned_Working_Sheet!$M2&gt;54,"Old")</f>
        <v>Middle-aged</v>
      </c>
      <c r="O2" s="18" t="s">
        <v>18</v>
      </c>
    </row>
    <row r="3" spans="1:15" x14ac:dyDescent="0.25">
      <c r="A3" s="14">
        <v>24107</v>
      </c>
      <c r="B3" s="18" t="s">
        <v>36</v>
      </c>
      <c r="C3" s="18" t="s">
        <v>39</v>
      </c>
      <c r="D3" s="6">
        <v>30000</v>
      </c>
      <c r="E3" s="18" t="str" cm="1">
        <f t="array" ref="E3">_xlfn.IFS(Cleaned_Working_Sheet!$D3&lt;=50000,"Low Income",Cleaned_Working_Sheet!$D3&lt;100000,"Middle Income",TRUE,"High Income")</f>
        <v>Low Income</v>
      </c>
      <c r="F3" s="16">
        <v>3</v>
      </c>
      <c r="G3" s="18" t="s">
        <v>19</v>
      </c>
      <c r="H3" s="18" t="s">
        <v>20</v>
      </c>
      <c r="I3" s="18" t="s">
        <v>15</v>
      </c>
      <c r="J3" s="16">
        <v>1</v>
      </c>
      <c r="K3" s="18" t="s">
        <v>16</v>
      </c>
      <c r="L3" s="18" t="s">
        <v>17</v>
      </c>
      <c r="M3" s="14">
        <v>43</v>
      </c>
      <c r="N3" s="18" t="str" cm="1">
        <f t="array" ref="N3">_xlfn.IFS(Cleaned_Working_Sheet!$M3&lt;=34,"Young",Cleaned_Working_Sheet!$M3&lt;=54,"Middle-aged",Cleaned_Working_Sheet!$M3&gt;54,"Old")</f>
        <v>Middle-aged</v>
      </c>
      <c r="O3" s="18" t="s">
        <v>18</v>
      </c>
    </row>
    <row r="4" spans="1:15" x14ac:dyDescent="0.25">
      <c r="A4" s="14">
        <v>14177</v>
      </c>
      <c r="B4" s="18" t="s">
        <v>36</v>
      </c>
      <c r="C4" s="18" t="s">
        <v>39</v>
      </c>
      <c r="D4" s="6">
        <v>80000</v>
      </c>
      <c r="E4" s="18" t="str" cm="1">
        <f t="array" ref="E4">_xlfn.IFS(Cleaned_Working_Sheet!$D4&lt;=50000,"Low Income",Cleaned_Working_Sheet!$D4&lt;100000,"Middle Income",TRUE,"High Income")</f>
        <v>Middle Income</v>
      </c>
      <c r="F4" s="16">
        <v>5</v>
      </c>
      <c r="G4" s="18" t="s">
        <v>19</v>
      </c>
      <c r="H4" s="18" t="s">
        <v>21</v>
      </c>
      <c r="I4" s="18" t="s">
        <v>18</v>
      </c>
      <c r="J4" s="16">
        <v>2</v>
      </c>
      <c r="K4" s="18" t="s">
        <v>22</v>
      </c>
      <c r="L4" s="18" t="s">
        <v>17</v>
      </c>
      <c r="M4" s="14">
        <v>60</v>
      </c>
      <c r="N4" s="18" t="str" cm="1">
        <f t="array" ref="N4">_xlfn.IFS(Cleaned_Working_Sheet!$M4&lt;=34,"Young",Cleaned_Working_Sheet!$M4&lt;=54,"Middle-aged",Cleaned_Working_Sheet!$M4&gt;54,"Old")</f>
        <v>Old</v>
      </c>
      <c r="O4" s="18" t="s">
        <v>18</v>
      </c>
    </row>
    <row r="5" spans="1:15" x14ac:dyDescent="0.25">
      <c r="A5" s="14">
        <v>24381</v>
      </c>
      <c r="B5" s="18" t="s">
        <v>37</v>
      </c>
      <c r="C5" s="18" t="s">
        <v>39</v>
      </c>
      <c r="D5" s="6">
        <v>70000</v>
      </c>
      <c r="E5" s="18" t="str" cm="1">
        <f t="array" ref="E5">_xlfn.IFS(Cleaned_Working_Sheet!$D5&lt;=50000,"Low Income",Cleaned_Working_Sheet!$D5&lt;100000,"Middle Income",TRUE,"High Income")</f>
        <v>Middle Income</v>
      </c>
      <c r="F5" s="16">
        <v>0</v>
      </c>
      <c r="G5" s="18" t="s">
        <v>13</v>
      </c>
      <c r="H5" s="18" t="s">
        <v>21</v>
      </c>
      <c r="I5" s="18" t="s">
        <v>15</v>
      </c>
      <c r="J5" s="16">
        <v>1</v>
      </c>
      <c r="K5" s="18" t="s">
        <v>23</v>
      </c>
      <c r="L5" s="18" t="s">
        <v>24</v>
      </c>
      <c r="M5" s="14">
        <v>41</v>
      </c>
      <c r="N5" s="18" t="str" cm="1">
        <f t="array" ref="N5">_xlfn.IFS(Cleaned_Working_Sheet!$M5&lt;=34,"Young",Cleaned_Working_Sheet!$M5&lt;=54,"Middle-aged",Cleaned_Working_Sheet!$M5&gt;54,"Old")</f>
        <v>Middle-aged</v>
      </c>
      <c r="O5" s="18" t="s">
        <v>15</v>
      </c>
    </row>
    <row r="6" spans="1:15" x14ac:dyDescent="0.25">
      <c r="A6" s="14">
        <v>25597</v>
      </c>
      <c r="B6" s="18" t="s">
        <v>37</v>
      </c>
      <c r="C6" s="18" t="s">
        <v>39</v>
      </c>
      <c r="D6" s="6">
        <v>30000</v>
      </c>
      <c r="E6" s="18" t="str" cm="1">
        <f t="array" ref="E6">_xlfn.IFS(Cleaned_Working_Sheet!$D6&lt;=50000,"Low Income",Cleaned_Working_Sheet!$D6&lt;100000,"Middle Income",TRUE,"High Income")</f>
        <v>Low Income</v>
      </c>
      <c r="F6" s="16">
        <v>0</v>
      </c>
      <c r="G6" s="18" t="s">
        <v>13</v>
      </c>
      <c r="H6" s="18" t="s">
        <v>20</v>
      </c>
      <c r="I6" s="18" t="s">
        <v>18</v>
      </c>
      <c r="J6" s="16">
        <v>0</v>
      </c>
      <c r="K6" s="18" t="s">
        <v>16</v>
      </c>
      <c r="L6" s="18" t="s">
        <v>17</v>
      </c>
      <c r="M6" s="14">
        <v>36</v>
      </c>
      <c r="N6" s="18" t="str" cm="1">
        <f t="array" ref="N6">_xlfn.IFS(Cleaned_Working_Sheet!$M6&lt;=34,"Young",Cleaned_Working_Sheet!$M6&lt;=54,"Middle-aged",Cleaned_Working_Sheet!$M6&gt;54,"Old")</f>
        <v>Middle-aged</v>
      </c>
      <c r="O6" s="18" t="s">
        <v>15</v>
      </c>
    </row>
    <row r="7" spans="1:15" x14ac:dyDescent="0.25">
      <c r="A7" s="14">
        <v>13507</v>
      </c>
      <c r="B7" s="18" t="s">
        <v>36</v>
      </c>
      <c r="C7" s="18" t="s">
        <v>38</v>
      </c>
      <c r="D7" s="6">
        <v>10000</v>
      </c>
      <c r="E7" s="18" t="str" cm="1">
        <f t="array" ref="E7">_xlfn.IFS(Cleaned_Working_Sheet!$D7&lt;=50000,"Low Income",Cleaned_Working_Sheet!$D7&lt;100000,"Middle Income",TRUE,"High Income")</f>
        <v>Low Income</v>
      </c>
      <c r="F7" s="16">
        <v>2</v>
      </c>
      <c r="G7" s="18" t="s">
        <v>19</v>
      </c>
      <c r="H7" s="18" t="s">
        <v>25</v>
      </c>
      <c r="I7" s="18" t="s">
        <v>15</v>
      </c>
      <c r="J7" s="16">
        <v>0</v>
      </c>
      <c r="K7" s="18" t="s">
        <v>26</v>
      </c>
      <c r="L7" s="18" t="s">
        <v>17</v>
      </c>
      <c r="M7" s="14">
        <v>50</v>
      </c>
      <c r="N7" s="18" t="str" cm="1">
        <f t="array" ref="N7">_xlfn.IFS(Cleaned_Working_Sheet!$M7&lt;=34,"Young",Cleaned_Working_Sheet!$M7&lt;=54,"Middle-aged",Cleaned_Working_Sheet!$M7&gt;54,"Old")</f>
        <v>Middle-aged</v>
      </c>
      <c r="O7" s="18" t="s">
        <v>18</v>
      </c>
    </row>
    <row r="8" spans="1:15" x14ac:dyDescent="0.25">
      <c r="A8" s="14">
        <v>27974</v>
      </c>
      <c r="B8" s="18" t="s">
        <v>37</v>
      </c>
      <c r="C8" s="18" t="s">
        <v>39</v>
      </c>
      <c r="D8" s="6">
        <v>160000</v>
      </c>
      <c r="E8" s="18" t="str" cm="1">
        <f t="array" ref="E8">_xlfn.IFS(Cleaned_Working_Sheet!$D8&lt;=50000,"Low Income",Cleaned_Working_Sheet!$D8&lt;100000,"Middle Income",TRUE,"High Income")</f>
        <v>High Income</v>
      </c>
      <c r="F8" s="16">
        <v>2</v>
      </c>
      <c r="G8" s="18" t="s">
        <v>27</v>
      </c>
      <c r="H8" s="18" t="s">
        <v>28</v>
      </c>
      <c r="I8" s="18" t="s">
        <v>15</v>
      </c>
      <c r="J8" s="16">
        <v>4</v>
      </c>
      <c r="K8" s="18" t="s">
        <v>16</v>
      </c>
      <c r="L8" s="18" t="s">
        <v>24</v>
      </c>
      <c r="M8" s="14">
        <v>33</v>
      </c>
      <c r="N8" s="18" t="str" cm="1">
        <f t="array" ref="N8">_xlfn.IFS(Cleaned_Working_Sheet!$M8&lt;=34,"Young",Cleaned_Working_Sheet!$M8&lt;=54,"Middle-aged",Cleaned_Working_Sheet!$M8&gt;54,"Old")</f>
        <v>Young</v>
      </c>
      <c r="O8" s="18" t="s">
        <v>15</v>
      </c>
    </row>
    <row r="9" spans="1:15" x14ac:dyDescent="0.25">
      <c r="A9" s="14">
        <v>19364</v>
      </c>
      <c r="B9" s="18" t="s">
        <v>36</v>
      </c>
      <c r="C9" s="18" t="s">
        <v>39</v>
      </c>
      <c r="D9" s="6">
        <v>40000</v>
      </c>
      <c r="E9" s="18" t="str" cm="1">
        <f t="array" ref="E9">_xlfn.IFS(Cleaned_Working_Sheet!$D9&lt;=50000,"Low Income",Cleaned_Working_Sheet!$D9&lt;100000,"Middle Income",TRUE,"High Income")</f>
        <v>Low Income</v>
      </c>
      <c r="F9" s="16">
        <v>1</v>
      </c>
      <c r="G9" s="18" t="s">
        <v>13</v>
      </c>
      <c r="H9" s="18" t="s">
        <v>14</v>
      </c>
      <c r="I9" s="18" t="s">
        <v>15</v>
      </c>
      <c r="J9" s="16">
        <v>0</v>
      </c>
      <c r="K9" s="18" t="s">
        <v>16</v>
      </c>
      <c r="L9" s="18" t="s">
        <v>17</v>
      </c>
      <c r="M9" s="14">
        <v>43</v>
      </c>
      <c r="N9" s="18" t="str" cm="1">
        <f t="array" ref="N9">_xlfn.IFS(Cleaned_Working_Sheet!$M9&lt;=34,"Young",Cleaned_Working_Sheet!$M9&lt;=54,"Middle-aged",Cleaned_Working_Sheet!$M9&gt;54,"Old")</f>
        <v>Middle-aged</v>
      </c>
      <c r="O9" s="18" t="s">
        <v>15</v>
      </c>
    </row>
    <row r="10" spans="1:15" x14ac:dyDescent="0.25">
      <c r="A10" s="14">
        <v>22155</v>
      </c>
      <c r="B10" s="18" t="s">
        <v>36</v>
      </c>
      <c r="C10" s="18" t="s">
        <v>39</v>
      </c>
      <c r="D10" s="6">
        <v>20000</v>
      </c>
      <c r="E10" s="18" t="str" cm="1">
        <f t="array" ref="E10">_xlfn.IFS(Cleaned_Working_Sheet!$D10&lt;=50000,"Low Income",Cleaned_Working_Sheet!$D10&lt;100000,"Middle Income",TRUE,"High Income")</f>
        <v>Low Income</v>
      </c>
      <c r="F10" s="16">
        <v>2</v>
      </c>
      <c r="G10" s="18" t="s">
        <v>29</v>
      </c>
      <c r="H10" s="18" t="s">
        <v>20</v>
      </c>
      <c r="I10" s="18" t="s">
        <v>15</v>
      </c>
      <c r="J10" s="16">
        <v>2</v>
      </c>
      <c r="K10" s="18" t="s">
        <v>23</v>
      </c>
      <c r="L10" s="18" t="s">
        <v>24</v>
      </c>
      <c r="M10" s="14">
        <v>58</v>
      </c>
      <c r="N10" s="18" t="str" cm="1">
        <f t="array" ref="N10">_xlfn.IFS(Cleaned_Working_Sheet!$M10&lt;=34,"Young",Cleaned_Working_Sheet!$M10&lt;=54,"Middle-aged",Cleaned_Working_Sheet!$M10&gt;54,"Old")</f>
        <v>Old</v>
      </c>
      <c r="O10" s="18" t="s">
        <v>18</v>
      </c>
    </row>
    <row r="11" spans="1:15" x14ac:dyDescent="0.25">
      <c r="A11" s="14">
        <v>19280</v>
      </c>
      <c r="B11" s="18" t="s">
        <v>36</v>
      </c>
      <c r="C11" s="18" t="s">
        <v>39</v>
      </c>
      <c r="D11" s="6">
        <v>120000</v>
      </c>
      <c r="E11" s="18" t="str" cm="1">
        <f t="array" ref="E11">_xlfn.IFS(Cleaned_Working_Sheet!$D11&lt;=50000,"Low Income",Cleaned_Working_Sheet!$D11&lt;100000,"Middle Income",TRUE,"High Income")</f>
        <v>High Income</v>
      </c>
      <c r="F11" s="16">
        <v>2</v>
      </c>
      <c r="G11" s="18" t="s">
        <v>19</v>
      </c>
      <c r="H11" s="18" t="s">
        <v>25</v>
      </c>
      <c r="I11" s="18" t="s">
        <v>15</v>
      </c>
      <c r="J11" s="16">
        <v>1</v>
      </c>
      <c r="K11" s="18" t="s">
        <v>16</v>
      </c>
      <c r="L11" s="18" t="s">
        <v>17</v>
      </c>
      <c r="M11" s="14">
        <v>40</v>
      </c>
      <c r="N11" s="18" t="str" cm="1">
        <f t="array" ref="N11">_xlfn.IFS(Cleaned_Working_Sheet!$M11&lt;=34,"Young",Cleaned_Working_Sheet!$M11&lt;=54,"Middle-aged",Cleaned_Working_Sheet!$M11&gt;54,"Old")</f>
        <v>Middle-aged</v>
      </c>
      <c r="O11" s="18" t="s">
        <v>15</v>
      </c>
    </row>
    <row r="12" spans="1:15" x14ac:dyDescent="0.25">
      <c r="A12" s="14">
        <v>22173</v>
      </c>
      <c r="B12" s="18" t="s">
        <v>36</v>
      </c>
      <c r="C12" s="18" t="s">
        <v>38</v>
      </c>
      <c r="D12" s="6">
        <v>30000</v>
      </c>
      <c r="E12" s="18" t="str" cm="1">
        <f t="array" ref="E12">_xlfn.IFS(Cleaned_Working_Sheet!$D12&lt;=50000,"Low Income",Cleaned_Working_Sheet!$D12&lt;100000,"Middle Income",TRUE,"High Income")</f>
        <v>Low Income</v>
      </c>
      <c r="F12" s="16">
        <v>3</v>
      </c>
      <c r="G12" s="18" t="s">
        <v>27</v>
      </c>
      <c r="H12" s="18" t="s">
        <v>14</v>
      </c>
      <c r="I12" s="18" t="s">
        <v>18</v>
      </c>
      <c r="J12" s="16">
        <v>2</v>
      </c>
      <c r="K12" s="18" t="s">
        <v>26</v>
      </c>
      <c r="L12" s="18" t="s">
        <v>24</v>
      </c>
      <c r="M12" s="14">
        <v>54</v>
      </c>
      <c r="N12" s="18" t="str" cm="1">
        <f t="array" ref="N12">_xlfn.IFS(Cleaned_Working_Sheet!$M12&lt;=34,"Young",Cleaned_Working_Sheet!$M12&lt;=54,"Middle-aged",Cleaned_Working_Sheet!$M12&gt;54,"Old")</f>
        <v>Middle-aged</v>
      </c>
      <c r="O12" s="18" t="s">
        <v>15</v>
      </c>
    </row>
    <row r="13" spans="1:15" x14ac:dyDescent="0.25">
      <c r="A13" s="14">
        <v>12697</v>
      </c>
      <c r="B13" s="18" t="s">
        <v>37</v>
      </c>
      <c r="C13" s="18" t="s">
        <v>38</v>
      </c>
      <c r="D13" s="6">
        <v>90000</v>
      </c>
      <c r="E13" s="18" t="str" cm="1">
        <f t="array" ref="E13">_xlfn.IFS(Cleaned_Working_Sheet!$D13&lt;=50000,"Low Income",Cleaned_Working_Sheet!$D13&lt;100000,"Middle Income",TRUE,"High Income")</f>
        <v>Middle Income</v>
      </c>
      <c r="F13" s="16">
        <v>0</v>
      </c>
      <c r="G13" s="18" t="s">
        <v>13</v>
      </c>
      <c r="H13" s="18" t="s">
        <v>21</v>
      </c>
      <c r="I13" s="18" t="s">
        <v>18</v>
      </c>
      <c r="J13" s="16">
        <v>4</v>
      </c>
      <c r="K13" s="18" t="s">
        <v>43</v>
      </c>
      <c r="L13" s="18" t="s">
        <v>24</v>
      </c>
      <c r="M13" s="14">
        <v>36</v>
      </c>
      <c r="N13" s="18" t="str" cm="1">
        <f t="array" ref="N13">_xlfn.IFS(Cleaned_Working_Sheet!$M13&lt;=34,"Young",Cleaned_Working_Sheet!$M13&lt;=54,"Middle-aged",Cleaned_Working_Sheet!$M13&gt;54,"Old")</f>
        <v>Middle-aged</v>
      </c>
      <c r="O13" s="18" t="s">
        <v>18</v>
      </c>
    </row>
    <row r="14" spans="1:15" x14ac:dyDescent="0.25">
      <c r="A14" s="14">
        <v>11434</v>
      </c>
      <c r="B14" s="18" t="s">
        <v>36</v>
      </c>
      <c r="C14" s="18" t="s">
        <v>39</v>
      </c>
      <c r="D14" s="6">
        <v>170000</v>
      </c>
      <c r="E14" s="18" t="str" cm="1">
        <f t="array" ref="E14">_xlfn.IFS(Cleaned_Working_Sheet!$D14&lt;=50000,"Low Income",Cleaned_Working_Sheet!$D14&lt;100000,"Middle Income",TRUE,"High Income")</f>
        <v>High Income</v>
      </c>
      <c r="F14" s="16">
        <v>5</v>
      </c>
      <c r="G14" s="18" t="s">
        <v>19</v>
      </c>
      <c r="H14" s="18" t="s">
        <v>21</v>
      </c>
      <c r="I14" s="18" t="s">
        <v>15</v>
      </c>
      <c r="J14" s="16">
        <v>0</v>
      </c>
      <c r="K14" s="18" t="s">
        <v>16</v>
      </c>
      <c r="L14" s="18" t="s">
        <v>17</v>
      </c>
      <c r="M14" s="14">
        <v>55</v>
      </c>
      <c r="N14" s="18" t="str" cm="1">
        <f t="array" ref="N14">_xlfn.IFS(Cleaned_Working_Sheet!$M14&lt;=34,"Young",Cleaned_Working_Sheet!$M14&lt;=54,"Middle-aged",Cleaned_Working_Sheet!$M14&gt;54,"Old")</f>
        <v>Old</v>
      </c>
      <c r="O14" s="18" t="s">
        <v>18</v>
      </c>
    </row>
    <row r="15" spans="1:15" x14ac:dyDescent="0.25">
      <c r="A15" s="14">
        <v>25323</v>
      </c>
      <c r="B15" s="18" t="s">
        <v>36</v>
      </c>
      <c r="C15" s="18" t="s">
        <v>39</v>
      </c>
      <c r="D15" s="6">
        <v>40000</v>
      </c>
      <c r="E15" s="18" t="str" cm="1">
        <f t="array" ref="E15">_xlfn.IFS(Cleaned_Working_Sheet!$D15&lt;=50000,"Low Income",Cleaned_Working_Sheet!$D15&lt;100000,"Middle Income",TRUE,"High Income")</f>
        <v>Low Income</v>
      </c>
      <c r="F15" s="16">
        <v>2</v>
      </c>
      <c r="G15" s="18" t="s">
        <v>19</v>
      </c>
      <c r="H15" s="18" t="s">
        <v>20</v>
      </c>
      <c r="I15" s="18" t="s">
        <v>15</v>
      </c>
      <c r="J15" s="16">
        <v>1</v>
      </c>
      <c r="K15" s="18" t="s">
        <v>26</v>
      </c>
      <c r="L15" s="18" t="s">
        <v>17</v>
      </c>
      <c r="M15" s="14">
        <v>35</v>
      </c>
      <c r="N15" s="18" t="str" cm="1">
        <f t="array" ref="N15">_xlfn.IFS(Cleaned_Working_Sheet!$M15&lt;=34,"Young",Cleaned_Working_Sheet!$M15&lt;=54,"Middle-aged",Cleaned_Working_Sheet!$M15&gt;54,"Old")</f>
        <v>Middle-aged</v>
      </c>
      <c r="O15" s="18" t="s">
        <v>15</v>
      </c>
    </row>
    <row r="16" spans="1:15" x14ac:dyDescent="0.25">
      <c r="A16" s="14">
        <v>23542</v>
      </c>
      <c r="B16" s="18" t="s">
        <v>37</v>
      </c>
      <c r="C16" s="18" t="s">
        <v>39</v>
      </c>
      <c r="D16" s="6">
        <v>60000</v>
      </c>
      <c r="E16" s="18" t="str" cm="1">
        <f t="array" ref="E16">_xlfn.IFS(Cleaned_Working_Sheet!$D16&lt;=50000,"Low Income",Cleaned_Working_Sheet!$D16&lt;100000,"Middle Income",TRUE,"High Income")</f>
        <v>Middle Income</v>
      </c>
      <c r="F16" s="16">
        <v>1</v>
      </c>
      <c r="G16" s="18" t="s">
        <v>19</v>
      </c>
      <c r="H16" s="18" t="s">
        <v>14</v>
      </c>
      <c r="I16" s="18" t="s">
        <v>18</v>
      </c>
      <c r="J16" s="16">
        <v>1</v>
      </c>
      <c r="K16" s="18" t="s">
        <v>16</v>
      </c>
      <c r="L16" s="18" t="s">
        <v>24</v>
      </c>
      <c r="M16" s="14">
        <v>45</v>
      </c>
      <c r="N16" s="18" t="str" cm="1">
        <f t="array" ref="N16">_xlfn.IFS(Cleaned_Working_Sheet!$M16&lt;=34,"Young",Cleaned_Working_Sheet!$M16&lt;=54,"Middle-aged",Cleaned_Working_Sheet!$M16&gt;54,"Old")</f>
        <v>Middle-aged</v>
      </c>
      <c r="O16" s="18" t="s">
        <v>15</v>
      </c>
    </row>
    <row r="17" spans="1:15" x14ac:dyDescent="0.25">
      <c r="A17" s="14">
        <v>20870</v>
      </c>
      <c r="B17" s="18" t="s">
        <v>37</v>
      </c>
      <c r="C17" s="18" t="s">
        <v>38</v>
      </c>
      <c r="D17" s="6">
        <v>10000</v>
      </c>
      <c r="E17" s="18" t="str" cm="1">
        <f t="array" ref="E17">_xlfn.IFS(Cleaned_Working_Sheet!$D17&lt;=50000,"Low Income",Cleaned_Working_Sheet!$D17&lt;100000,"Middle Income",TRUE,"High Income")</f>
        <v>Low Income</v>
      </c>
      <c r="F17" s="16">
        <v>2</v>
      </c>
      <c r="G17" s="18" t="s">
        <v>27</v>
      </c>
      <c r="H17" s="18" t="s">
        <v>25</v>
      </c>
      <c r="I17" s="18" t="s">
        <v>15</v>
      </c>
      <c r="J17" s="16">
        <v>1</v>
      </c>
      <c r="K17" s="18" t="s">
        <v>16</v>
      </c>
      <c r="L17" s="18" t="s">
        <v>17</v>
      </c>
      <c r="M17" s="14">
        <v>38</v>
      </c>
      <c r="N17" s="18" t="str" cm="1">
        <f t="array" ref="N17">_xlfn.IFS(Cleaned_Working_Sheet!$M17&lt;=34,"Young",Cleaned_Working_Sheet!$M17&lt;=54,"Middle-aged",Cleaned_Working_Sheet!$M17&gt;54,"Old")</f>
        <v>Middle-aged</v>
      </c>
      <c r="O17" s="18" t="s">
        <v>15</v>
      </c>
    </row>
    <row r="18" spans="1:15" x14ac:dyDescent="0.25">
      <c r="A18" s="14">
        <v>23316</v>
      </c>
      <c r="B18" s="18" t="s">
        <v>37</v>
      </c>
      <c r="C18" s="18" t="s">
        <v>39</v>
      </c>
      <c r="D18" s="6">
        <v>30000</v>
      </c>
      <c r="E18" s="18" t="str" cm="1">
        <f t="array" ref="E18">_xlfn.IFS(Cleaned_Working_Sheet!$D18&lt;=50000,"Low Income",Cleaned_Working_Sheet!$D18&lt;100000,"Middle Income",TRUE,"High Income")</f>
        <v>Low Income</v>
      </c>
      <c r="F18" s="16">
        <v>3</v>
      </c>
      <c r="G18" s="18" t="s">
        <v>19</v>
      </c>
      <c r="H18" s="18" t="s">
        <v>20</v>
      </c>
      <c r="I18" s="18" t="s">
        <v>18</v>
      </c>
      <c r="J18" s="16">
        <v>2</v>
      </c>
      <c r="K18" s="18" t="s">
        <v>26</v>
      </c>
      <c r="L18" s="18" t="s">
        <v>24</v>
      </c>
      <c r="M18" s="14">
        <v>59</v>
      </c>
      <c r="N18" s="18" t="str" cm="1">
        <f t="array" ref="N18">_xlfn.IFS(Cleaned_Working_Sheet!$M18&lt;=34,"Young",Cleaned_Working_Sheet!$M18&lt;=54,"Middle-aged",Cleaned_Working_Sheet!$M18&gt;54,"Old")</f>
        <v>Old</v>
      </c>
      <c r="O18" s="18" t="s">
        <v>15</v>
      </c>
    </row>
    <row r="19" spans="1:15" x14ac:dyDescent="0.25">
      <c r="A19" s="14">
        <v>12610</v>
      </c>
      <c r="B19" s="18" t="s">
        <v>36</v>
      </c>
      <c r="C19" s="18" t="s">
        <v>38</v>
      </c>
      <c r="D19" s="6">
        <v>30000</v>
      </c>
      <c r="E19" s="18" t="str" cm="1">
        <f t="array" ref="E19">_xlfn.IFS(Cleaned_Working_Sheet!$D19&lt;=50000,"Low Income",Cleaned_Working_Sheet!$D19&lt;100000,"Middle Income",TRUE,"High Income")</f>
        <v>Low Income</v>
      </c>
      <c r="F19" s="16">
        <v>1</v>
      </c>
      <c r="G19" s="18" t="s">
        <v>13</v>
      </c>
      <c r="H19" s="18" t="s">
        <v>20</v>
      </c>
      <c r="I19" s="18" t="s">
        <v>15</v>
      </c>
      <c r="J19" s="16">
        <v>0</v>
      </c>
      <c r="K19" s="18" t="s">
        <v>16</v>
      </c>
      <c r="L19" s="18" t="s">
        <v>17</v>
      </c>
      <c r="M19" s="14">
        <v>47</v>
      </c>
      <c r="N19" s="18" t="str" cm="1">
        <f t="array" ref="N19">_xlfn.IFS(Cleaned_Working_Sheet!$M19&lt;=34,"Young",Cleaned_Working_Sheet!$M19&lt;=54,"Middle-aged",Cleaned_Working_Sheet!$M19&gt;54,"Old")</f>
        <v>Middle-aged</v>
      </c>
      <c r="O19" s="18" t="s">
        <v>18</v>
      </c>
    </row>
    <row r="20" spans="1:15" x14ac:dyDescent="0.25">
      <c r="A20" s="14">
        <v>27183</v>
      </c>
      <c r="B20" s="18" t="s">
        <v>37</v>
      </c>
      <c r="C20" s="18" t="s">
        <v>39</v>
      </c>
      <c r="D20" s="6">
        <v>40000</v>
      </c>
      <c r="E20" s="18" t="str" cm="1">
        <f t="array" ref="E20">_xlfn.IFS(Cleaned_Working_Sheet!$D20&lt;=50000,"Low Income",Cleaned_Working_Sheet!$D20&lt;100000,"Middle Income",TRUE,"High Income")</f>
        <v>Low Income</v>
      </c>
      <c r="F20" s="16">
        <v>2</v>
      </c>
      <c r="G20" s="18" t="s">
        <v>19</v>
      </c>
      <c r="H20" s="18" t="s">
        <v>20</v>
      </c>
      <c r="I20" s="18" t="s">
        <v>15</v>
      </c>
      <c r="J20" s="16">
        <v>1</v>
      </c>
      <c r="K20" s="18" t="s">
        <v>26</v>
      </c>
      <c r="L20" s="18" t="s">
        <v>17</v>
      </c>
      <c r="M20" s="14">
        <v>35</v>
      </c>
      <c r="N20" s="18" t="str" cm="1">
        <f t="array" ref="N20">_xlfn.IFS(Cleaned_Working_Sheet!$M20&lt;=34,"Young",Cleaned_Working_Sheet!$M20&lt;=54,"Middle-aged",Cleaned_Working_Sheet!$M20&gt;54,"Old")</f>
        <v>Middle-aged</v>
      </c>
      <c r="O20" s="18" t="s">
        <v>15</v>
      </c>
    </row>
    <row r="21" spans="1:15" x14ac:dyDescent="0.25">
      <c r="A21" s="14">
        <v>25940</v>
      </c>
      <c r="B21" s="18" t="s">
        <v>37</v>
      </c>
      <c r="C21" s="18" t="s">
        <v>39</v>
      </c>
      <c r="D21" s="6">
        <v>20000</v>
      </c>
      <c r="E21" s="18" t="str" cm="1">
        <f t="array" ref="E21">_xlfn.IFS(Cleaned_Working_Sheet!$D21&lt;=50000,"Low Income",Cleaned_Working_Sheet!$D21&lt;100000,"Middle Income",TRUE,"High Income")</f>
        <v>Low Income</v>
      </c>
      <c r="F21" s="16">
        <v>2</v>
      </c>
      <c r="G21" s="18" t="s">
        <v>29</v>
      </c>
      <c r="H21" s="18" t="s">
        <v>20</v>
      </c>
      <c r="I21" s="18" t="s">
        <v>15</v>
      </c>
      <c r="J21" s="16">
        <v>2</v>
      </c>
      <c r="K21" s="18" t="s">
        <v>23</v>
      </c>
      <c r="L21" s="18" t="s">
        <v>24</v>
      </c>
      <c r="M21" s="14">
        <v>55</v>
      </c>
      <c r="N21" s="18" t="str" cm="1">
        <f t="array" ref="N21">_xlfn.IFS(Cleaned_Working_Sheet!$M21&lt;=34,"Young",Cleaned_Working_Sheet!$M21&lt;=54,"Middle-aged",Cleaned_Working_Sheet!$M21&gt;54,"Old")</f>
        <v>Old</v>
      </c>
      <c r="O21" s="18" t="s">
        <v>15</v>
      </c>
    </row>
    <row r="22" spans="1:15" x14ac:dyDescent="0.25">
      <c r="A22" s="14">
        <v>25598</v>
      </c>
      <c r="B22" s="18" t="s">
        <v>36</v>
      </c>
      <c r="C22" s="18" t="s">
        <v>38</v>
      </c>
      <c r="D22" s="6">
        <v>40000</v>
      </c>
      <c r="E22" s="18" t="str" cm="1">
        <f t="array" ref="E22">_xlfn.IFS(Cleaned_Working_Sheet!$D22&lt;=50000,"Low Income",Cleaned_Working_Sheet!$D22&lt;100000,"Middle Income",TRUE,"High Income")</f>
        <v>Low Income</v>
      </c>
      <c r="F22" s="16">
        <v>0</v>
      </c>
      <c r="G22" s="18" t="s">
        <v>31</v>
      </c>
      <c r="H22" s="18" t="s">
        <v>20</v>
      </c>
      <c r="I22" s="18" t="s">
        <v>15</v>
      </c>
      <c r="J22" s="16">
        <v>0</v>
      </c>
      <c r="K22" s="18" t="s">
        <v>16</v>
      </c>
      <c r="L22" s="18" t="s">
        <v>17</v>
      </c>
      <c r="M22" s="14">
        <v>36</v>
      </c>
      <c r="N22" s="18" t="str" cm="1">
        <f t="array" ref="N22">_xlfn.IFS(Cleaned_Working_Sheet!$M22&lt;=34,"Young",Cleaned_Working_Sheet!$M22&lt;=54,"Middle-aged",Cleaned_Working_Sheet!$M22&gt;54,"Old")</f>
        <v>Middle-aged</v>
      </c>
      <c r="O22" s="18" t="s">
        <v>15</v>
      </c>
    </row>
    <row r="23" spans="1:15" x14ac:dyDescent="0.25">
      <c r="A23" s="14">
        <v>21564</v>
      </c>
      <c r="B23" s="18" t="s">
        <v>37</v>
      </c>
      <c r="C23" s="18" t="s">
        <v>38</v>
      </c>
      <c r="D23" s="6">
        <v>80000</v>
      </c>
      <c r="E23" s="18" t="str" cm="1">
        <f t="array" ref="E23">_xlfn.IFS(Cleaned_Working_Sheet!$D23&lt;=50000,"Low Income",Cleaned_Working_Sheet!$D23&lt;100000,"Middle Income",TRUE,"High Income")</f>
        <v>Middle Income</v>
      </c>
      <c r="F23" s="16">
        <v>0</v>
      </c>
      <c r="G23" s="18" t="s">
        <v>13</v>
      </c>
      <c r="H23" s="18" t="s">
        <v>21</v>
      </c>
      <c r="I23" s="18" t="s">
        <v>15</v>
      </c>
      <c r="J23" s="16">
        <v>4</v>
      </c>
      <c r="K23" s="18" t="s">
        <v>43</v>
      </c>
      <c r="L23" s="18" t="s">
        <v>24</v>
      </c>
      <c r="M23" s="14">
        <v>35</v>
      </c>
      <c r="N23" s="18" t="str" cm="1">
        <f t="array" ref="N23">_xlfn.IFS(Cleaned_Working_Sheet!$M23&lt;=34,"Young",Cleaned_Working_Sheet!$M23&lt;=54,"Middle-aged",Cleaned_Working_Sheet!$M23&gt;54,"Old")</f>
        <v>Middle-aged</v>
      </c>
      <c r="O23" s="18" t="s">
        <v>18</v>
      </c>
    </row>
    <row r="24" spans="1:15" x14ac:dyDescent="0.25">
      <c r="A24" s="14">
        <v>19193</v>
      </c>
      <c r="B24" s="18" t="s">
        <v>37</v>
      </c>
      <c r="C24" s="18" t="s">
        <v>39</v>
      </c>
      <c r="D24" s="6">
        <v>40000</v>
      </c>
      <c r="E24" s="18" t="str" cm="1">
        <f t="array" ref="E24">_xlfn.IFS(Cleaned_Working_Sheet!$D24&lt;=50000,"Low Income",Cleaned_Working_Sheet!$D24&lt;100000,"Middle Income",TRUE,"High Income")</f>
        <v>Low Income</v>
      </c>
      <c r="F24" s="16">
        <v>2</v>
      </c>
      <c r="G24" s="18" t="s">
        <v>19</v>
      </c>
      <c r="H24" s="18" t="s">
        <v>20</v>
      </c>
      <c r="I24" s="18" t="s">
        <v>15</v>
      </c>
      <c r="J24" s="16">
        <v>0</v>
      </c>
      <c r="K24" s="18" t="s">
        <v>26</v>
      </c>
      <c r="L24" s="18" t="s">
        <v>17</v>
      </c>
      <c r="M24" s="14">
        <v>35</v>
      </c>
      <c r="N24" s="18" t="str" cm="1">
        <f t="array" ref="N24">_xlfn.IFS(Cleaned_Working_Sheet!$M24&lt;=34,"Young",Cleaned_Working_Sheet!$M24&lt;=54,"Middle-aged",Cleaned_Working_Sheet!$M24&gt;54,"Old")</f>
        <v>Middle-aged</v>
      </c>
      <c r="O24" s="18" t="s">
        <v>15</v>
      </c>
    </row>
    <row r="25" spans="1:15" x14ac:dyDescent="0.25">
      <c r="A25" s="14">
        <v>26412</v>
      </c>
      <c r="B25" s="18" t="s">
        <v>36</v>
      </c>
      <c r="C25" s="18" t="s">
        <v>38</v>
      </c>
      <c r="D25" s="6">
        <v>80000</v>
      </c>
      <c r="E25" s="18" t="str" cm="1">
        <f t="array" ref="E25">_xlfn.IFS(Cleaned_Working_Sheet!$D25&lt;=50000,"Low Income",Cleaned_Working_Sheet!$D25&lt;100000,"Middle Income",TRUE,"High Income")</f>
        <v>Middle Income</v>
      </c>
      <c r="F25" s="16">
        <v>5</v>
      </c>
      <c r="G25" s="18" t="s">
        <v>27</v>
      </c>
      <c r="H25" s="18" t="s">
        <v>28</v>
      </c>
      <c r="I25" s="18" t="s">
        <v>18</v>
      </c>
      <c r="J25" s="16">
        <v>3</v>
      </c>
      <c r="K25" s="18" t="s">
        <v>23</v>
      </c>
      <c r="L25" s="18" t="s">
        <v>17</v>
      </c>
      <c r="M25" s="14">
        <v>56</v>
      </c>
      <c r="N25" s="18" t="str" cm="1">
        <f t="array" ref="N25">_xlfn.IFS(Cleaned_Working_Sheet!$M25&lt;=34,"Young",Cleaned_Working_Sheet!$M25&lt;=54,"Middle-aged",Cleaned_Working_Sheet!$M25&gt;54,"Old")</f>
        <v>Old</v>
      </c>
      <c r="O25" s="18" t="s">
        <v>18</v>
      </c>
    </row>
    <row r="26" spans="1:15" x14ac:dyDescent="0.25">
      <c r="A26" s="14">
        <v>27184</v>
      </c>
      <c r="B26" s="18" t="s">
        <v>37</v>
      </c>
      <c r="C26" s="18" t="s">
        <v>39</v>
      </c>
      <c r="D26" s="6">
        <v>40000</v>
      </c>
      <c r="E26" s="18" t="str" cm="1">
        <f t="array" ref="E26">_xlfn.IFS(Cleaned_Working_Sheet!$D26&lt;=50000,"Low Income",Cleaned_Working_Sheet!$D26&lt;100000,"Middle Income",TRUE,"High Income")</f>
        <v>Low Income</v>
      </c>
      <c r="F26" s="16">
        <v>2</v>
      </c>
      <c r="G26" s="18" t="s">
        <v>19</v>
      </c>
      <c r="H26" s="18" t="s">
        <v>20</v>
      </c>
      <c r="I26" s="18" t="s">
        <v>18</v>
      </c>
      <c r="J26" s="16">
        <v>1</v>
      </c>
      <c r="K26" s="18" t="s">
        <v>16</v>
      </c>
      <c r="L26" s="18" t="s">
        <v>17</v>
      </c>
      <c r="M26" s="14">
        <v>34</v>
      </c>
      <c r="N26" s="18" t="str" cm="1">
        <f t="array" ref="N26">_xlfn.IFS(Cleaned_Working_Sheet!$M26&lt;=34,"Young",Cleaned_Working_Sheet!$M26&lt;=54,"Middle-aged",Cleaned_Working_Sheet!$M26&gt;54,"Old")</f>
        <v>Young</v>
      </c>
      <c r="O26" s="18" t="s">
        <v>18</v>
      </c>
    </row>
    <row r="27" spans="1:15" x14ac:dyDescent="0.25">
      <c r="A27" s="14">
        <v>12590</v>
      </c>
      <c r="B27" s="18" t="s">
        <v>37</v>
      </c>
      <c r="C27" s="18" t="s">
        <v>39</v>
      </c>
      <c r="D27" s="6">
        <v>30000</v>
      </c>
      <c r="E27" s="18" t="str" cm="1">
        <f t="array" ref="E27">_xlfn.IFS(Cleaned_Working_Sheet!$D27&lt;=50000,"Low Income",Cleaned_Working_Sheet!$D27&lt;100000,"Middle Income",TRUE,"High Income")</f>
        <v>Low Income</v>
      </c>
      <c r="F27" s="16">
        <v>1</v>
      </c>
      <c r="G27" s="18" t="s">
        <v>13</v>
      </c>
      <c r="H27" s="18" t="s">
        <v>20</v>
      </c>
      <c r="I27" s="18" t="s">
        <v>15</v>
      </c>
      <c r="J27" s="16">
        <v>0</v>
      </c>
      <c r="K27" s="18" t="s">
        <v>16</v>
      </c>
      <c r="L27" s="18" t="s">
        <v>17</v>
      </c>
      <c r="M27" s="14">
        <v>63</v>
      </c>
      <c r="N27" s="18" t="str" cm="1">
        <f t="array" ref="N27">_xlfn.IFS(Cleaned_Working_Sheet!$M27&lt;=34,"Young",Cleaned_Working_Sheet!$M27&lt;=54,"Middle-aged",Cleaned_Working_Sheet!$M27&gt;54,"Old")</f>
        <v>Old</v>
      </c>
      <c r="O27" s="18" t="s">
        <v>18</v>
      </c>
    </row>
    <row r="28" spans="1:15" x14ac:dyDescent="0.25">
      <c r="A28" s="14">
        <v>17841</v>
      </c>
      <c r="B28" s="18" t="s">
        <v>37</v>
      </c>
      <c r="C28" s="18" t="s">
        <v>39</v>
      </c>
      <c r="D28" s="6">
        <v>30000</v>
      </c>
      <c r="E28" s="18" t="str" cm="1">
        <f t="array" ref="E28">_xlfn.IFS(Cleaned_Working_Sheet!$D28&lt;=50000,"Low Income",Cleaned_Working_Sheet!$D28&lt;100000,"Middle Income",TRUE,"High Income")</f>
        <v>Low Income</v>
      </c>
      <c r="F28" s="16">
        <v>0</v>
      </c>
      <c r="G28" s="18" t="s">
        <v>19</v>
      </c>
      <c r="H28" s="18" t="s">
        <v>20</v>
      </c>
      <c r="I28" s="18" t="s">
        <v>18</v>
      </c>
      <c r="J28" s="16">
        <v>1</v>
      </c>
      <c r="K28" s="18" t="s">
        <v>16</v>
      </c>
      <c r="L28" s="18" t="s">
        <v>17</v>
      </c>
      <c r="M28" s="14">
        <v>29</v>
      </c>
      <c r="N28" s="18" t="str" cm="1">
        <f t="array" ref="N28">_xlfn.IFS(Cleaned_Working_Sheet!$M28&lt;=34,"Young",Cleaned_Working_Sheet!$M28&lt;=54,"Middle-aged",Cleaned_Working_Sheet!$M28&gt;54,"Old")</f>
        <v>Young</v>
      </c>
      <c r="O28" s="18" t="s">
        <v>15</v>
      </c>
    </row>
    <row r="29" spans="1:15" x14ac:dyDescent="0.25">
      <c r="A29" s="14">
        <v>18283</v>
      </c>
      <c r="B29" s="18" t="s">
        <v>37</v>
      </c>
      <c r="C29" s="18" t="s">
        <v>38</v>
      </c>
      <c r="D29" s="6">
        <v>100000</v>
      </c>
      <c r="E29" s="18" t="str" cm="1">
        <f t="array" ref="E29">_xlfn.IFS(Cleaned_Working_Sheet!$D29&lt;=50000,"Low Income",Cleaned_Working_Sheet!$D29&lt;100000,"Middle Income",TRUE,"High Income")</f>
        <v>High Income</v>
      </c>
      <c r="F29" s="16">
        <v>0</v>
      </c>
      <c r="G29" s="18" t="s">
        <v>13</v>
      </c>
      <c r="H29" s="18" t="s">
        <v>21</v>
      </c>
      <c r="I29" s="18" t="s">
        <v>18</v>
      </c>
      <c r="J29" s="16">
        <v>1</v>
      </c>
      <c r="K29" s="18" t="s">
        <v>23</v>
      </c>
      <c r="L29" s="18" t="s">
        <v>24</v>
      </c>
      <c r="M29" s="14">
        <v>40</v>
      </c>
      <c r="N29" s="18" t="str" cm="1">
        <f t="array" ref="N29">_xlfn.IFS(Cleaned_Working_Sheet!$M29&lt;=34,"Young",Cleaned_Working_Sheet!$M29&lt;=54,"Middle-aged",Cleaned_Working_Sheet!$M29&gt;54,"Old")</f>
        <v>Middle-aged</v>
      </c>
      <c r="O29" s="18" t="s">
        <v>18</v>
      </c>
    </row>
    <row r="30" spans="1:15" x14ac:dyDescent="0.25">
      <c r="A30" s="14">
        <v>18299</v>
      </c>
      <c r="B30" s="18" t="s">
        <v>36</v>
      </c>
      <c r="C30" s="18" t="s">
        <v>39</v>
      </c>
      <c r="D30" s="6">
        <v>70000</v>
      </c>
      <c r="E30" s="18" t="str" cm="1">
        <f t="array" ref="E30">_xlfn.IFS(Cleaned_Working_Sheet!$D30&lt;=50000,"Low Income",Cleaned_Working_Sheet!$D30&lt;100000,"Middle Income",TRUE,"High Income")</f>
        <v>Middle Income</v>
      </c>
      <c r="F30" s="16">
        <v>5</v>
      </c>
      <c r="G30" s="18" t="s">
        <v>19</v>
      </c>
      <c r="H30" s="18" t="s">
        <v>14</v>
      </c>
      <c r="I30" s="18" t="s">
        <v>15</v>
      </c>
      <c r="J30" s="16">
        <v>2</v>
      </c>
      <c r="K30" s="18" t="s">
        <v>23</v>
      </c>
      <c r="L30" s="18" t="s">
        <v>24</v>
      </c>
      <c r="M30" s="14">
        <v>44</v>
      </c>
      <c r="N30" s="18" t="str" cm="1">
        <f t="array" ref="N30">_xlfn.IFS(Cleaned_Working_Sheet!$M30&lt;=34,"Young",Cleaned_Working_Sheet!$M30&lt;=54,"Middle-aged",Cleaned_Working_Sheet!$M30&gt;54,"Old")</f>
        <v>Middle-aged</v>
      </c>
      <c r="O30" s="18" t="s">
        <v>18</v>
      </c>
    </row>
    <row r="31" spans="1:15" x14ac:dyDescent="0.25">
      <c r="A31" s="14">
        <v>16466</v>
      </c>
      <c r="B31" s="18" t="s">
        <v>37</v>
      </c>
      <c r="C31" s="18" t="s">
        <v>38</v>
      </c>
      <c r="D31" s="6">
        <v>20000</v>
      </c>
      <c r="E31" s="18" t="str" cm="1">
        <f t="array" ref="E31">_xlfn.IFS(Cleaned_Working_Sheet!$D31&lt;=50000,"Low Income",Cleaned_Working_Sheet!$D31&lt;100000,"Middle Income",TRUE,"High Income")</f>
        <v>Low Income</v>
      </c>
      <c r="F31" s="16">
        <v>0</v>
      </c>
      <c r="G31" s="18" t="s">
        <v>29</v>
      </c>
      <c r="H31" s="18" t="s">
        <v>25</v>
      </c>
      <c r="I31" s="18" t="s">
        <v>18</v>
      </c>
      <c r="J31" s="16">
        <v>2</v>
      </c>
      <c r="K31" s="18" t="s">
        <v>16</v>
      </c>
      <c r="L31" s="18" t="s">
        <v>17</v>
      </c>
      <c r="M31" s="14">
        <v>32</v>
      </c>
      <c r="N31" s="18" t="str" cm="1">
        <f t="array" ref="N31">_xlfn.IFS(Cleaned_Working_Sheet!$M31&lt;=34,"Young",Cleaned_Working_Sheet!$M31&lt;=54,"Middle-aged",Cleaned_Working_Sheet!$M31&gt;54,"Old")</f>
        <v>Young</v>
      </c>
      <c r="O31" s="18" t="s">
        <v>15</v>
      </c>
    </row>
    <row r="32" spans="1:15" x14ac:dyDescent="0.25">
      <c r="A32" s="14">
        <v>19273</v>
      </c>
      <c r="B32" s="18" t="s">
        <v>36</v>
      </c>
      <c r="C32" s="18" t="s">
        <v>38</v>
      </c>
      <c r="D32" s="6">
        <v>20000</v>
      </c>
      <c r="E32" s="18" t="str" cm="1">
        <f t="array" ref="E32">_xlfn.IFS(Cleaned_Working_Sheet!$D32&lt;=50000,"Low Income",Cleaned_Working_Sheet!$D32&lt;100000,"Middle Income",TRUE,"High Income")</f>
        <v>Low Income</v>
      </c>
      <c r="F32" s="16">
        <v>2</v>
      </c>
      <c r="G32" s="18" t="s">
        <v>19</v>
      </c>
      <c r="H32" s="18" t="s">
        <v>25</v>
      </c>
      <c r="I32" s="18" t="s">
        <v>15</v>
      </c>
      <c r="J32" s="16">
        <v>0</v>
      </c>
      <c r="K32" s="18" t="s">
        <v>16</v>
      </c>
      <c r="L32" s="18" t="s">
        <v>17</v>
      </c>
      <c r="M32" s="14">
        <v>63</v>
      </c>
      <c r="N32" s="18" t="str" cm="1">
        <f t="array" ref="N32">_xlfn.IFS(Cleaned_Working_Sheet!$M32&lt;=34,"Young",Cleaned_Working_Sheet!$M32&lt;=54,"Middle-aged",Cleaned_Working_Sheet!$M32&gt;54,"Old")</f>
        <v>Old</v>
      </c>
      <c r="O32" s="18" t="s">
        <v>18</v>
      </c>
    </row>
    <row r="33" spans="1:15" x14ac:dyDescent="0.25">
      <c r="A33" s="14">
        <v>22400</v>
      </c>
      <c r="B33" s="18" t="s">
        <v>36</v>
      </c>
      <c r="C33" s="18" t="s">
        <v>39</v>
      </c>
      <c r="D33" s="6">
        <v>10000</v>
      </c>
      <c r="E33" s="18" t="str" cm="1">
        <f t="array" ref="E33">_xlfn.IFS(Cleaned_Working_Sheet!$D33&lt;=50000,"Low Income",Cleaned_Working_Sheet!$D33&lt;100000,"Middle Income",TRUE,"High Income")</f>
        <v>Low Income</v>
      </c>
      <c r="F33" s="16">
        <v>0</v>
      </c>
      <c r="G33" s="18" t="s">
        <v>19</v>
      </c>
      <c r="H33" s="18" t="s">
        <v>25</v>
      </c>
      <c r="I33" s="18" t="s">
        <v>18</v>
      </c>
      <c r="J33" s="16">
        <v>1</v>
      </c>
      <c r="K33" s="18" t="s">
        <v>16</v>
      </c>
      <c r="L33" s="18" t="s">
        <v>24</v>
      </c>
      <c r="M33" s="14">
        <v>26</v>
      </c>
      <c r="N33" s="18" t="str" cm="1">
        <f t="array" ref="N33">_xlfn.IFS(Cleaned_Working_Sheet!$M33&lt;=34,"Young",Cleaned_Working_Sheet!$M33&lt;=54,"Middle-aged",Cleaned_Working_Sheet!$M33&gt;54,"Old")</f>
        <v>Young</v>
      </c>
      <c r="O33" s="18" t="s">
        <v>15</v>
      </c>
    </row>
    <row r="34" spans="1:15" x14ac:dyDescent="0.25">
      <c r="A34" s="14">
        <v>20942</v>
      </c>
      <c r="B34" s="18" t="s">
        <v>37</v>
      </c>
      <c r="C34" s="18" t="s">
        <v>38</v>
      </c>
      <c r="D34" s="6">
        <v>20000</v>
      </c>
      <c r="E34" s="18" t="str" cm="1">
        <f t="array" ref="E34">_xlfn.IFS(Cleaned_Working_Sheet!$D34&lt;=50000,"Low Income",Cleaned_Working_Sheet!$D34&lt;100000,"Middle Income",TRUE,"High Income")</f>
        <v>Low Income</v>
      </c>
      <c r="F34" s="16">
        <v>0</v>
      </c>
      <c r="G34" s="18" t="s">
        <v>27</v>
      </c>
      <c r="H34" s="18" t="s">
        <v>25</v>
      </c>
      <c r="I34" s="18" t="s">
        <v>18</v>
      </c>
      <c r="J34" s="16">
        <v>1</v>
      </c>
      <c r="K34" s="18" t="s">
        <v>23</v>
      </c>
      <c r="L34" s="18" t="s">
        <v>17</v>
      </c>
      <c r="M34" s="14">
        <v>31</v>
      </c>
      <c r="N34" s="18" t="str" cm="1">
        <f t="array" ref="N34">_xlfn.IFS(Cleaned_Working_Sheet!$M34&lt;=34,"Young",Cleaned_Working_Sheet!$M34&lt;=54,"Middle-aged",Cleaned_Working_Sheet!$M34&gt;54,"Old")</f>
        <v>Young</v>
      </c>
      <c r="O34" s="18" t="s">
        <v>18</v>
      </c>
    </row>
    <row r="35" spans="1:15" x14ac:dyDescent="0.25">
      <c r="A35" s="14">
        <v>18484</v>
      </c>
      <c r="B35" s="18" t="s">
        <v>37</v>
      </c>
      <c r="C35" s="18" t="s">
        <v>39</v>
      </c>
      <c r="D35" s="6">
        <v>80000</v>
      </c>
      <c r="E35" s="18" t="str" cm="1">
        <f t="array" ref="E35">_xlfn.IFS(Cleaned_Working_Sheet!$D35&lt;=50000,"Low Income",Cleaned_Working_Sheet!$D35&lt;100000,"Middle Income",TRUE,"High Income")</f>
        <v>Middle Income</v>
      </c>
      <c r="F35" s="16">
        <v>2</v>
      </c>
      <c r="G35" s="18" t="s">
        <v>27</v>
      </c>
      <c r="H35" s="18" t="s">
        <v>14</v>
      </c>
      <c r="I35" s="18" t="s">
        <v>18</v>
      </c>
      <c r="J35" s="16">
        <v>2</v>
      </c>
      <c r="K35" s="18" t="s">
        <v>26</v>
      </c>
      <c r="L35" s="18" t="s">
        <v>24</v>
      </c>
      <c r="M35" s="14">
        <v>50</v>
      </c>
      <c r="N35" s="18" t="str" cm="1">
        <f t="array" ref="N35">_xlfn.IFS(Cleaned_Working_Sheet!$M35&lt;=34,"Young",Cleaned_Working_Sheet!$M35&lt;=54,"Middle-aged",Cleaned_Working_Sheet!$M35&gt;54,"Old")</f>
        <v>Middle-aged</v>
      </c>
      <c r="O35" s="18" t="s">
        <v>15</v>
      </c>
    </row>
    <row r="36" spans="1:15" x14ac:dyDescent="0.25">
      <c r="A36" s="14">
        <v>12291</v>
      </c>
      <c r="B36" s="18" t="s">
        <v>37</v>
      </c>
      <c r="C36" s="18" t="s">
        <v>39</v>
      </c>
      <c r="D36" s="6">
        <v>90000</v>
      </c>
      <c r="E36" s="18" t="str" cm="1">
        <f t="array" ref="E36">_xlfn.IFS(Cleaned_Working_Sheet!$D36&lt;=50000,"Low Income",Cleaned_Working_Sheet!$D36&lt;100000,"Middle Income",TRUE,"High Income")</f>
        <v>Middle Income</v>
      </c>
      <c r="F36" s="16">
        <v>5</v>
      </c>
      <c r="G36" s="18" t="s">
        <v>19</v>
      </c>
      <c r="H36" s="18" t="s">
        <v>21</v>
      </c>
      <c r="I36" s="18" t="s">
        <v>18</v>
      </c>
      <c r="J36" s="16">
        <v>2</v>
      </c>
      <c r="K36" s="18" t="s">
        <v>22</v>
      </c>
      <c r="L36" s="18" t="s">
        <v>17</v>
      </c>
      <c r="M36" s="14">
        <v>62</v>
      </c>
      <c r="N36" s="18" t="str" cm="1">
        <f t="array" ref="N36">_xlfn.IFS(Cleaned_Working_Sheet!$M36&lt;=34,"Young",Cleaned_Working_Sheet!$M36&lt;=54,"Middle-aged",Cleaned_Working_Sheet!$M36&gt;54,"Old")</f>
        <v>Old</v>
      </c>
      <c r="O36" s="18" t="s">
        <v>15</v>
      </c>
    </row>
    <row r="37" spans="1:15" x14ac:dyDescent="0.25">
      <c r="A37" s="14">
        <v>28380</v>
      </c>
      <c r="B37" s="18" t="s">
        <v>37</v>
      </c>
      <c r="C37" s="18" t="s">
        <v>38</v>
      </c>
      <c r="D37" s="6">
        <v>10000</v>
      </c>
      <c r="E37" s="18" t="str" cm="1">
        <f t="array" ref="E37">_xlfn.IFS(Cleaned_Working_Sheet!$D37&lt;=50000,"Low Income",Cleaned_Working_Sheet!$D37&lt;100000,"Middle Income",TRUE,"High Income")</f>
        <v>Low Income</v>
      </c>
      <c r="F37" s="16">
        <v>5</v>
      </c>
      <c r="G37" s="18" t="s">
        <v>29</v>
      </c>
      <c r="H37" s="18" t="s">
        <v>25</v>
      </c>
      <c r="I37" s="18" t="s">
        <v>18</v>
      </c>
      <c r="J37" s="16">
        <v>2</v>
      </c>
      <c r="K37" s="18" t="s">
        <v>16</v>
      </c>
      <c r="L37" s="18" t="s">
        <v>17</v>
      </c>
      <c r="M37" s="14">
        <v>41</v>
      </c>
      <c r="N37" s="18" t="str" cm="1">
        <f t="array" ref="N37">_xlfn.IFS(Cleaned_Working_Sheet!$M37&lt;=34,"Young",Cleaned_Working_Sheet!$M37&lt;=54,"Middle-aged",Cleaned_Working_Sheet!$M37&gt;54,"Old")</f>
        <v>Middle-aged</v>
      </c>
      <c r="O37" s="18" t="s">
        <v>18</v>
      </c>
    </row>
    <row r="38" spans="1:15" x14ac:dyDescent="0.25">
      <c r="A38" s="14">
        <v>17891</v>
      </c>
      <c r="B38" s="18" t="s">
        <v>36</v>
      </c>
      <c r="C38" s="18" t="s">
        <v>38</v>
      </c>
      <c r="D38" s="6">
        <v>10000</v>
      </c>
      <c r="E38" s="18" t="str" cm="1">
        <f t="array" ref="E38">_xlfn.IFS(Cleaned_Working_Sheet!$D38&lt;=50000,"Low Income",Cleaned_Working_Sheet!$D38&lt;100000,"Middle Income",TRUE,"High Income")</f>
        <v>Low Income</v>
      </c>
      <c r="F38" s="16">
        <v>2</v>
      </c>
      <c r="G38" s="18" t="s">
        <v>19</v>
      </c>
      <c r="H38" s="18" t="s">
        <v>25</v>
      </c>
      <c r="I38" s="18" t="s">
        <v>15</v>
      </c>
      <c r="J38" s="16">
        <v>1</v>
      </c>
      <c r="K38" s="18" t="s">
        <v>16</v>
      </c>
      <c r="L38" s="18" t="s">
        <v>17</v>
      </c>
      <c r="M38" s="14">
        <v>50</v>
      </c>
      <c r="N38" s="18" t="str" cm="1">
        <f t="array" ref="N38">_xlfn.IFS(Cleaned_Working_Sheet!$M38&lt;=34,"Young",Cleaned_Working_Sheet!$M38&lt;=54,"Middle-aged",Cleaned_Working_Sheet!$M38&gt;54,"Old")</f>
        <v>Middle-aged</v>
      </c>
      <c r="O38" s="18" t="s">
        <v>15</v>
      </c>
    </row>
    <row r="39" spans="1:15" x14ac:dyDescent="0.25">
      <c r="A39" s="14">
        <v>27832</v>
      </c>
      <c r="B39" s="18" t="s">
        <v>37</v>
      </c>
      <c r="C39" s="18" t="s">
        <v>38</v>
      </c>
      <c r="D39" s="6">
        <v>30000</v>
      </c>
      <c r="E39" s="18" t="str" cm="1">
        <f t="array" ref="E39">_xlfn.IFS(Cleaned_Working_Sheet!$D39&lt;=50000,"Low Income",Cleaned_Working_Sheet!$D39&lt;100000,"Middle Income",TRUE,"High Income")</f>
        <v>Low Income</v>
      </c>
      <c r="F39" s="16">
        <v>0</v>
      </c>
      <c r="G39" s="18" t="s">
        <v>19</v>
      </c>
      <c r="H39" s="18" t="s">
        <v>20</v>
      </c>
      <c r="I39" s="18" t="s">
        <v>18</v>
      </c>
      <c r="J39" s="16">
        <v>1</v>
      </c>
      <c r="K39" s="18" t="s">
        <v>22</v>
      </c>
      <c r="L39" s="18" t="s">
        <v>17</v>
      </c>
      <c r="M39" s="14">
        <v>30</v>
      </c>
      <c r="N39" s="18" t="str" cm="1">
        <f t="array" ref="N39">_xlfn.IFS(Cleaned_Working_Sheet!$M39&lt;=34,"Young",Cleaned_Working_Sheet!$M39&lt;=54,"Middle-aged",Cleaned_Working_Sheet!$M39&gt;54,"Old")</f>
        <v>Young</v>
      </c>
      <c r="O39" s="18" t="s">
        <v>18</v>
      </c>
    </row>
    <row r="40" spans="1:15" x14ac:dyDescent="0.25">
      <c r="A40" s="14">
        <v>26863</v>
      </c>
      <c r="B40" s="18" t="s">
        <v>37</v>
      </c>
      <c r="C40" s="18" t="s">
        <v>39</v>
      </c>
      <c r="D40" s="6">
        <v>20000</v>
      </c>
      <c r="E40" s="18" t="str" cm="1">
        <f t="array" ref="E40">_xlfn.IFS(Cleaned_Working_Sheet!$D40&lt;=50000,"Low Income",Cleaned_Working_Sheet!$D40&lt;100000,"Middle Income",TRUE,"High Income")</f>
        <v>Low Income</v>
      </c>
      <c r="F40" s="16">
        <v>0</v>
      </c>
      <c r="G40" s="18" t="s">
        <v>27</v>
      </c>
      <c r="H40" s="18" t="s">
        <v>25</v>
      </c>
      <c r="I40" s="18" t="s">
        <v>18</v>
      </c>
      <c r="J40" s="16">
        <v>1</v>
      </c>
      <c r="K40" s="18" t="s">
        <v>22</v>
      </c>
      <c r="L40" s="18" t="s">
        <v>17</v>
      </c>
      <c r="M40" s="14">
        <v>28</v>
      </c>
      <c r="N40" s="18" t="str" cm="1">
        <f t="array" ref="N40">_xlfn.IFS(Cleaned_Working_Sheet!$M40&lt;=34,"Young",Cleaned_Working_Sheet!$M40&lt;=54,"Middle-aged",Cleaned_Working_Sheet!$M40&gt;54,"Old")</f>
        <v>Young</v>
      </c>
      <c r="O40" s="18" t="s">
        <v>18</v>
      </c>
    </row>
    <row r="41" spans="1:15" x14ac:dyDescent="0.25">
      <c r="A41" s="14">
        <v>16259</v>
      </c>
      <c r="B41" s="18" t="s">
        <v>37</v>
      </c>
      <c r="C41" s="18" t="s">
        <v>38</v>
      </c>
      <c r="D41" s="6">
        <v>10000</v>
      </c>
      <c r="E41" s="18" t="str" cm="1">
        <f t="array" ref="E41">_xlfn.IFS(Cleaned_Working_Sheet!$D41&lt;=50000,"Low Income",Cleaned_Working_Sheet!$D41&lt;100000,"Middle Income",TRUE,"High Income")</f>
        <v>Low Income</v>
      </c>
      <c r="F41" s="16">
        <v>4</v>
      </c>
      <c r="G41" s="18" t="s">
        <v>29</v>
      </c>
      <c r="H41" s="18" t="s">
        <v>25</v>
      </c>
      <c r="I41" s="18" t="s">
        <v>15</v>
      </c>
      <c r="J41" s="16">
        <v>2</v>
      </c>
      <c r="K41" s="18" t="s">
        <v>16</v>
      </c>
      <c r="L41" s="18" t="s">
        <v>17</v>
      </c>
      <c r="M41" s="14">
        <v>40</v>
      </c>
      <c r="N41" s="18" t="str" cm="1">
        <f t="array" ref="N41">_xlfn.IFS(Cleaned_Working_Sheet!$M41&lt;=34,"Young",Cleaned_Working_Sheet!$M41&lt;=54,"Middle-aged",Cleaned_Working_Sheet!$M41&gt;54,"Old")</f>
        <v>Middle-aged</v>
      </c>
      <c r="O41" s="18" t="s">
        <v>15</v>
      </c>
    </row>
    <row r="42" spans="1:15" x14ac:dyDescent="0.25">
      <c r="A42" s="14">
        <v>27803</v>
      </c>
      <c r="B42" s="18" t="s">
        <v>37</v>
      </c>
      <c r="C42" s="18" t="s">
        <v>38</v>
      </c>
      <c r="D42" s="6">
        <v>30000</v>
      </c>
      <c r="E42" s="18" t="str" cm="1">
        <f t="array" ref="E42">_xlfn.IFS(Cleaned_Working_Sheet!$D42&lt;=50000,"Low Income",Cleaned_Working_Sheet!$D42&lt;100000,"Middle Income",TRUE,"High Income")</f>
        <v>Low Income</v>
      </c>
      <c r="F42" s="16">
        <v>2</v>
      </c>
      <c r="G42" s="18" t="s">
        <v>19</v>
      </c>
      <c r="H42" s="18" t="s">
        <v>20</v>
      </c>
      <c r="I42" s="18" t="s">
        <v>18</v>
      </c>
      <c r="J42" s="16">
        <v>0</v>
      </c>
      <c r="K42" s="18" t="s">
        <v>16</v>
      </c>
      <c r="L42" s="18" t="s">
        <v>17</v>
      </c>
      <c r="M42" s="14">
        <v>43</v>
      </c>
      <c r="N42" s="18" t="str" cm="1">
        <f t="array" ref="N42">_xlfn.IFS(Cleaned_Working_Sheet!$M42&lt;=34,"Young",Cleaned_Working_Sheet!$M42&lt;=54,"Middle-aged",Cleaned_Working_Sheet!$M42&gt;54,"Old")</f>
        <v>Middle-aged</v>
      </c>
      <c r="O42" s="18" t="s">
        <v>18</v>
      </c>
    </row>
    <row r="43" spans="1:15" x14ac:dyDescent="0.25">
      <c r="A43" s="14">
        <v>14347</v>
      </c>
      <c r="B43" s="18" t="s">
        <v>37</v>
      </c>
      <c r="C43" s="18" t="s">
        <v>38</v>
      </c>
      <c r="D43" s="6">
        <v>40000</v>
      </c>
      <c r="E43" s="18" t="str" cm="1">
        <f t="array" ref="E43">_xlfn.IFS(Cleaned_Working_Sheet!$D43&lt;=50000,"Low Income",Cleaned_Working_Sheet!$D43&lt;100000,"Middle Income",TRUE,"High Income")</f>
        <v>Low Income</v>
      </c>
      <c r="F43" s="16">
        <v>2</v>
      </c>
      <c r="G43" s="18" t="s">
        <v>13</v>
      </c>
      <c r="H43" s="18" t="s">
        <v>28</v>
      </c>
      <c r="I43" s="18" t="s">
        <v>15</v>
      </c>
      <c r="J43" s="16">
        <v>2</v>
      </c>
      <c r="K43" s="18" t="s">
        <v>23</v>
      </c>
      <c r="L43" s="18" t="s">
        <v>24</v>
      </c>
      <c r="M43" s="14">
        <v>65</v>
      </c>
      <c r="N43" s="18" t="str" cm="1">
        <f t="array" ref="N43">_xlfn.IFS(Cleaned_Working_Sheet!$M43&lt;=34,"Young",Cleaned_Working_Sheet!$M43&lt;=54,"Middle-aged",Cleaned_Working_Sheet!$M43&gt;54,"Old")</f>
        <v>Old</v>
      </c>
      <c r="O43" s="18" t="s">
        <v>15</v>
      </c>
    </row>
    <row r="44" spans="1:15" x14ac:dyDescent="0.25">
      <c r="A44" s="14">
        <v>17703</v>
      </c>
      <c r="B44" s="18" t="s">
        <v>36</v>
      </c>
      <c r="C44" s="18" t="s">
        <v>38</v>
      </c>
      <c r="D44" s="6">
        <v>10000</v>
      </c>
      <c r="E44" s="18" t="str" cm="1">
        <f t="array" ref="E44">_xlfn.IFS(Cleaned_Working_Sheet!$D44&lt;=50000,"Low Income",Cleaned_Working_Sheet!$D44&lt;100000,"Middle Income",TRUE,"High Income")</f>
        <v>Low Income</v>
      </c>
      <c r="F44" s="16">
        <v>1</v>
      </c>
      <c r="G44" s="18" t="s">
        <v>31</v>
      </c>
      <c r="H44" s="18" t="s">
        <v>25</v>
      </c>
      <c r="I44" s="18" t="s">
        <v>15</v>
      </c>
      <c r="J44" s="16">
        <v>0</v>
      </c>
      <c r="K44" s="18" t="s">
        <v>16</v>
      </c>
      <c r="L44" s="18" t="s">
        <v>17</v>
      </c>
      <c r="M44" s="14">
        <v>40</v>
      </c>
      <c r="N44" s="18" t="str" cm="1">
        <f t="array" ref="N44">_xlfn.IFS(Cleaned_Working_Sheet!$M44&lt;=34,"Young",Cleaned_Working_Sheet!$M44&lt;=54,"Middle-aged",Cleaned_Working_Sheet!$M44&gt;54,"Old")</f>
        <v>Middle-aged</v>
      </c>
      <c r="O44" s="18" t="s">
        <v>18</v>
      </c>
    </row>
    <row r="45" spans="1:15" x14ac:dyDescent="0.25">
      <c r="A45" s="14">
        <v>17185</v>
      </c>
      <c r="B45" s="18" t="s">
        <v>36</v>
      </c>
      <c r="C45" s="18" t="s">
        <v>38</v>
      </c>
      <c r="D45" s="6">
        <v>170000</v>
      </c>
      <c r="E45" s="18" t="str" cm="1">
        <f t="array" ref="E45">_xlfn.IFS(Cleaned_Working_Sheet!$D45&lt;=50000,"Low Income",Cleaned_Working_Sheet!$D45&lt;100000,"Middle Income",TRUE,"High Income")</f>
        <v>High Income</v>
      </c>
      <c r="F45" s="16">
        <v>4</v>
      </c>
      <c r="G45" s="18" t="s">
        <v>19</v>
      </c>
      <c r="H45" s="18" t="s">
        <v>21</v>
      </c>
      <c r="I45" s="18" t="s">
        <v>18</v>
      </c>
      <c r="J45" s="16">
        <v>3</v>
      </c>
      <c r="K45" s="18" t="s">
        <v>23</v>
      </c>
      <c r="L45" s="18" t="s">
        <v>17</v>
      </c>
      <c r="M45" s="14">
        <v>48</v>
      </c>
      <c r="N45" s="18" t="str" cm="1">
        <f t="array" ref="N45">_xlfn.IFS(Cleaned_Working_Sheet!$M45&lt;=34,"Young",Cleaned_Working_Sheet!$M45&lt;=54,"Middle-aged",Cleaned_Working_Sheet!$M45&gt;54,"Old")</f>
        <v>Middle-aged</v>
      </c>
      <c r="O45" s="18" t="s">
        <v>15</v>
      </c>
    </row>
    <row r="46" spans="1:15" x14ac:dyDescent="0.25">
      <c r="A46" s="14">
        <v>29380</v>
      </c>
      <c r="B46" s="18" t="s">
        <v>36</v>
      </c>
      <c r="C46" s="18" t="s">
        <v>38</v>
      </c>
      <c r="D46" s="6">
        <v>20000</v>
      </c>
      <c r="E46" s="18" t="str" cm="1">
        <f t="array" ref="E46">_xlfn.IFS(Cleaned_Working_Sheet!$D46&lt;=50000,"Low Income",Cleaned_Working_Sheet!$D46&lt;100000,"Middle Income",TRUE,"High Income")</f>
        <v>Low Income</v>
      </c>
      <c r="F46" s="16">
        <v>3</v>
      </c>
      <c r="G46" s="18" t="s">
        <v>27</v>
      </c>
      <c r="H46" s="18" t="s">
        <v>25</v>
      </c>
      <c r="I46" s="18" t="s">
        <v>15</v>
      </c>
      <c r="J46" s="16">
        <v>0</v>
      </c>
      <c r="K46" s="18" t="s">
        <v>16</v>
      </c>
      <c r="L46" s="18" t="s">
        <v>17</v>
      </c>
      <c r="M46" s="14">
        <v>41</v>
      </c>
      <c r="N46" s="18" t="str" cm="1">
        <f t="array" ref="N46">_xlfn.IFS(Cleaned_Working_Sheet!$M46&lt;=34,"Young",Cleaned_Working_Sheet!$M46&lt;=54,"Middle-aged",Cleaned_Working_Sheet!$M46&gt;54,"Old")</f>
        <v>Middle-aged</v>
      </c>
      <c r="O46" s="18" t="s">
        <v>15</v>
      </c>
    </row>
    <row r="47" spans="1:15" x14ac:dyDescent="0.25">
      <c r="A47" s="14">
        <v>23986</v>
      </c>
      <c r="B47" s="18" t="s">
        <v>36</v>
      </c>
      <c r="C47" s="18" t="s">
        <v>38</v>
      </c>
      <c r="D47" s="6">
        <v>20000</v>
      </c>
      <c r="E47" s="18" t="str" cm="1">
        <f t="array" ref="E47">_xlfn.IFS(Cleaned_Working_Sheet!$D47&lt;=50000,"Low Income",Cleaned_Working_Sheet!$D47&lt;100000,"Middle Income",TRUE,"High Income")</f>
        <v>Low Income</v>
      </c>
      <c r="F47" s="16">
        <v>1</v>
      </c>
      <c r="G47" s="18" t="s">
        <v>13</v>
      </c>
      <c r="H47" s="18" t="s">
        <v>20</v>
      </c>
      <c r="I47" s="18" t="s">
        <v>15</v>
      </c>
      <c r="J47" s="16">
        <v>0</v>
      </c>
      <c r="K47" s="18" t="s">
        <v>16</v>
      </c>
      <c r="L47" s="18" t="s">
        <v>17</v>
      </c>
      <c r="M47" s="14">
        <v>66</v>
      </c>
      <c r="N47" s="18" t="str" cm="1">
        <f t="array" ref="N47">_xlfn.IFS(Cleaned_Working_Sheet!$M47&lt;=34,"Young",Cleaned_Working_Sheet!$M47&lt;=54,"Middle-aged",Cleaned_Working_Sheet!$M47&gt;54,"Old")</f>
        <v>Old</v>
      </c>
      <c r="O47" s="18" t="s">
        <v>15</v>
      </c>
    </row>
    <row r="48" spans="1:15" x14ac:dyDescent="0.25">
      <c r="A48" s="14">
        <v>24466</v>
      </c>
      <c r="B48" s="18" t="s">
        <v>36</v>
      </c>
      <c r="C48" s="18" t="s">
        <v>38</v>
      </c>
      <c r="D48" s="6">
        <v>60000</v>
      </c>
      <c r="E48" s="18" t="str" cm="1">
        <f t="array" ref="E48">_xlfn.IFS(Cleaned_Working_Sheet!$D48&lt;=50000,"Low Income",Cleaned_Working_Sheet!$D48&lt;100000,"Middle Income",TRUE,"High Income")</f>
        <v>Middle Income</v>
      </c>
      <c r="F48" s="16">
        <v>1</v>
      </c>
      <c r="G48" s="18" t="s">
        <v>19</v>
      </c>
      <c r="H48" s="18" t="s">
        <v>14</v>
      </c>
      <c r="I48" s="18" t="s">
        <v>15</v>
      </c>
      <c r="J48" s="16">
        <v>1</v>
      </c>
      <c r="K48" s="18" t="s">
        <v>23</v>
      </c>
      <c r="L48" s="18" t="s">
        <v>24</v>
      </c>
      <c r="M48" s="14">
        <v>46</v>
      </c>
      <c r="N48" s="18" t="str" cm="1">
        <f t="array" ref="N48">_xlfn.IFS(Cleaned_Working_Sheet!$M48&lt;=34,"Young",Cleaned_Working_Sheet!$M48&lt;=54,"Middle-aged",Cleaned_Working_Sheet!$M48&gt;54,"Old")</f>
        <v>Middle-aged</v>
      </c>
      <c r="O48" s="18" t="s">
        <v>15</v>
      </c>
    </row>
    <row r="49" spans="1:15" x14ac:dyDescent="0.25">
      <c r="A49" s="14">
        <v>29097</v>
      </c>
      <c r="B49" s="18" t="s">
        <v>37</v>
      </c>
      <c r="C49" s="18" t="s">
        <v>38</v>
      </c>
      <c r="D49" s="6">
        <v>40000</v>
      </c>
      <c r="E49" s="18" t="str" cm="1">
        <f t="array" ref="E49">_xlfn.IFS(Cleaned_Working_Sheet!$D49&lt;=50000,"Low Income",Cleaned_Working_Sheet!$D49&lt;100000,"Middle Income",TRUE,"High Income")</f>
        <v>Low Income</v>
      </c>
      <c r="F49" s="16">
        <v>2</v>
      </c>
      <c r="G49" s="18" t="s">
        <v>19</v>
      </c>
      <c r="H49" s="18" t="s">
        <v>14</v>
      </c>
      <c r="I49" s="18" t="s">
        <v>15</v>
      </c>
      <c r="J49" s="16">
        <v>2</v>
      </c>
      <c r="K49" s="18" t="s">
        <v>23</v>
      </c>
      <c r="L49" s="18" t="s">
        <v>24</v>
      </c>
      <c r="M49" s="14">
        <v>52</v>
      </c>
      <c r="N49" s="18" t="str" cm="1">
        <f t="array" ref="N49">_xlfn.IFS(Cleaned_Working_Sheet!$M49&lt;=34,"Young",Cleaned_Working_Sheet!$M49&lt;=54,"Middle-aged",Cleaned_Working_Sheet!$M49&gt;54,"Old")</f>
        <v>Middle-aged</v>
      </c>
      <c r="O49" s="18" t="s">
        <v>15</v>
      </c>
    </row>
    <row r="50" spans="1:15" x14ac:dyDescent="0.25">
      <c r="A50" s="14">
        <v>19487</v>
      </c>
      <c r="B50" s="18" t="s">
        <v>36</v>
      </c>
      <c r="C50" s="18" t="s">
        <v>39</v>
      </c>
      <c r="D50" s="6">
        <v>30000</v>
      </c>
      <c r="E50" s="18" t="str" cm="1">
        <f t="array" ref="E50">_xlfn.IFS(Cleaned_Working_Sheet!$D50&lt;=50000,"Low Income",Cleaned_Working_Sheet!$D50&lt;100000,"Middle Income",TRUE,"High Income")</f>
        <v>Low Income</v>
      </c>
      <c r="F50" s="16">
        <v>2</v>
      </c>
      <c r="G50" s="18" t="s">
        <v>19</v>
      </c>
      <c r="H50" s="18" t="s">
        <v>20</v>
      </c>
      <c r="I50" s="18" t="s">
        <v>18</v>
      </c>
      <c r="J50" s="16">
        <v>2</v>
      </c>
      <c r="K50" s="18" t="s">
        <v>16</v>
      </c>
      <c r="L50" s="18" t="s">
        <v>17</v>
      </c>
      <c r="M50" s="14">
        <v>42</v>
      </c>
      <c r="N50" s="18" t="str" cm="1">
        <f t="array" ref="N50">_xlfn.IFS(Cleaned_Working_Sheet!$M50&lt;=34,"Young",Cleaned_Working_Sheet!$M50&lt;=54,"Middle-aged",Cleaned_Working_Sheet!$M50&gt;54,"Old")</f>
        <v>Middle-aged</v>
      </c>
      <c r="O50" s="18" t="s">
        <v>18</v>
      </c>
    </row>
    <row r="51" spans="1:15" x14ac:dyDescent="0.25">
      <c r="A51" s="14">
        <v>14939</v>
      </c>
      <c r="B51" s="18" t="s">
        <v>37</v>
      </c>
      <c r="C51" s="18" t="s">
        <v>39</v>
      </c>
      <c r="D51" s="6">
        <v>40000</v>
      </c>
      <c r="E51" s="18" t="str" cm="1">
        <f t="array" ref="E51">_xlfn.IFS(Cleaned_Working_Sheet!$D51&lt;=50000,"Low Income",Cleaned_Working_Sheet!$D51&lt;100000,"Middle Income",TRUE,"High Income")</f>
        <v>Low Income</v>
      </c>
      <c r="F51" s="16">
        <v>0</v>
      </c>
      <c r="G51" s="18" t="s">
        <v>13</v>
      </c>
      <c r="H51" s="18" t="s">
        <v>20</v>
      </c>
      <c r="I51" s="18" t="s">
        <v>15</v>
      </c>
      <c r="J51" s="16">
        <v>0</v>
      </c>
      <c r="K51" s="18" t="s">
        <v>16</v>
      </c>
      <c r="L51" s="18" t="s">
        <v>17</v>
      </c>
      <c r="M51" s="14">
        <v>39</v>
      </c>
      <c r="N51" s="18" t="str" cm="1">
        <f t="array" ref="N51">_xlfn.IFS(Cleaned_Working_Sheet!$M51&lt;=34,"Young",Cleaned_Working_Sheet!$M51&lt;=54,"Middle-aged",Cleaned_Working_Sheet!$M51&gt;54,"Old")</f>
        <v>Middle-aged</v>
      </c>
      <c r="O51" s="18" t="s">
        <v>15</v>
      </c>
    </row>
    <row r="52" spans="1:15" x14ac:dyDescent="0.25">
      <c r="A52" s="14">
        <v>13826</v>
      </c>
      <c r="B52" s="18" t="s">
        <v>37</v>
      </c>
      <c r="C52" s="18" t="s">
        <v>38</v>
      </c>
      <c r="D52" s="6">
        <v>30000</v>
      </c>
      <c r="E52" s="18" t="str" cm="1">
        <f t="array" ref="E52">_xlfn.IFS(Cleaned_Working_Sheet!$D52&lt;=50000,"Low Income",Cleaned_Working_Sheet!$D52&lt;100000,"Middle Income",TRUE,"High Income")</f>
        <v>Low Income</v>
      </c>
      <c r="F52" s="16">
        <v>0</v>
      </c>
      <c r="G52" s="18" t="s">
        <v>19</v>
      </c>
      <c r="H52" s="18" t="s">
        <v>20</v>
      </c>
      <c r="I52" s="18" t="s">
        <v>18</v>
      </c>
      <c r="J52" s="16">
        <v>1</v>
      </c>
      <c r="K52" s="18" t="s">
        <v>16</v>
      </c>
      <c r="L52" s="18" t="s">
        <v>17</v>
      </c>
      <c r="M52" s="14">
        <v>28</v>
      </c>
      <c r="N52" s="18" t="str" cm="1">
        <f t="array" ref="N52">_xlfn.IFS(Cleaned_Working_Sheet!$M52&lt;=34,"Young",Cleaned_Working_Sheet!$M52&lt;=54,"Middle-aged",Cleaned_Working_Sheet!$M52&gt;54,"Old")</f>
        <v>Young</v>
      </c>
      <c r="O52" s="18" t="s">
        <v>18</v>
      </c>
    </row>
    <row r="53" spans="1:15" x14ac:dyDescent="0.25">
      <c r="A53" s="14">
        <v>20619</v>
      </c>
      <c r="B53" s="18" t="s">
        <v>37</v>
      </c>
      <c r="C53" s="18" t="s">
        <v>39</v>
      </c>
      <c r="D53" s="6">
        <v>80000</v>
      </c>
      <c r="E53" s="18" t="str" cm="1">
        <f t="array" ref="E53">_xlfn.IFS(Cleaned_Working_Sheet!$D53&lt;=50000,"Low Income",Cleaned_Working_Sheet!$D53&lt;100000,"Middle Income",TRUE,"High Income")</f>
        <v>Middle Income</v>
      </c>
      <c r="F53" s="16">
        <v>0</v>
      </c>
      <c r="G53" s="18" t="s">
        <v>13</v>
      </c>
      <c r="H53" s="18" t="s">
        <v>21</v>
      </c>
      <c r="I53" s="18" t="s">
        <v>18</v>
      </c>
      <c r="J53" s="16">
        <v>4</v>
      </c>
      <c r="K53" s="18" t="s">
        <v>43</v>
      </c>
      <c r="L53" s="18" t="s">
        <v>24</v>
      </c>
      <c r="M53" s="14">
        <v>35</v>
      </c>
      <c r="N53" s="18" t="str" cm="1">
        <f t="array" ref="N53">_xlfn.IFS(Cleaned_Working_Sheet!$M53&lt;=34,"Young",Cleaned_Working_Sheet!$M53&lt;=54,"Middle-aged",Cleaned_Working_Sheet!$M53&gt;54,"Old")</f>
        <v>Middle-aged</v>
      </c>
      <c r="O53" s="18" t="s">
        <v>18</v>
      </c>
    </row>
    <row r="54" spans="1:15" x14ac:dyDescent="0.25">
      <c r="A54" s="14">
        <v>12558</v>
      </c>
      <c r="B54" s="18" t="s">
        <v>36</v>
      </c>
      <c r="C54" s="18" t="s">
        <v>38</v>
      </c>
      <c r="D54" s="6">
        <v>20000</v>
      </c>
      <c r="E54" s="18" t="str" cm="1">
        <f t="array" ref="E54">_xlfn.IFS(Cleaned_Working_Sheet!$D54&lt;=50000,"Low Income",Cleaned_Working_Sheet!$D54&lt;100000,"Middle Income",TRUE,"High Income")</f>
        <v>Low Income</v>
      </c>
      <c r="F54" s="16">
        <v>1</v>
      </c>
      <c r="G54" s="18" t="s">
        <v>13</v>
      </c>
      <c r="H54" s="18" t="s">
        <v>20</v>
      </c>
      <c r="I54" s="18" t="s">
        <v>15</v>
      </c>
      <c r="J54" s="16">
        <v>0</v>
      </c>
      <c r="K54" s="18" t="s">
        <v>16</v>
      </c>
      <c r="L54" s="18" t="s">
        <v>17</v>
      </c>
      <c r="M54" s="14">
        <v>65</v>
      </c>
      <c r="N54" s="18" t="str" cm="1">
        <f t="array" ref="N54">_xlfn.IFS(Cleaned_Working_Sheet!$M54&lt;=34,"Young",Cleaned_Working_Sheet!$M54&lt;=54,"Middle-aged",Cleaned_Working_Sheet!$M54&gt;54,"Old")</f>
        <v>Old</v>
      </c>
      <c r="O54" s="18" t="s">
        <v>18</v>
      </c>
    </row>
    <row r="55" spans="1:15" x14ac:dyDescent="0.25">
      <c r="A55" s="14">
        <v>24871</v>
      </c>
      <c r="B55" s="18" t="s">
        <v>37</v>
      </c>
      <c r="C55" s="18" t="s">
        <v>38</v>
      </c>
      <c r="D55" s="6">
        <v>90000</v>
      </c>
      <c r="E55" s="18" t="str" cm="1">
        <f t="array" ref="E55">_xlfn.IFS(Cleaned_Working_Sheet!$D55&lt;=50000,"Low Income",Cleaned_Working_Sheet!$D55&lt;100000,"Middle Income",TRUE,"High Income")</f>
        <v>Middle Income</v>
      </c>
      <c r="F55" s="16">
        <v>4</v>
      </c>
      <c r="G55" s="18" t="s">
        <v>27</v>
      </c>
      <c r="H55" s="18" t="s">
        <v>28</v>
      </c>
      <c r="I55" s="18" t="s">
        <v>18</v>
      </c>
      <c r="J55" s="16">
        <v>3</v>
      </c>
      <c r="K55" s="18" t="s">
        <v>23</v>
      </c>
      <c r="L55" s="18" t="s">
        <v>17</v>
      </c>
      <c r="M55" s="14">
        <v>56</v>
      </c>
      <c r="N55" s="18" t="str" cm="1">
        <f t="array" ref="N55">_xlfn.IFS(Cleaned_Working_Sheet!$M55&lt;=34,"Young",Cleaned_Working_Sheet!$M55&lt;=54,"Middle-aged",Cleaned_Working_Sheet!$M55&gt;54,"Old")</f>
        <v>Old</v>
      </c>
      <c r="O55" s="18" t="s">
        <v>18</v>
      </c>
    </row>
    <row r="56" spans="1:15" x14ac:dyDescent="0.25">
      <c r="A56" s="14">
        <v>17319</v>
      </c>
      <c r="B56" s="18" t="s">
        <v>37</v>
      </c>
      <c r="C56" s="18" t="s">
        <v>38</v>
      </c>
      <c r="D56" s="6">
        <v>70000</v>
      </c>
      <c r="E56" s="18" t="str" cm="1">
        <f t="array" ref="E56">_xlfn.IFS(Cleaned_Working_Sheet!$D56&lt;=50000,"Low Income",Cleaned_Working_Sheet!$D56&lt;100000,"Middle Income",TRUE,"High Income")</f>
        <v>Middle Income</v>
      </c>
      <c r="F56" s="16">
        <v>0</v>
      </c>
      <c r="G56" s="18" t="s">
        <v>13</v>
      </c>
      <c r="H56" s="18" t="s">
        <v>21</v>
      </c>
      <c r="I56" s="18" t="s">
        <v>18</v>
      </c>
      <c r="J56" s="16">
        <v>1</v>
      </c>
      <c r="K56" s="18" t="s">
        <v>23</v>
      </c>
      <c r="L56" s="18" t="s">
        <v>24</v>
      </c>
      <c r="M56" s="14">
        <v>42</v>
      </c>
      <c r="N56" s="18" t="str" cm="1">
        <f t="array" ref="N56">_xlfn.IFS(Cleaned_Working_Sheet!$M56&lt;=34,"Young",Cleaned_Working_Sheet!$M56&lt;=54,"Middle-aged",Cleaned_Working_Sheet!$M56&gt;54,"Old")</f>
        <v>Middle-aged</v>
      </c>
      <c r="O56" s="18" t="s">
        <v>18</v>
      </c>
    </row>
    <row r="57" spans="1:15" x14ac:dyDescent="0.25">
      <c r="A57" s="14">
        <v>28906</v>
      </c>
      <c r="B57" s="18" t="s">
        <v>36</v>
      </c>
      <c r="C57" s="18" t="s">
        <v>39</v>
      </c>
      <c r="D57" s="6">
        <v>80000</v>
      </c>
      <c r="E57" s="18" t="str" cm="1">
        <f t="array" ref="E57">_xlfn.IFS(Cleaned_Working_Sheet!$D57&lt;=50000,"Low Income",Cleaned_Working_Sheet!$D57&lt;100000,"Middle Income",TRUE,"High Income")</f>
        <v>Middle Income</v>
      </c>
      <c r="F57" s="16">
        <v>4</v>
      </c>
      <c r="G57" s="18" t="s">
        <v>27</v>
      </c>
      <c r="H57" s="18" t="s">
        <v>21</v>
      </c>
      <c r="I57" s="18" t="s">
        <v>15</v>
      </c>
      <c r="J57" s="16">
        <v>2</v>
      </c>
      <c r="K57" s="18" t="s">
        <v>43</v>
      </c>
      <c r="L57" s="18" t="s">
        <v>17</v>
      </c>
      <c r="M57" s="14">
        <v>54</v>
      </c>
      <c r="N57" s="18" t="str" cm="1">
        <f t="array" ref="N57">_xlfn.IFS(Cleaned_Working_Sheet!$M57&lt;=34,"Young",Cleaned_Working_Sheet!$M57&lt;=54,"Middle-aged",Cleaned_Working_Sheet!$M57&gt;54,"Old")</f>
        <v>Middle-aged</v>
      </c>
      <c r="O57" s="18" t="s">
        <v>18</v>
      </c>
    </row>
    <row r="58" spans="1:15" x14ac:dyDescent="0.25">
      <c r="A58" s="14">
        <v>12808</v>
      </c>
      <c r="B58" s="18" t="s">
        <v>36</v>
      </c>
      <c r="C58" s="18" t="s">
        <v>39</v>
      </c>
      <c r="D58" s="6">
        <v>40000</v>
      </c>
      <c r="E58" s="18" t="str" cm="1">
        <f t="array" ref="E58">_xlfn.IFS(Cleaned_Working_Sheet!$D58&lt;=50000,"Low Income",Cleaned_Working_Sheet!$D58&lt;100000,"Middle Income",TRUE,"High Income")</f>
        <v>Low Income</v>
      </c>
      <c r="F58" s="16">
        <v>0</v>
      </c>
      <c r="G58" s="18" t="s">
        <v>13</v>
      </c>
      <c r="H58" s="18" t="s">
        <v>20</v>
      </c>
      <c r="I58" s="18" t="s">
        <v>15</v>
      </c>
      <c r="J58" s="16">
        <v>0</v>
      </c>
      <c r="K58" s="18" t="s">
        <v>16</v>
      </c>
      <c r="L58" s="18" t="s">
        <v>17</v>
      </c>
      <c r="M58" s="14">
        <v>38</v>
      </c>
      <c r="N58" s="18" t="str" cm="1">
        <f t="array" ref="N58">_xlfn.IFS(Cleaned_Working_Sheet!$M58&lt;=34,"Young",Cleaned_Working_Sheet!$M58&lt;=54,"Middle-aged",Cleaned_Working_Sheet!$M58&gt;54,"Old")</f>
        <v>Middle-aged</v>
      </c>
      <c r="O58" s="18" t="s">
        <v>15</v>
      </c>
    </row>
    <row r="59" spans="1:15" x14ac:dyDescent="0.25">
      <c r="A59" s="14">
        <v>20567</v>
      </c>
      <c r="B59" s="18" t="s">
        <v>36</v>
      </c>
      <c r="C59" s="18" t="s">
        <v>39</v>
      </c>
      <c r="D59" s="6">
        <v>130000</v>
      </c>
      <c r="E59" s="18" t="str" cm="1">
        <f t="array" ref="E59">_xlfn.IFS(Cleaned_Working_Sheet!$D59&lt;=50000,"Low Income",Cleaned_Working_Sheet!$D59&lt;100000,"Middle Income",TRUE,"High Income")</f>
        <v>High Income</v>
      </c>
      <c r="F59" s="16">
        <v>4</v>
      </c>
      <c r="G59" s="18" t="s">
        <v>19</v>
      </c>
      <c r="H59" s="18" t="s">
        <v>21</v>
      </c>
      <c r="I59" s="18" t="s">
        <v>18</v>
      </c>
      <c r="J59" s="16">
        <v>4</v>
      </c>
      <c r="K59" s="18" t="s">
        <v>23</v>
      </c>
      <c r="L59" s="18" t="s">
        <v>17</v>
      </c>
      <c r="M59" s="14">
        <v>61</v>
      </c>
      <c r="N59" s="18" t="str" cm="1">
        <f t="array" ref="N59">_xlfn.IFS(Cleaned_Working_Sheet!$M59&lt;=34,"Young",Cleaned_Working_Sheet!$M59&lt;=54,"Middle-aged",Cleaned_Working_Sheet!$M59&gt;54,"Old")</f>
        <v>Old</v>
      </c>
      <c r="O59" s="18" t="s">
        <v>15</v>
      </c>
    </row>
    <row r="60" spans="1:15" x14ac:dyDescent="0.25">
      <c r="A60" s="14">
        <v>25502</v>
      </c>
      <c r="B60" s="18" t="s">
        <v>36</v>
      </c>
      <c r="C60" s="18" t="s">
        <v>38</v>
      </c>
      <c r="D60" s="6">
        <v>40000</v>
      </c>
      <c r="E60" s="18" t="str" cm="1">
        <f t="array" ref="E60">_xlfn.IFS(Cleaned_Working_Sheet!$D60&lt;=50000,"Low Income",Cleaned_Working_Sheet!$D60&lt;100000,"Middle Income",TRUE,"High Income")</f>
        <v>Low Income</v>
      </c>
      <c r="F60" s="16">
        <v>1</v>
      </c>
      <c r="G60" s="18" t="s">
        <v>13</v>
      </c>
      <c r="H60" s="18" t="s">
        <v>14</v>
      </c>
      <c r="I60" s="18" t="s">
        <v>15</v>
      </c>
      <c r="J60" s="16">
        <v>0</v>
      </c>
      <c r="K60" s="18" t="s">
        <v>16</v>
      </c>
      <c r="L60" s="18" t="s">
        <v>17</v>
      </c>
      <c r="M60" s="14">
        <v>43</v>
      </c>
      <c r="N60" s="18" t="str" cm="1">
        <f t="array" ref="N60">_xlfn.IFS(Cleaned_Working_Sheet!$M60&lt;=34,"Young",Cleaned_Working_Sheet!$M60&lt;=54,"Middle-aged",Cleaned_Working_Sheet!$M60&gt;54,"Old")</f>
        <v>Middle-aged</v>
      </c>
      <c r="O60" s="18" t="s">
        <v>15</v>
      </c>
    </row>
    <row r="61" spans="1:15" x14ac:dyDescent="0.25">
      <c r="A61" s="14">
        <v>15580</v>
      </c>
      <c r="B61" s="18" t="s">
        <v>36</v>
      </c>
      <c r="C61" s="18" t="s">
        <v>39</v>
      </c>
      <c r="D61" s="6">
        <v>60000</v>
      </c>
      <c r="E61" s="18" t="str" cm="1">
        <f t="array" ref="E61">_xlfn.IFS(Cleaned_Working_Sheet!$D61&lt;=50000,"Low Income",Cleaned_Working_Sheet!$D61&lt;100000,"Middle Income",TRUE,"High Income")</f>
        <v>Middle Income</v>
      </c>
      <c r="F61" s="16">
        <v>2</v>
      </c>
      <c r="G61" s="18" t="s">
        <v>13</v>
      </c>
      <c r="H61" s="18" t="s">
        <v>21</v>
      </c>
      <c r="I61" s="18" t="s">
        <v>15</v>
      </c>
      <c r="J61" s="16">
        <v>1</v>
      </c>
      <c r="K61" s="18" t="s">
        <v>22</v>
      </c>
      <c r="L61" s="18" t="s">
        <v>24</v>
      </c>
      <c r="M61" s="14">
        <v>38</v>
      </c>
      <c r="N61" s="18" t="str" cm="1">
        <f t="array" ref="N61">_xlfn.IFS(Cleaned_Working_Sheet!$M61&lt;=34,"Young",Cleaned_Working_Sheet!$M61&lt;=54,"Middle-aged",Cleaned_Working_Sheet!$M61&gt;54,"Old")</f>
        <v>Middle-aged</v>
      </c>
      <c r="O61" s="18" t="s">
        <v>15</v>
      </c>
    </row>
    <row r="62" spans="1:15" x14ac:dyDescent="0.25">
      <c r="A62" s="14">
        <v>24185</v>
      </c>
      <c r="B62" s="18" t="s">
        <v>37</v>
      </c>
      <c r="C62" s="18" t="s">
        <v>38</v>
      </c>
      <c r="D62" s="6">
        <v>10000</v>
      </c>
      <c r="E62" s="18" t="str" cm="1">
        <f t="array" ref="E62">_xlfn.IFS(Cleaned_Working_Sheet!$D62&lt;=50000,"Low Income",Cleaned_Working_Sheet!$D62&lt;100000,"Middle Income",TRUE,"High Income")</f>
        <v>Low Income</v>
      </c>
      <c r="F62" s="16">
        <v>1</v>
      </c>
      <c r="G62" s="18" t="s">
        <v>27</v>
      </c>
      <c r="H62" s="18" t="s">
        <v>25</v>
      </c>
      <c r="I62" s="18" t="s">
        <v>18</v>
      </c>
      <c r="J62" s="16">
        <v>1</v>
      </c>
      <c r="K62" s="18" t="s">
        <v>26</v>
      </c>
      <c r="L62" s="18" t="s">
        <v>17</v>
      </c>
      <c r="M62" s="14">
        <v>45</v>
      </c>
      <c r="N62" s="18" t="str" cm="1">
        <f t="array" ref="N62">_xlfn.IFS(Cleaned_Working_Sheet!$M62&lt;=34,"Young",Cleaned_Working_Sheet!$M62&lt;=54,"Middle-aged",Cleaned_Working_Sheet!$M62&gt;54,"Old")</f>
        <v>Middle-aged</v>
      </c>
      <c r="O62" s="18" t="s">
        <v>18</v>
      </c>
    </row>
    <row r="63" spans="1:15" x14ac:dyDescent="0.25">
      <c r="A63" s="14">
        <v>19291</v>
      </c>
      <c r="B63" s="18" t="s">
        <v>37</v>
      </c>
      <c r="C63" s="18" t="s">
        <v>38</v>
      </c>
      <c r="D63" s="6">
        <v>10000</v>
      </c>
      <c r="E63" s="18" t="str" cm="1">
        <f t="array" ref="E63">_xlfn.IFS(Cleaned_Working_Sheet!$D63&lt;=50000,"Low Income",Cleaned_Working_Sheet!$D63&lt;100000,"Middle Income",TRUE,"High Income")</f>
        <v>Low Income</v>
      </c>
      <c r="F63" s="16">
        <v>2</v>
      </c>
      <c r="G63" s="18" t="s">
        <v>27</v>
      </c>
      <c r="H63" s="18" t="s">
        <v>25</v>
      </c>
      <c r="I63" s="18" t="s">
        <v>15</v>
      </c>
      <c r="J63" s="16">
        <v>0</v>
      </c>
      <c r="K63" s="18" t="s">
        <v>16</v>
      </c>
      <c r="L63" s="18" t="s">
        <v>17</v>
      </c>
      <c r="M63" s="14">
        <v>35</v>
      </c>
      <c r="N63" s="18" t="str" cm="1">
        <f t="array" ref="N63">_xlfn.IFS(Cleaned_Working_Sheet!$M63&lt;=34,"Young",Cleaned_Working_Sheet!$M63&lt;=54,"Middle-aged",Cleaned_Working_Sheet!$M63&gt;54,"Old")</f>
        <v>Middle-aged</v>
      </c>
      <c r="O63" s="18" t="s">
        <v>18</v>
      </c>
    </row>
    <row r="64" spans="1:15" x14ac:dyDescent="0.25">
      <c r="A64" s="14">
        <v>16713</v>
      </c>
      <c r="B64" s="18" t="s">
        <v>36</v>
      </c>
      <c r="C64" s="18" t="s">
        <v>39</v>
      </c>
      <c r="D64" s="6">
        <v>40000</v>
      </c>
      <c r="E64" s="18" t="str" cm="1">
        <f t="array" ref="E64">_xlfn.IFS(Cleaned_Working_Sheet!$D64&lt;=50000,"Low Income",Cleaned_Working_Sheet!$D64&lt;100000,"Middle Income",TRUE,"High Income")</f>
        <v>Low Income</v>
      </c>
      <c r="F64" s="16">
        <v>2</v>
      </c>
      <c r="G64" s="18" t="s">
        <v>13</v>
      </c>
      <c r="H64" s="18" t="s">
        <v>28</v>
      </c>
      <c r="I64" s="18" t="s">
        <v>15</v>
      </c>
      <c r="J64" s="16">
        <v>1</v>
      </c>
      <c r="K64" s="18" t="s">
        <v>16</v>
      </c>
      <c r="L64" s="18" t="s">
        <v>24</v>
      </c>
      <c r="M64" s="14">
        <v>52</v>
      </c>
      <c r="N64" s="18" t="str" cm="1">
        <f t="array" ref="N64">_xlfn.IFS(Cleaned_Working_Sheet!$M64&lt;=34,"Young",Cleaned_Working_Sheet!$M64&lt;=54,"Middle-aged",Cleaned_Working_Sheet!$M64&gt;54,"Old")</f>
        <v>Middle-aged</v>
      </c>
      <c r="O64" s="18" t="s">
        <v>15</v>
      </c>
    </row>
    <row r="65" spans="1:15" x14ac:dyDescent="0.25">
      <c r="A65" s="14">
        <v>16185</v>
      </c>
      <c r="B65" s="18" t="s">
        <v>37</v>
      </c>
      <c r="C65" s="18" t="s">
        <v>39</v>
      </c>
      <c r="D65" s="6">
        <v>60000</v>
      </c>
      <c r="E65" s="18" t="str" cm="1">
        <f t="array" ref="E65">_xlfn.IFS(Cleaned_Working_Sheet!$D65&lt;=50000,"Low Income",Cleaned_Working_Sheet!$D65&lt;100000,"Middle Income",TRUE,"High Income")</f>
        <v>Middle Income</v>
      </c>
      <c r="F65" s="16">
        <v>4</v>
      </c>
      <c r="G65" s="18" t="s">
        <v>13</v>
      </c>
      <c r="H65" s="18" t="s">
        <v>21</v>
      </c>
      <c r="I65" s="18" t="s">
        <v>15</v>
      </c>
      <c r="J65" s="16">
        <v>3</v>
      </c>
      <c r="K65" s="18" t="s">
        <v>43</v>
      </c>
      <c r="L65" s="18" t="s">
        <v>24</v>
      </c>
      <c r="M65" s="14">
        <v>41</v>
      </c>
      <c r="N65" s="18" t="str" cm="1">
        <f t="array" ref="N65">_xlfn.IFS(Cleaned_Working_Sheet!$M65&lt;=34,"Young",Cleaned_Working_Sheet!$M65&lt;=54,"Middle-aged",Cleaned_Working_Sheet!$M65&gt;54,"Old")</f>
        <v>Middle-aged</v>
      </c>
      <c r="O65" s="18" t="s">
        <v>18</v>
      </c>
    </row>
    <row r="66" spans="1:15" x14ac:dyDescent="0.25">
      <c r="A66" s="14">
        <v>14927</v>
      </c>
      <c r="B66" s="18" t="s">
        <v>36</v>
      </c>
      <c r="C66" s="18" t="s">
        <v>38</v>
      </c>
      <c r="D66" s="6">
        <v>30000</v>
      </c>
      <c r="E66" s="18" t="str" cm="1">
        <f t="array" ref="E66">_xlfn.IFS(Cleaned_Working_Sheet!$D66&lt;=50000,"Low Income",Cleaned_Working_Sheet!$D66&lt;100000,"Middle Income",TRUE,"High Income")</f>
        <v>Low Income</v>
      </c>
      <c r="F66" s="16">
        <v>1</v>
      </c>
      <c r="G66" s="18" t="s">
        <v>13</v>
      </c>
      <c r="H66" s="18" t="s">
        <v>20</v>
      </c>
      <c r="I66" s="18" t="s">
        <v>15</v>
      </c>
      <c r="J66" s="16">
        <v>0</v>
      </c>
      <c r="K66" s="18" t="s">
        <v>16</v>
      </c>
      <c r="L66" s="18" t="s">
        <v>17</v>
      </c>
      <c r="M66" s="14">
        <v>37</v>
      </c>
      <c r="N66" s="18" t="str" cm="1">
        <f t="array" ref="N66">_xlfn.IFS(Cleaned_Working_Sheet!$M66&lt;=34,"Young",Cleaned_Working_Sheet!$M66&lt;=54,"Middle-aged",Cleaned_Working_Sheet!$M66&gt;54,"Old")</f>
        <v>Middle-aged</v>
      </c>
      <c r="O66" s="18" t="s">
        <v>15</v>
      </c>
    </row>
    <row r="67" spans="1:15" x14ac:dyDescent="0.25">
      <c r="A67" s="14">
        <v>29337</v>
      </c>
      <c r="B67" s="18" t="s">
        <v>37</v>
      </c>
      <c r="C67" s="18" t="s">
        <v>39</v>
      </c>
      <c r="D67" s="6">
        <v>30000</v>
      </c>
      <c r="E67" s="18" t="str" cm="1">
        <f t="array" ref="E67">_xlfn.IFS(Cleaned_Working_Sheet!$D67&lt;=50000,"Low Income",Cleaned_Working_Sheet!$D67&lt;100000,"Middle Income",TRUE,"High Income")</f>
        <v>Low Income</v>
      </c>
      <c r="F67" s="16">
        <v>2</v>
      </c>
      <c r="G67" s="18" t="s">
        <v>19</v>
      </c>
      <c r="H67" s="18" t="s">
        <v>20</v>
      </c>
      <c r="I67" s="18" t="s">
        <v>15</v>
      </c>
      <c r="J67" s="16">
        <v>2</v>
      </c>
      <c r="K67" s="18" t="s">
        <v>23</v>
      </c>
      <c r="L67" s="18" t="s">
        <v>24</v>
      </c>
      <c r="M67" s="14">
        <v>68</v>
      </c>
      <c r="N67" s="18" t="str" cm="1">
        <f t="array" ref="N67">_xlfn.IFS(Cleaned_Working_Sheet!$M67&lt;=34,"Young",Cleaned_Working_Sheet!$M67&lt;=54,"Middle-aged",Cleaned_Working_Sheet!$M67&gt;54,"Old")</f>
        <v>Old</v>
      </c>
      <c r="O67" s="18" t="s">
        <v>18</v>
      </c>
    </row>
    <row r="68" spans="1:15" x14ac:dyDescent="0.25">
      <c r="A68" s="14">
        <v>29355</v>
      </c>
      <c r="B68" s="18" t="s">
        <v>36</v>
      </c>
      <c r="C68" s="18" t="s">
        <v>38</v>
      </c>
      <c r="D68" s="6">
        <v>40000</v>
      </c>
      <c r="E68" s="18" t="str" cm="1">
        <f t="array" ref="E68">_xlfn.IFS(Cleaned_Working_Sheet!$D68&lt;=50000,"Low Income",Cleaned_Working_Sheet!$D68&lt;100000,"Middle Income",TRUE,"High Income")</f>
        <v>Low Income</v>
      </c>
      <c r="F68" s="16">
        <v>0</v>
      </c>
      <c r="G68" s="18" t="s">
        <v>31</v>
      </c>
      <c r="H68" s="18" t="s">
        <v>20</v>
      </c>
      <c r="I68" s="18" t="s">
        <v>15</v>
      </c>
      <c r="J68" s="16">
        <v>0</v>
      </c>
      <c r="K68" s="18" t="s">
        <v>16</v>
      </c>
      <c r="L68" s="18" t="s">
        <v>17</v>
      </c>
      <c r="M68" s="14">
        <v>37</v>
      </c>
      <c r="N68" s="18" t="str" cm="1">
        <f t="array" ref="N68">_xlfn.IFS(Cleaned_Working_Sheet!$M68&lt;=34,"Young",Cleaned_Working_Sheet!$M68&lt;=54,"Middle-aged",Cleaned_Working_Sheet!$M68&gt;54,"Old")</f>
        <v>Middle-aged</v>
      </c>
      <c r="O68" s="18" t="s">
        <v>15</v>
      </c>
    </row>
    <row r="69" spans="1:15" x14ac:dyDescent="0.25">
      <c r="A69" s="14">
        <v>25303</v>
      </c>
      <c r="B69" s="18" t="s">
        <v>37</v>
      </c>
      <c r="C69" s="18" t="s">
        <v>39</v>
      </c>
      <c r="D69" s="6">
        <v>30000</v>
      </c>
      <c r="E69" s="18" t="str" cm="1">
        <f t="array" ref="E69">_xlfn.IFS(Cleaned_Working_Sheet!$D69&lt;=50000,"Low Income",Cleaned_Working_Sheet!$D69&lt;100000,"Middle Income",TRUE,"High Income")</f>
        <v>Low Income</v>
      </c>
      <c r="F69" s="16">
        <v>0</v>
      </c>
      <c r="G69" s="18" t="s">
        <v>27</v>
      </c>
      <c r="H69" s="18" t="s">
        <v>25</v>
      </c>
      <c r="I69" s="18" t="s">
        <v>15</v>
      </c>
      <c r="J69" s="16">
        <v>1</v>
      </c>
      <c r="K69" s="18" t="s">
        <v>22</v>
      </c>
      <c r="L69" s="18" t="s">
        <v>17</v>
      </c>
      <c r="M69" s="14">
        <v>33</v>
      </c>
      <c r="N69" s="18" t="str" cm="1">
        <f t="array" ref="N69">_xlfn.IFS(Cleaned_Working_Sheet!$M69&lt;=34,"Young",Cleaned_Working_Sheet!$M69&lt;=54,"Middle-aged",Cleaned_Working_Sheet!$M69&gt;54,"Old")</f>
        <v>Young</v>
      </c>
      <c r="O69" s="18" t="s">
        <v>15</v>
      </c>
    </row>
    <row r="70" spans="1:15" x14ac:dyDescent="0.25">
      <c r="A70" s="14">
        <v>14813</v>
      </c>
      <c r="B70" s="18" t="s">
        <v>37</v>
      </c>
      <c r="C70" s="18" t="s">
        <v>38</v>
      </c>
      <c r="D70" s="6">
        <v>20000</v>
      </c>
      <c r="E70" s="18" t="str" cm="1">
        <f t="array" ref="E70">_xlfn.IFS(Cleaned_Working_Sheet!$D70&lt;=50000,"Low Income",Cleaned_Working_Sheet!$D70&lt;100000,"Middle Income",TRUE,"High Income")</f>
        <v>Low Income</v>
      </c>
      <c r="F70" s="16">
        <v>4</v>
      </c>
      <c r="G70" s="18" t="s">
        <v>27</v>
      </c>
      <c r="H70" s="18" t="s">
        <v>25</v>
      </c>
      <c r="I70" s="18" t="s">
        <v>15</v>
      </c>
      <c r="J70" s="16">
        <v>1</v>
      </c>
      <c r="K70" s="18" t="s">
        <v>16</v>
      </c>
      <c r="L70" s="18" t="s">
        <v>17</v>
      </c>
      <c r="M70" s="14">
        <v>43</v>
      </c>
      <c r="N70" s="18" t="str" cm="1">
        <f t="array" ref="N70">_xlfn.IFS(Cleaned_Working_Sheet!$M70&lt;=34,"Young",Cleaned_Working_Sheet!$M70&lt;=54,"Middle-aged",Cleaned_Working_Sheet!$M70&gt;54,"Old")</f>
        <v>Middle-aged</v>
      </c>
      <c r="O70" s="18" t="s">
        <v>15</v>
      </c>
    </row>
    <row r="71" spans="1:15" x14ac:dyDescent="0.25">
      <c r="A71" s="14">
        <v>16438</v>
      </c>
      <c r="B71" s="18" t="s">
        <v>36</v>
      </c>
      <c r="C71" s="18" t="s">
        <v>38</v>
      </c>
      <c r="D71" s="6">
        <v>10000</v>
      </c>
      <c r="E71" s="18" t="str" cm="1">
        <f t="array" ref="E71">_xlfn.IFS(Cleaned_Working_Sheet!$D71&lt;=50000,"Low Income",Cleaned_Working_Sheet!$D71&lt;100000,"Middle Income",TRUE,"High Income")</f>
        <v>Low Income</v>
      </c>
      <c r="F71" s="16">
        <v>0</v>
      </c>
      <c r="G71" s="18" t="s">
        <v>29</v>
      </c>
      <c r="H71" s="18" t="s">
        <v>25</v>
      </c>
      <c r="I71" s="18" t="s">
        <v>18</v>
      </c>
      <c r="J71" s="16">
        <v>2</v>
      </c>
      <c r="K71" s="18" t="s">
        <v>16</v>
      </c>
      <c r="L71" s="18" t="s">
        <v>17</v>
      </c>
      <c r="M71" s="14">
        <v>30</v>
      </c>
      <c r="N71" s="18" t="str" cm="1">
        <f t="array" ref="N71">_xlfn.IFS(Cleaned_Working_Sheet!$M71&lt;=34,"Young",Cleaned_Working_Sheet!$M71&lt;=54,"Middle-aged",Cleaned_Working_Sheet!$M71&gt;54,"Old")</f>
        <v>Young</v>
      </c>
      <c r="O71" s="18" t="s">
        <v>18</v>
      </c>
    </row>
    <row r="72" spans="1:15" x14ac:dyDescent="0.25">
      <c r="A72" s="14">
        <v>14238</v>
      </c>
      <c r="B72" s="18" t="s">
        <v>36</v>
      </c>
      <c r="C72" s="18" t="s">
        <v>39</v>
      </c>
      <c r="D72" s="6">
        <v>120000</v>
      </c>
      <c r="E72" s="18" t="str" cm="1">
        <f t="array" ref="E72">_xlfn.IFS(Cleaned_Working_Sheet!$D72&lt;=50000,"Low Income",Cleaned_Working_Sheet!$D72&lt;100000,"Middle Income",TRUE,"High Income")</f>
        <v>High Income</v>
      </c>
      <c r="F72" s="16">
        <v>0</v>
      </c>
      <c r="G72" s="18" t="s">
        <v>29</v>
      </c>
      <c r="H72" s="18" t="s">
        <v>21</v>
      </c>
      <c r="I72" s="18" t="s">
        <v>15</v>
      </c>
      <c r="J72" s="16">
        <v>4</v>
      </c>
      <c r="K72" s="18" t="s">
        <v>43</v>
      </c>
      <c r="L72" s="18" t="s">
        <v>24</v>
      </c>
      <c r="M72" s="14">
        <v>36</v>
      </c>
      <c r="N72" s="18" t="str" cm="1">
        <f t="array" ref="N72">_xlfn.IFS(Cleaned_Working_Sheet!$M72&lt;=34,"Young",Cleaned_Working_Sheet!$M72&lt;=54,"Middle-aged",Cleaned_Working_Sheet!$M72&gt;54,"Old")</f>
        <v>Middle-aged</v>
      </c>
      <c r="O72" s="18" t="s">
        <v>15</v>
      </c>
    </row>
    <row r="73" spans="1:15" x14ac:dyDescent="0.25">
      <c r="A73" s="14">
        <v>16200</v>
      </c>
      <c r="B73" s="18" t="s">
        <v>37</v>
      </c>
      <c r="C73" s="18" t="s">
        <v>38</v>
      </c>
      <c r="D73" s="6">
        <v>10000</v>
      </c>
      <c r="E73" s="18" t="str" cm="1">
        <f t="array" ref="E73">_xlfn.IFS(Cleaned_Working_Sheet!$D73&lt;=50000,"Low Income",Cleaned_Working_Sheet!$D73&lt;100000,"Middle Income",TRUE,"High Income")</f>
        <v>Low Income</v>
      </c>
      <c r="F73" s="16">
        <v>0</v>
      </c>
      <c r="G73" s="18" t="s">
        <v>29</v>
      </c>
      <c r="H73" s="18" t="s">
        <v>25</v>
      </c>
      <c r="I73" s="18" t="s">
        <v>18</v>
      </c>
      <c r="J73" s="16">
        <v>2</v>
      </c>
      <c r="K73" s="18" t="s">
        <v>16</v>
      </c>
      <c r="L73" s="18" t="s">
        <v>17</v>
      </c>
      <c r="M73" s="14">
        <v>35</v>
      </c>
      <c r="N73" s="18" t="str" cm="1">
        <f t="array" ref="N73">_xlfn.IFS(Cleaned_Working_Sheet!$M73&lt;=34,"Young",Cleaned_Working_Sheet!$M73&lt;=54,"Middle-aged",Cleaned_Working_Sheet!$M73&gt;54,"Old")</f>
        <v>Middle-aged</v>
      </c>
      <c r="O73" s="18" t="s">
        <v>18</v>
      </c>
    </row>
    <row r="74" spans="1:15" x14ac:dyDescent="0.25">
      <c r="A74" s="14">
        <v>24857</v>
      </c>
      <c r="B74" s="18" t="s">
        <v>36</v>
      </c>
      <c r="C74" s="18" t="s">
        <v>38</v>
      </c>
      <c r="D74" s="6">
        <v>130000</v>
      </c>
      <c r="E74" s="18" t="str" cm="1">
        <f t="array" ref="E74">_xlfn.IFS(Cleaned_Working_Sheet!$D74&lt;=50000,"Low Income",Cleaned_Working_Sheet!$D74&lt;100000,"Middle Income",TRUE,"High Income")</f>
        <v>High Income</v>
      </c>
      <c r="F74" s="16">
        <v>3</v>
      </c>
      <c r="G74" s="18" t="s">
        <v>27</v>
      </c>
      <c r="H74" s="18" t="s">
        <v>21</v>
      </c>
      <c r="I74" s="18" t="s">
        <v>15</v>
      </c>
      <c r="J74" s="16">
        <v>4</v>
      </c>
      <c r="K74" s="18" t="s">
        <v>16</v>
      </c>
      <c r="L74" s="18" t="s">
        <v>17</v>
      </c>
      <c r="M74" s="14">
        <v>52</v>
      </c>
      <c r="N74" s="18" t="str" cm="1">
        <f t="array" ref="N74">_xlfn.IFS(Cleaned_Working_Sheet!$M74&lt;=34,"Young",Cleaned_Working_Sheet!$M74&lt;=54,"Middle-aged",Cleaned_Working_Sheet!$M74&gt;54,"Old")</f>
        <v>Middle-aged</v>
      </c>
      <c r="O74" s="18" t="s">
        <v>18</v>
      </c>
    </row>
    <row r="75" spans="1:15" x14ac:dyDescent="0.25">
      <c r="A75" s="14">
        <v>26956</v>
      </c>
      <c r="B75" s="18" t="s">
        <v>37</v>
      </c>
      <c r="C75" s="18" t="s">
        <v>38</v>
      </c>
      <c r="D75" s="6">
        <v>20000</v>
      </c>
      <c r="E75" s="18" t="str" cm="1">
        <f t="array" ref="E75">_xlfn.IFS(Cleaned_Working_Sheet!$D75&lt;=50000,"Low Income",Cleaned_Working_Sheet!$D75&lt;100000,"Middle Income",TRUE,"High Income")</f>
        <v>Low Income</v>
      </c>
      <c r="F75" s="16">
        <v>0</v>
      </c>
      <c r="G75" s="18" t="s">
        <v>19</v>
      </c>
      <c r="H75" s="18" t="s">
        <v>25</v>
      </c>
      <c r="I75" s="18" t="s">
        <v>18</v>
      </c>
      <c r="J75" s="16">
        <v>1</v>
      </c>
      <c r="K75" s="18" t="s">
        <v>22</v>
      </c>
      <c r="L75" s="18" t="s">
        <v>17</v>
      </c>
      <c r="M75" s="14">
        <v>36</v>
      </c>
      <c r="N75" s="18" t="str" cm="1">
        <f t="array" ref="N75">_xlfn.IFS(Cleaned_Working_Sheet!$M75&lt;=34,"Young",Cleaned_Working_Sheet!$M75&lt;=54,"Middle-aged",Cleaned_Working_Sheet!$M75&gt;54,"Old")</f>
        <v>Middle-aged</v>
      </c>
      <c r="O75" s="18" t="s">
        <v>15</v>
      </c>
    </row>
    <row r="76" spans="1:15" x14ac:dyDescent="0.25">
      <c r="A76" s="14">
        <v>14517</v>
      </c>
      <c r="B76" s="18" t="s">
        <v>36</v>
      </c>
      <c r="C76" s="18" t="s">
        <v>38</v>
      </c>
      <c r="D76" s="6">
        <v>20000</v>
      </c>
      <c r="E76" s="18" t="str" cm="1">
        <f t="array" ref="E76">_xlfn.IFS(Cleaned_Working_Sheet!$D76&lt;=50000,"Low Income",Cleaned_Working_Sheet!$D76&lt;100000,"Middle Income",TRUE,"High Income")</f>
        <v>Low Income</v>
      </c>
      <c r="F76" s="16">
        <v>3</v>
      </c>
      <c r="G76" s="18" t="s">
        <v>27</v>
      </c>
      <c r="H76" s="18" t="s">
        <v>14</v>
      </c>
      <c r="I76" s="18" t="s">
        <v>18</v>
      </c>
      <c r="J76" s="16">
        <v>2</v>
      </c>
      <c r="K76" s="18" t="s">
        <v>26</v>
      </c>
      <c r="L76" s="18" t="s">
        <v>24</v>
      </c>
      <c r="M76" s="14">
        <v>62</v>
      </c>
      <c r="N76" s="18" t="str" cm="1">
        <f t="array" ref="N76">_xlfn.IFS(Cleaned_Working_Sheet!$M76&lt;=34,"Young",Cleaned_Working_Sheet!$M76&lt;=54,"Middle-aged",Cleaned_Working_Sheet!$M76&gt;54,"Old")</f>
        <v>Old</v>
      </c>
      <c r="O76" s="18" t="s">
        <v>18</v>
      </c>
    </row>
    <row r="77" spans="1:15" x14ac:dyDescent="0.25">
      <c r="A77" s="14">
        <v>12678</v>
      </c>
      <c r="B77" s="18" t="s">
        <v>37</v>
      </c>
      <c r="C77" s="18" t="s">
        <v>38</v>
      </c>
      <c r="D77" s="6">
        <v>130000</v>
      </c>
      <c r="E77" s="18" t="str" cm="1">
        <f t="array" ref="E77">_xlfn.IFS(Cleaned_Working_Sheet!$D77&lt;=50000,"Low Income",Cleaned_Working_Sheet!$D77&lt;100000,"Middle Income",TRUE,"High Income")</f>
        <v>High Income</v>
      </c>
      <c r="F77" s="16">
        <v>4</v>
      </c>
      <c r="G77" s="18" t="s">
        <v>27</v>
      </c>
      <c r="H77" s="18" t="s">
        <v>28</v>
      </c>
      <c r="I77" s="18" t="s">
        <v>15</v>
      </c>
      <c r="J77" s="16">
        <v>4</v>
      </c>
      <c r="K77" s="18" t="s">
        <v>16</v>
      </c>
      <c r="L77" s="18" t="s">
        <v>24</v>
      </c>
      <c r="M77" s="14">
        <v>31</v>
      </c>
      <c r="N77" s="18" t="str" cm="1">
        <f t="array" ref="N77">_xlfn.IFS(Cleaned_Working_Sheet!$M77&lt;=34,"Young",Cleaned_Working_Sheet!$M77&lt;=54,"Middle-aged",Cleaned_Working_Sheet!$M77&gt;54,"Old")</f>
        <v>Young</v>
      </c>
      <c r="O77" s="18" t="s">
        <v>18</v>
      </c>
    </row>
    <row r="78" spans="1:15" x14ac:dyDescent="0.25">
      <c r="A78" s="14">
        <v>16188</v>
      </c>
      <c r="B78" s="18" t="s">
        <v>37</v>
      </c>
      <c r="C78" s="18" t="s">
        <v>38</v>
      </c>
      <c r="D78" s="6">
        <v>20000</v>
      </c>
      <c r="E78" s="18" t="str" cm="1">
        <f t="array" ref="E78">_xlfn.IFS(Cleaned_Working_Sheet!$D78&lt;=50000,"Low Income",Cleaned_Working_Sheet!$D78&lt;100000,"Middle Income",TRUE,"High Income")</f>
        <v>Low Income</v>
      </c>
      <c r="F78" s="16">
        <v>0</v>
      </c>
      <c r="G78" s="18" t="s">
        <v>29</v>
      </c>
      <c r="H78" s="18" t="s">
        <v>25</v>
      </c>
      <c r="I78" s="18" t="s">
        <v>18</v>
      </c>
      <c r="J78" s="16">
        <v>2</v>
      </c>
      <c r="K78" s="18" t="s">
        <v>26</v>
      </c>
      <c r="L78" s="18" t="s">
        <v>17</v>
      </c>
      <c r="M78" s="14">
        <v>26</v>
      </c>
      <c r="N78" s="18" t="str" cm="1">
        <f t="array" ref="N78">_xlfn.IFS(Cleaned_Working_Sheet!$M78&lt;=34,"Young",Cleaned_Working_Sheet!$M78&lt;=54,"Middle-aged",Cleaned_Working_Sheet!$M78&gt;54,"Old")</f>
        <v>Young</v>
      </c>
      <c r="O78" s="18" t="s">
        <v>18</v>
      </c>
    </row>
    <row r="79" spans="1:15" x14ac:dyDescent="0.25">
      <c r="A79" s="14">
        <v>27969</v>
      </c>
      <c r="B79" s="18" t="s">
        <v>36</v>
      </c>
      <c r="C79" s="18" t="s">
        <v>39</v>
      </c>
      <c r="D79" s="6">
        <v>80000</v>
      </c>
      <c r="E79" s="18" t="str" cm="1">
        <f t="array" ref="E79">_xlfn.IFS(Cleaned_Working_Sheet!$D79&lt;=50000,"Low Income",Cleaned_Working_Sheet!$D79&lt;100000,"Middle Income",TRUE,"High Income")</f>
        <v>Middle Income</v>
      </c>
      <c r="F79" s="16">
        <v>0</v>
      </c>
      <c r="G79" s="18" t="s">
        <v>13</v>
      </c>
      <c r="H79" s="18" t="s">
        <v>21</v>
      </c>
      <c r="I79" s="18" t="s">
        <v>15</v>
      </c>
      <c r="J79" s="16">
        <v>2</v>
      </c>
      <c r="K79" s="18" t="s">
        <v>43</v>
      </c>
      <c r="L79" s="18" t="s">
        <v>24</v>
      </c>
      <c r="M79" s="14">
        <v>29</v>
      </c>
      <c r="N79" s="18" t="str" cm="1">
        <f t="array" ref="N79">_xlfn.IFS(Cleaned_Working_Sheet!$M79&lt;=34,"Young",Cleaned_Working_Sheet!$M79&lt;=54,"Middle-aged",Cleaned_Working_Sheet!$M79&gt;54,"Old")</f>
        <v>Young</v>
      </c>
      <c r="O79" s="18" t="s">
        <v>15</v>
      </c>
    </row>
    <row r="80" spans="1:15" x14ac:dyDescent="0.25">
      <c r="A80" s="14">
        <v>15752</v>
      </c>
      <c r="B80" s="18" t="s">
        <v>36</v>
      </c>
      <c r="C80" s="18" t="s">
        <v>39</v>
      </c>
      <c r="D80" s="6">
        <v>80000</v>
      </c>
      <c r="E80" s="18" t="str" cm="1">
        <f t="array" ref="E80">_xlfn.IFS(Cleaned_Working_Sheet!$D80&lt;=50000,"Low Income",Cleaned_Working_Sheet!$D80&lt;100000,"Middle Income",TRUE,"High Income")</f>
        <v>Middle Income</v>
      </c>
      <c r="F80" s="16">
        <v>2</v>
      </c>
      <c r="G80" s="18" t="s">
        <v>27</v>
      </c>
      <c r="H80" s="18" t="s">
        <v>14</v>
      </c>
      <c r="I80" s="18" t="s">
        <v>18</v>
      </c>
      <c r="J80" s="16">
        <v>2</v>
      </c>
      <c r="K80" s="18" t="s">
        <v>26</v>
      </c>
      <c r="L80" s="18" t="s">
        <v>24</v>
      </c>
      <c r="M80" s="14">
        <v>50</v>
      </c>
      <c r="N80" s="18" t="str" cm="1">
        <f t="array" ref="N80">_xlfn.IFS(Cleaned_Working_Sheet!$M80&lt;=34,"Young",Cleaned_Working_Sheet!$M80&lt;=54,"Middle-aged",Cleaned_Working_Sheet!$M80&gt;54,"Old")</f>
        <v>Middle-aged</v>
      </c>
      <c r="O80" s="18" t="s">
        <v>15</v>
      </c>
    </row>
    <row r="81" spans="1:15" x14ac:dyDescent="0.25">
      <c r="A81" s="14">
        <v>27745</v>
      </c>
      <c r="B81" s="18" t="s">
        <v>37</v>
      </c>
      <c r="C81" s="18" t="s">
        <v>39</v>
      </c>
      <c r="D81" s="6">
        <v>40000</v>
      </c>
      <c r="E81" s="18" t="str" cm="1">
        <f t="array" ref="E81">_xlfn.IFS(Cleaned_Working_Sheet!$D81&lt;=50000,"Low Income",Cleaned_Working_Sheet!$D81&lt;100000,"Middle Income",TRUE,"High Income")</f>
        <v>Low Income</v>
      </c>
      <c r="F81" s="16">
        <v>2</v>
      </c>
      <c r="G81" s="18" t="s">
        <v>13</v>
      </c>
      <c r="H81" s="18" t="s">
        <v>28</v>
      </c>
      <c r="I81" s="18" t="s">
        <v>15</v>
      </c>
      <c r="J81" s="16">
        <v>2</v>
      </c>
      <c r="K81" s="18" t="s">
        <v>23</v>
      </c>
      <c r="L81" s="18" t="s">
        <v>24</v>
      </c>
      <c r="M81" s="14">
        <v>63</v>
      </c>
      <c r="N81" s="18" t="str" cm="1">
        <f t="array" ref="N81">_xlfn.IFS(Cleaned_Working_Sheet!$M81&lt;=34,"Young",Cleaned_Working_Sheet!$M81&lt;=54,"Middle-aged",Cleaned_Working_Sheet!$M81&gt;54,"Old")</f>
        <v>Old</v>
      </c>
      <c r="O81" s="18" t="s">
        <v>15</v>
      </c>
    </row>
    <row r="82" spans="1:15" x14ac:dyDescent="0.25">
      <c r="A82" s="14">
        <v>20828</v>
      </c>
      <c r="B82" s="18" t="s">
        <v>36</v>
      </c>
      <c r="C82" s="18" t="s">
        <v>38</v>
      </c>
      <c r="D82" s="6">
        <v>30000</v>
      </c>
      <c r="E82" s="18" t="str" cm="1">
        <f t="array" ref="E82">_xlfn.IFS(Cleaned_Working_Sheet!$D82&lt;=50000,"Low Income",Cleaned_Working_Sheet!$D82&lt;100000,"Middle Income",TRUE,"High Income")</f>
        <v>Low Income</v>
      </c>
      <c r="F82" s="16">
        <v>4</v>
      </c>
      <c r="G82" s="18" t="s">
        <v>31</v>
      </c>
      <c r="H82" s="18" t="s">
        <v>20</v>
      </c>
      <c r="I82" s="18" t="s">
        <v>15</v>
      </c>
      <c r="J82" s="16">
        <v>0</v>
      </c>
      <c r="K82" s="18" t="s">
        <v>16</v>
      </c>
      <c r="L82" s="18" t="s">
        <v>17</v>
      </c>
      <c r="M82" s="14">
        <v>45</v>
      </c>
      <c r="N82" s="18" t="str" cm="1">
        <f t="array" ref="N82">_xlfn.IFS(Cleaned_Working_Sheet!$M82&lt;=34,"Young",Cleaned_Working_Sheet!$M82&lt;=54,"Middle-aged",Cleaned_Working_Sheet!$M82&gt;54,"Old")</f>
        <v>Middle-aged</v>
      </c>
      <c r="O82" s="18" t="s">
        <v>15</v>
      </c>
    </row>
    <row r="83" spans="1:15" x14ac:dyDescent="0.25">
      <c r="A83" s="14">
        <v>19461</v>
      </c>
      <c r="B83" s="18" t="s">
        <v>37</v>
      </c>
      <c r="C83" s="18" t="s">
        <v>38</v>
      </c>
      <c r="D83" s="6">
        <v>10000</v>
      </c>
      <c r="E83" s="18" t="str" cm="1">
        <f t="array" ref="E83">_xlfn.IFS(Cleaned_Working_Sheet!$D83&lt;=50000,"Low Income",Cleaned_Working_Sheet!$D83&lt;100000,"Middle Income",TRUE,"High Income")</f>
        <v>Low Income</v>
      </c>
      <c r="F83" s="16">
        <v>4</v>
      </c>
      <c r="G83" s="18" t="s">
        <v>29</v>
      </c>
      <c r="H83" s="18" t="s">
        <v>25</v>
      </c>
      <c r="I83" s="18" t="s">
        <v>15</v>
      </c>
      <c r="J83" s="16">
        <v>2</v>
      </c>
      <c r="K83" s="18" t="s">
        <v>16</v>
      </c>
      <c r="L83" s="18" t="s">
        <v>17</v>
      </c>
      <c r="M83" s="14">
        <v>40</v>
      </c>
      <c r="N83" s="18" t="str" cm="1">
        <f t="array" ref="N83">_xlfn.IFS(Cleaned_Working_Sheet!$M83&lt;=34,"Young",Cleaned_Working_Sheet!$M83&lt;=54,"Middle-aged",Cleaned_Working_Sheet!$M83&gt;54,"Old")</f>
        <v>Middle-aged</v>
      </c>
      <c r="O83" s="18" t="s">
        <v>18</v>
      </c>
    </row>
    <row r="84" spans="1:15" x14ac:dyDescent="0.25">
      <c r="A84" s="14">
        <v>26941</v>
      </c>
      <c r="B84" s="18" t="s">
        <v>36</v>
      </c>
      <c r="C84" s="18" t="s">
        <v>39</v>
      </c>
      <c r="D84" s="6">
        <v>30000</v>
      </c>
      <c r="E84" s="18" t="str" cm="1">
        <f t="array" ref="E84">_xlfn.IFS(Cleaned_Working_Sheet!$D84&lt;=50000,"Low Income",Cleaned_Working_Sheet!$D84&lt;100000,"Middle Income",TRUE,"High Income")</f>
        <v>Low Income</v>
      </c>
      <c r="F84" s="16">
        <v>0</v>
      </c>
      <c r="G84" s="18" t="s">
        <v>13</v>
      </c>
      <c r="H84" s="18" t="s">
        <v>20</v>
      </c>
      <c r="I84" s="18" t="s">
        <v>15</v>
      </c>
      <c r="J84" s="16">
        <v>0</v>
      </c>
      <c r="K84" s="18" t="s">
        <v>16</v>
      </c>
      <c r="L84" s="18" t="s">
        <v>17</v>
      </c>
      <c r="M84" s="14">
        <v>47</v>
      </c>
      <c r="N84" s="18" t="str" cm="1">
        <f t="array" ref="N84">_xlfn.IFS(Cleaned_Working_Sheet!$M84&lt;=34,"Young",Cleaned_Working_Sheet!$M84&lt;=54,"Middle-aged",Cleaned_Working_Sheet!$M84&gt;54,"Old")</f>
        <v>Middle-aged</v>
      </c>
      <c r="O84" s="18" t="s">
        <v>15</v>
      </c>
    </row>
    <row r="85" spans="1:15" x14ac:dyDescent="0.25">
      <c r="A85" s="14">
        <v>28412</v>
      </c>
      <c r="B85" s="18" t="s">
        <v>37</v>
      </c>
      <c r="C85" s="18" t="s">
        <v>39</v>
      </c>
      <c r="D85" s="6">
        <v>20000</v>
      </c>
      <c r="E85" s="18" t="str" cm="1">
        <f t="array" ref="E85">_xlfn.IFS(Cleaned_Working_Sheet!$D85&lt;=50000,"Low Income",Cleaned_Working_Sheet!$D85&lt;100000,"Middle Income",TRUE,"High Income")</f>
        <v>Low Income</v>
      </c>
      <c r="F85" s="16">
        <v>0</v>
      </c>
      <c r="G85" s="18" t="s">
        <v>27</v>
      </c>
      <c r="H85" s="18" t="s">
        <v>25</v>
      </c>
      <c r="I85" s="18" t="s">
        <v>18</v>
      </c>
      <c r="J85" s="16">
        <v>1</v>
      </c>
      <c r="K85" s="18" t="s">
        <v>22</v>
      </c>
      <c r="L85" s="18" t="s">
        <v>17</v>
      </c>
      <c r="M85" s="14">
        <v>29</v>
      </c>
      <c r="N85" s="18" t="str" cm="1">
        <f t="array" ref="N85">_xlfn.IFS(Cleaned_Working_Sheet!$M85&lt;=34,"Young",Cleaned_Working_Sheet!$M85&lt;=54,"Middle-aged",Cleaned_Working_Sheet!$M85&gt;54,"Old")</f>
        <v>Young</v>
      </c>
      <c r="O85" s="18" t="s">
        <v>18</v>
      </c>
    </row>
    <row r="86" spans="1:15" x14ac:dyDescent="0.25">
      <c r="A86" s="14">
        <v>24485</v>
      </c>
      <c r="B86" s="18" t="s">
        <v>37</v>
      </c>
      <c r="C86" s="18" t="s">
        <v>39</v>
      </c>
      <c r="D86" s="6">
        <v>40000</v>
      </c>
      <c r="E86" s="18" t="str" cm="1">
        <f t="array" ref="E86">_xlfn.IFS(Cleaned_Working_Sheet!$D86&lt;=50000,"Low Income",Cleaned_Working_Sheet!$D86&lt;100000,"Middle Income",TRUE,"High Income")</f>
        <v>Low Income</v>
      </c>
      <c r="F86" s="16">
        <v>2</v>
      </c>
      <c r="G86" s="18" t="s">
        <v>13</v>
      </c>
      <c r="H86" s="18" t="s">
        <v>28</v>
      </c>
      <c r="I86" s="18" t="s">
        <v>18</v>
      </c>
      <c r="J86" s="16">
        <v>1</v>
      </c>
      <c r="K86" s="18" t="s">
        <v>23</v>
      </c>
      <c r="L86" s="18" t="s">
        <v>24</v>
      </c>
      <c r="M86" s="14">
        <v>52</v>
      </c>
      <c r="N86" s="18" t="str" cm="1">
        <f t="array" ref="N86">_xlfn.IFS(Cleaned_Working_Sheet!$M86&lt;=34,"Young",Cleaned_Working_Sheet!$M86&lt;=54,"Middle-aged",Cleaned_Working_Sheet!$M86&gt;54,"Old")</f>
        <v>Middle-aged</v>
      </c>
      <c r="O86" s="18" t="s">
        <v>15</v>
      </c>
    </row>
    <row r="87" spans="1:15" x14ac:dyDescent="0.25">
      <c r="A87" s="14">
        <v>16514</v>
      </c>
      <c r="B87" s="18" t="s">
        <v>37</v>
      </c>
      <c r="C87" s="18" t="s">
        <v>39</v>
      </c>
      <c r="D87" s="6">
        <v>10000</v>
      </c>
      <c r="E87" s="18" t="str" cm="1">
        <f t="array" ref="E87">_xlfn.IFS(Cleaned_Working_Sheet!$D87&lt;=50000,"Low Income",Cleaned_Working_Sheet!$D87&lt;100000,"Middle Income",TRUE,"High Income")</f>
        <v>Low Income</v>
      </c>
      <c r="F87" s="16">
        <v>0</v>
      </c>
      <c r="G87" s="18" t="s">
        <v>19</v>
      </c>
      <c r="H87" s="18" t="s">
        <v>25</v>
      </c>
      <c r="I87" s="18" t="s">
        <v>15</v>
      </c>
      <c r="J87" s="16">
        <v>1</v>
      </c>
      <c r="K87" s="18" t="s">
        <v>26</v>
      </c>
      <c r="L87" s="18" t="s">
        <v>24</v>
      </c>
      <c r="M87" s="14">
        <v>26</v>
      </c>
      <c r="N87" s="18" t="str" cm="1">
        <f t="array" ref="N87">_xlfn.IFS(Cleaned_Working_Sheet!$M87&lt;=34,"Young",Cleaned_Working_Sheet!$M87&lt;=54,"Middle-aged",Cleaned_Working_Sheet!$M87&gt;54,"Old")</f>
        <v>Young</v>
      </c>
      <c r="O87" s="18" t="s">
        <v>15</v>
      </c>
    </row>
    <row r="88" spans="1:15" x14ac:dyDescent="0.25">
      <c r="A88" s="14">
        <v>17191</v>
      </c>
      <c r="B88" s="18" t="s">
        <v>37</v>
      </c>
      <c r="C88" s="18" t="s">
        <v>39</v>
      </c>
      <c r="D88" s="6">
        <v>130000</v>
      </c>
      <c r="E88" s="18" t="str" cm="1">
        <f t="array" ref="E88">_xlfn.IFS(Cleaned_Working_Sheet!$D88&lt;=50000,"Low Income",Cleaned_Working_Sheet!$D88&lt;100000,"Middle Income",TRUE,"High Income")</f>
        <v>High Income</v>
      </c>
      <c r="F88" s="16">
        <v>3</v>
      </c>
      <c r="G88" s="18" t="s">
        <v>19</v>
      </c>
      <c r="H88" s="18" t="s">
        <v>21</v>
      </c>
      <c r="I88" s="18" t="s">
        <v>18</v>
      </c>
      <c r="J88" s="16">
        <v>3</v>
      </c>
      <c r="K88" s="18" t="s">
        <v>16</v>
      </c>
      <c r="L88" s="18" t="s">
        <v>17</v>
      </c>
      <c r="M88" s="14">
        <v>51</v>
      </c>
      <c r="N88" s="18" t="str" cm="1">
        <f t="array" ref="N88">_xlfn.IFS(Cleaned_Working_Sheet!$M88&lt;=34,"Young",Cleaned_Working_Sheet!$M88&lt;=54,"Middle-aged",Cleaned_Working_Sheet!$M88&gt;54,"Old")</f>
        <v>Middle-aged</v>
      </c>
      <c r="O88" s="18" t="s">
        <v>15</v>
      </c>
    </row>
    <row r="89" spans="1:15" x14ac:dyDescent="0.25">
      <c r="A89" s="14">
        <v>19608</v>
      </c>
      <c r="B89" s="18" t="s">
        <v>36</v>
      </c>
      <c r="C89" s="18" t="s">
        <v>39</v>
      </c>
      <c r="D89" s="6">
        <v>80000</v>
      </c>
      <c r="E89" s="18" t="str" cm="1">
        <f t="array" ref="E89">_xlfn.IFS(Cleaned_Working_Sheet!$D89&lt;=50000,"Low Income",Cleaned_Working_Sheet!$D89&lt;100000,"Middle Income",TRUE,"High Income")</f>
        <v>Middle Income</v>
      </c>
      <c r="F89" s="16">
        <v>5</v>
      </c>
      <c r="G89" s="18" t="s">
        <v>13</v>
      </c>
      <c r="H89" s="18" t="s">
        <v>21</v>
      </c>
      <c r="I89" s="18" t="s">
        <v>15</v>
      </c>
      <c r="J89" s="16">
        <v>4</v>
      </c>
      <c r="K89" s="18" t="s">
        <v>26</v>
      </c>
      <c r="L89" s="18" t="s">
        <v>24</v>
      </c>
      <c r="M89" s="14">
        <v>40</v>
      </c>
      <c r="N89" s="18" t="str" cm="1">
        <f t="array" ref="N89">_xlfn.IFS(Cleaned_Working_Sheet!$M89&lt;=34,"Young",Cleaned_Working_Sheet!$M89&lt;=54,"Middle-aged",Cleaned_Working_Sheet!$M89&gt;54,"Old")</f>
        <v>Middle-aged</v>
      </c>
      <c r="O89" s="18" t="s">
        <v>18</v>
      </c>
    </row>
    <row r="90" spans="1:15" x14ac:dyDescent="0.25">
      <c r="A90" s="14">
        <v>24119</v>
      </c>
      <c r="B90" s="18" t="s">
        <v>37</v>
      </c>
      <c r="C90" s="18" t="s">
        <v>39</v>
      </c>
      <c r="D90" s="6">
        <v>30000</v>
      </c>
      <c r="E90" s="18" t="str" cm="1">
        <f t="array" ref="E90">_xlfn.IFS(Cleaned_Working_Sheet!$D90&lt;=50000,"Low Income",Cleaned_Working_Sheet!$D90&lt;100000,"Middle Income",TRUE,"High Income")</f>
        <v>Low Income</v>
      </c>
      <c r="F90" s="16">
        <v>0</v>
      </c>
      <c r="G90" s="18" t="s">
        <v>19</v>
      </c>
      <c r="H90" s="18" t="s">
        <v>20</v>
      </c>
      <c r="I90" s="18" t="s">
        <v>18</v>
      </c>
      <c r="J90" s="16">
        <v>1</v>
      </c>
      <c r="K90" s="18" t="s">
        <v>22</v>
      </c>
      <c r="L90" s="18" t="s">
        <v>17</v>
      </c>
      <c r="M90" s="14">
        <v>29</v>
      </c>
      <c r="N90" s="18" t="str" cm="1">
        <f t="array" ref="N90">_xlfn.IFS(Cleaned_Working_Sheet!$M90&lt;=34,"Young",Cleaned_Working_Sheet!$M90&lt;=54,"Middle-aged",Cleaned_Working_Sheet!$M90&gt;54,"Old")</f>
        <v>Young</v>
      </c>
      <c r="O90" s="18" t="s">
        <v>18</v>
      </c>
    </row>
    <row r="91" spans="1:15" x14ac:dyDescent="0.25">
      <c r="A91" s="14">
        <v>25458</v>
      </c>
      <c r="B91" s="18" t="s">
        <v>36</v>
      </c>
      <c r="C91" s="18" t="s">
        <v>39</v>
      </c>
      <c r="D91" s="6">
        <v>20000</v>
      </c>
      <c r="E91" s="18" t="str" cm="1">
        <f t="array" ref="E91">_xlfn.IFS(Cleaned_Working_Sheet!$D91&lt;=50000,"Low Income",Cleaned_Working_Sheet!$D91&lt;100000,"Middle Income",TRUE,"High Income")</f>
        <v>Low Income</v>
      </c>
      <c r="F91" s="16">
        <v>1</v>
      </c>
      <c r="G91" s="18" t="s">
        <v>27</v>
      </c>
      <c r="H91" s="18" t="s">
        <v>25</v>
      </c>
      <c r="I91" s="18" t="s">
        <v>18</v>
      </c>
      <c r="J91" s="16">
        <v>1</v>
      </c>
      <c r="K91" s="18" t="s">
        <v>26</v>
      </c>
      <c r="L91" s="18" t="s">
        <v>17</v>
      </c>
      <c r="M91" s="14">
        <v>40</v>
      </c>
      <c r="N91" s="18" t="str" cm="1">
        <f t="array" ref="N91">_xlfn.IFS(Cleaned_Working_Sheet!$M91&lt;=34,"Young",Cleaned_Working_Sheet!$M91&lt;=54,"Middle-aged",Cleaned_Working_Sheet!$M91&gt;54,"Old")</f>
        <v>Middle-aged</v>
      </c>
      <c r="O91" s="18" t="s">
        <v>15</v>
      </c>
    </row>
    <row r="92" spans="1:15" x14ac:dyDescent="0.25">
      <c r="A92" s="14">
        <v>26886</v>
      </c>
      <c r="B92" s="18" t="s">
        <v>37</v>
      </c>
      <c r="C92" s="18" t="s">
        <v>38</v>
      </c>
      <c r="D92" s="6">
        <v>30000</v>
      </c>
      <c r="E92" s="18" t="str" cm="1">
        <f t="array" ref="E92">_xlfn.IFS(Cleaned_Working_Sheet!$D92&lt;=50000,"Low Income",Cleaned_Working_Sheet!$D92&lt;100000,"Middle Income",TRUE,"High Income")</f>
        <v>Low Income</v>
      </c>
      <c r="F92" s="16">
        <v>0</v>
      </c>
      <c r="G92" s="18" t="s">
        <v>19</v>
      </c>
      <c r="H92" s="18" t="s">
        <v>20</v>
      </c>
      <c r="I92" s="18" t="s">
        <v>18</v>
      </c>
      <c r="J92" s="16">
        <v>1</v>
      </c>
      <c r="K92" s="18" t="s">
        <v>16</v>
      </c>
      <c r="L92" s="18" t="s">
        <v>17</v>
      </c>
      <c r="M92" s="14">
        <v>29</v>
      </c>
      <c r="N92" s="18" t="str" cm="1">
        <f t="array" ref="N92">_xlfn.IFS(Cleaned_Working_Sheet!$M92&lt;=34,"Young",Cleaned_Working_Sheet!$M92&lt;=54,"Middle-aged",Cleaned_Working_Sheet!$M92&gt;54,"Old")</f>
        <v>Young</v>
      </c>
      <c r="O92" s="18" t="s">
        <v>15</v>
      </c>
    </row>
    <row r="93" spans="1:15" x14ac:dyDescent="0.25">
      <c r="A93" s="14">
        <v>28436</v>
      </c>
      <c r="B93" s="18" t="s">
        <v>37</v>
      </c>
      <c r="C93" s="18" t="s">
        <v>39</v>
      </c>
      <c r="D93" s="6">
        <v>30000</v>
      </c>
      <c r="E93" s="18" t="str" cm="1">
        <f t="array" ref="E93">_xlfn.IFS(Cleaned_Working_Sheet!$D93&lt;=50000,"Low Income",Cleaned_Working_Sheet!$D93&lt;100000,"Middle Income",TRUE,"High Income")</f>
        <v>Low Income</v>
      </c>
      <c r="F93" s="16">
        <v>0</v>
      </c>
      <c r="G93" s="18" t="s">
        <v>19</v>
      </c>
      <c r="H93" s="18" t="s">
        <v>20</v>
      </c>
      <c r="I93" s="18" t="s">
        <v>18</v>
      </c>
      <c r="J93" s="16">
        <v>1</v>
      </c>
      <c r="K93" s="18" t="s">
        <v>16</v>
      </c>
      <c r="L93" s="18" t="s">
        <v>17</v>
      </c>
      <c r="M93" s="14">
        <v>30</v>
      </c>
      <c r="N93" s="18" t="str" cm="1">
        <f t="array" ref="N93">_xlfn.IFS(Cleaned_Working_Sheet!$M93&lt;=34,"Young",Cleaned_Working_Sheet!$M93&lt;=54,"Middle-aged",Cleaned_Working_Sheet!$M93&gt;54,"Old")</f>
        <v>Young</v>
      </c>
      <c r="O93" s="18" t="s">
        <v>15</v>
      </c>
    </row>
    <row r="94" spans="1:15" x14ac:dyDescent="0.25">
      <c r="A94" s="14">
        <v>19562</v>
      </c>
      <c r="B94" s="18" t="s">
        <v>37</v>
      </c>
      <c r="C94" s="18" t="s">
        <v>38</v>
      </c>
      <c r="D94" s="6">
        <v>60000</v>
      </c>
      <c r="E94" s="18" t="str" cm="1">
        <f t="array" ref="E94">_xlfn.IFS(Cleaned_Working_Sheet!$D94&lt;=50000,"Low Income",Cleaned_Working_Sheet!$D94&lt;100000,"Middle Income",TRUE,"High Income")</f>
        <v>Middle Income</v>
      </c>
      <c r="F94" s="16">
        <v>2</v>
      </c>
      <c r="G94" s="18" t="s">
        <v>13</v>
      </c>
      <c r="H94" s="18" t="s">
        <v>21</v>
      </c>
      <c r="I94" s="18" t="s">
        <v>15</v>
      </c>
      <c r="J94" s="16">
        <v>1</v>
      </c>
      <c r="K94" s="18" t="s">
        <v>22</v>
      </c>
      <c r="L94" s="18" t="s">
        <v>24</v>
      </c>
      <c r="M94" s="14">
        <v>37</v>
      </c>
      <c r="N94" s="18" t="str" cm="1">
        <f t="array" ref="N94">_xlfn.IFS(Cleaned_Working_Sheet!$M94&lt;=34,"Young",Cleaned_Working_Sheet!$M94&lt;=54,"Middle-aged",Cleaned_Working_Sheet!$M94&gt;54,"Old")</f>
        <v>Middle-aged</v>
      </c>
      <c r="O94" s="18" t="s">
        <v>15</v>
      </c>
    </row>
    <row r="95" spans="1:15" x14ac:dyDescent="0.25">
      <c r="A95" s="14">
        <v>15608</v>
      </c>
      <c r="B95" s="18" t="s">
        <v>37</v>
      </c>
      <c r="C95" s="18" t="s">
        <v>38</v>
      </c>
      <c r="D95" s="6">
        <v>30000</v>
      </c>
      <c r="E95" s="18" t="str" cm="1">
        <f t="array" ref="E95">_xlfn.IFS(Cleaned_Working_Sheet!$D95&lt;=50000,"Low Income",Cleaned_Working_Sheet!$D95&lt;100000,"Middle Income",TRUE,"High Income")</f>
        <v>Low Income</v>
      </c>
      <c r="F95" s="16">
        <v>0</v>
      </c>
      <c r="G95" s="18" t="s">
        <v>19</v>
      </c>
      <c r="H95" s="18" t="s">
        <v>20</v>
      </c>
      <c r="I95" s="18" t="s">
        <v>18</v>
      </c>
      <c r="J95" s="16">
        <v>1</v>
      </c>
      <c r="K95" s="18" t="s">
        <v>22</v>
      </c>
      <c r="L95" s="18" t="s">
        <v>17</v>
      </c>
      <c r="M95" s="14">
        <v>33</v>
      </c>
      <c r="N95" s="18" t="str" cm="1">
        <f t="array" ref="N95">_xlfn.IFS(Cleaned_Working_Sheet!$M95&lt;=34,"Young",Cleaned_Working_Sheet!$M95&lt;=54,"Middle-aged",Cleaned_Working_Sheet!$M95&gt;54,"Old")</f>
        <v>Young</v>
      </c>
      <c r="O95" s="18" t="s">
        <v>18</v>
      </c>
    </row>
    <row r="96" spans="1:15" x14ac:dyDescent="0.25">
      <c r="A96" s="14">
        <v>16487</v>
      </c>
      <c r="B96" s="18" t="s">
        <v>37</v>
      </c>
      <c r="C96" s="18" t="s">
        <v>38</v>
      </c>
      <c r="D96" s="6">
        <v>30000</v>
      </c>
      <c r="E96" s="18" t="str" cm="1">
        <f t="array" ref="E96">_xlfn.IFS(Cleaned_Working_Sheet!$D96&lt;=50000,"Low Income",Cleaned_Working_Sheet!$D96&lt;100000,"Middle Income",TRUE,"High Income")</f>
        <v>Low Income</v>
      </c>
      <c r="F96" s="16">
        <v>3</v>
      </c>
      <c r="G96" s="18" t="s">
        <v>27</v>
      </c>
      <c r="H96" s="18" t="s">
        <v>14</v>
      </c>
      <c r="I96" s="18" t="s">
        <v>15</v>
      </c>
      <c r="J96" s="16">
        <v>2</v>
      </c>
      <c r="K96" s="18" t="s">
        <v>23</v>
      </c>
      <c r="L96" s="18" t="s">
        <v>24</v>
      </c>
      <c r="M96" s="14">
        <v>55</v>
      </c>
      <c r="N96" s="18" t="str" cm="1">
        <f t="array" ref="N96">_xlfn.IFS(Cleaned_Working_Sheet!$M96&lt;=34,"Young",Cleaned_Working_Sheet!$M96&lt;=54,"Middle-aged",Cleaned_Working_Sheet!$M96&gt;54,"Old")</f>
        <v>Old</v>
      </c>
      <c r="O96" s="18" t="s">
        <v>18</v>
      </c>
    </row>
    <row r="97" spans="1:15" x14ac:dyDescent="0.25">
      <c r="A97" s="14">
        <v>17197</v>
      </c>
      <c r="B97" s="18" t="s">
        <v>37</v>
      </c>
      <c r="C97" s="18" t="s">
        <v>38</v>
      </c>
      <c r="D97" s="6">
        <v>90000</v>
      </c>
      <c r="E97" s="18" t="str" cm="1">
        <f t="array" ref="E97">_xlfn.IFS(Cleaned_Working_Sheet!$D97&lt;=50000,"Low Income",Cleaned_Working_Sheet!$D97&lt;100000,"Middle Income",TRUE,"High Income")</f>
        <v>Middle Income</v>
      </c>
      <c r="F97" s="16">
        <v>5</v>
      </c>
      <c r="G97" s="18" t="s">
        <v>19</v>
      </c>
      <c r="H97" s="18" t="s">
        <v>21</v>
      </c>
      <c r="I97" s="18" t="s">
        <v>15</v>
      </c>
      <c r="J97" s="16">
        <v>2</v>
      </c>
      <c r="K97" s="18" t="s">
        <v>43</v>
      </c>
      <c r="L97" s="18" t="s">
        <v>17</v>
      </c>
      <c r="M97" s="14">
        <v>62</v>
      </c>
      <c r="N97" s="18" t="str" cm="1">
        <f t="array" ref="N97">_xlfn.IFS(Cleaned_Working_Sheet!$M97&lt;=34,"Young",Cleaned_Working_Sheet!$M97&lt;=54,"Middle-aged",Cleaned_Working_Sheet!$M97&gt;54,"Old")</f>
        <v>Old</v>
      </c>
      <c r="O97" s="18" t="s">
        <v>18</v>
      </c>
    </row>
    <row r="98" spans="1:15" x14ac:dyDescent="0.25">
      <c r="A98" s="14">
        <v>12507</v>
      </c>
      <c r="B98" s="18" t="s">
        <v>36</v>
      </c>
      <c r="C98" s="18" t="s">
        <v>39</v>
      </c>
      <c r="D98" s="6">
        <v>30000</v>
      </c>
      <c r="E98" s="18" t="str" cm="1">
        <f t="array" ref="E98">_xlfn.IFS(Cleaned_Working_Sheet!$D98&lt;=50000,"Low Income",Cleaned_Working_Sheet!$D98&lt;100000,"Middle Income",TRUE,"High Income")</f>
        <v>Low Income</v>
      </c>
      <c r="F98" s="16">
        <v>1</v>
      </c>
      <c r="G98" s="18" t="s">
        <v>19</v>
      </c>
      <c r="H98" s="18" t="s">
        <v>20</v>
      </c>
      <c r="I98" s="18" t="s">
        <v>15</v>
      </c>
      <c r="J98" s="16">
        <v>1</v>
      </c>
      <c r="K98" s="18" t="s">
        <v>16</v>
      </c>
      <c r="L98" s="18" t="s">
        <v>17</v>
      </c>
      <c r="M98" s="14">
        <v>43</v>
      </c>
      <c r="N98" s="18" t="str" cm="1">
        <f t="array" ref="N98">_xlfn.IFS(Cleaned_Working_Sheet!$M98&lt;=34,"Young",Cleaned_Working_Sheet!$M98&lt;=54,"Middle-aged",Cleaned_Working_Sheet!$M98&gt;54,"Old")</f>
        <v>Middle-aged</v>
      </c>
      <c r="O98" s="18" t="s">
        <v>18</v>
      </c>
    </row>
    <row r="99" spans="1:15" x14ac:dyDescent="0.25">
      <c r="A99" s="14">
        <v>23940</v>
      </c>
      <c r="B99" s="18" t="s">
        <v>36</v>
      </c>
      <c r="C99" s="18" t="s">
        <v>39</v>
      </c>
      <c r="D99" s="6">
        <v>40000</v>
      </c>
      <c r="E99" s="18" t="str" cm="1">
        <f t="array" ref="E99">_xlfn.IFS(Cleaned_Working_Sheet!$D99&lt;=50000,"Low Income",Cleaned_Working_Sheet!$D99&lt;100000,"Middle Income",TRUE,"High Income")</f>
        <v>Low Income</v>
      </c>
      <c r="F99" s="16">
        <v>1</v>
      </c>
      <c r="G99" s="18" t="s">
        <v>13</v>
      </c>
      <c r="H99" s="18" t="s">
        <v>14</v>
      </c>
      <c r="I99" s="18" t="s">
        <v>15</v>
      </c>
      <c r="J99" s="16">
        <v>1</v>
      </c>
      <c r="K99" s="18" t="s">
        <v>16</v>
      </c>
      <c r="L99" s="18" t="s">
        <v>17</v>
      </c>
      <c r="M99" s="14">
        <v>44</v>
      </c>
      <c r="N99" s="18" t="str" cm="1">
        <f t="array" ref="N99">_xlfn.IFS(Cleaned_Working_Sheet!$M99&lt;=34,"Young",Cleaned_Working_Sheet!$M99&lt;=54,"Middle-aged",Cleaned_Working_Sheet!$M99&gt;54,"Old")</f>
        <v>Middle-aged</v>
      </c>
      <c r="O99" s="18" t="s">
        <v>15</v>
      </c>
    </row>
    <row r="100" spans="1:15" x14ac:dyDescent="0.25">
      <c r="A100" s="14">
        <v>19441</v>
      </c>
      <c r="B100" s="18" t="s">
        <v>36</v>
      </c>
      <c r="C100" s="18" t="s">
        <v>39</v>
      </c>
      <c r="D100" s="6">
        <v>40000</v>
      </c>
      <c r="E100" s="18" t="str" cm="1">
        <f t="array" ref="E100">_xlfn.IFS(Cleaned_Working_Sheet!$D100&lt;=50000,"Low Income",Cleaned_Working_Sheet!$D100&lt;100000,"Middle Income",TRUE,"High Income")</f>
        <v>Low Income</v>
      </c>
      <c r="F100" s="16">
        <v>0</v>
      </c>
      <c r="G100" s="18" t="s">
        <v>31</v>
      </c>
      <c r="H100" s="18" t="s">
        <v>20</v>
      </c>
      <c r="I100" s="18" t="s">
        <v>15</v>
      </c>
      <c r="J100" s="16">
        <v>0</v>
      </c>
      <c r="K100" s="18" t="s">
        <v>16</v>
      </c>
      <c r="L100" s="18" t="s">
        <v>17</v>
      </c>
      <c r="M100" s="14">
        <v>25</v>
      </c>
      <c r="N100" s="18" t="str" cm="1">
        <f t="array" ref="N100">_xlfn.IFS(Cleaned_Working_Sheet!$M100&lt;=34,"Young",Cleaned_Working_Sheet!$M100&lt;=54,"Middle-aged",Cleaned_Working_Sheet!$M100&gt;54,"Old")</f>
        <v>Young</v>
      </c>
      <c r="O100" s="18" t="s">
        <v>15</v>
      </c>
    </row>
    <row r="101" spans="1:15" x14ac:dyDescent="0.25">
      <c r="A101" s="14">
        <v>26852</v>
      </c>
      <c r="B101" s="18" t="s">
        <v>36</v>
      </c>
      <c r="C101" s="18" t="s">
        <v>38</v>
      </c>
      <c r="D101" s="6">
        <v>20000</v>
      </c>
      <c r="E101" s="18" t="str" cm="1">
        <f t="array" ref="E101">_xlfn.IFS(Cleaned_Working_Sheet!$D101&lt;=50000,"Low Income",Cleaned_Working_Sheet!$D101&lt;100000,"Middle Income",TRUE,"High Income")</f>
        <v>Low Income</v>
      </c>
      <c r="F101" s="16">
        <v>3</v>
      </c>
      <c r="G101" s="18" t="s">
        <v>27</v>
      </c>
      <c r="H101" s="18" t="s">
        <v>25</v>
      </c>
      <c r="I101" s="18" t="s">
        <v>15</v>
      </c>
      <c r="J101" s="16">
        <v>2</v>
      </c>
      <c r="K101" s="18" t="s">
        <v>16</v>
      </c>
      <c r="L101" s="18" t="s">
        <v>17</v>
      </c>
      <c r="M101" s="14">
        <v>43</v>
      </c>
      <c r="N101" s="18" t="str" cm="1">
        <f t="array" ref="N101">_xlfn.IFS(Cleaned_Working_Sheet!$M101&lt;=34,"Young",Cleaned_Working_Sheet!$M101&lt;=54,"Middle-aged",Cleaned_Working_Sheet!$M101&gt;54,"Old")</f>
        <v>Middle-aged</v>
      </c>
      <c r="O101" s="18" t="s">
        <v>18</v>
      </c>
    </row>
    <row r="102" spans="1:15" x14ac:dyDescent="0.25">
      <c r="A102" s="14">
        <v>12274</v>
      </c>
      <c r="B102" s="18" t="s">
        <v>37</v>
      </c>
      <c r="C102" s="18" t="s">
        <v>39</v>
      </c>
      <c r="D102" s="6">
        <v>10000</v>
      </c>
      <c r="E102" s="18" t="str" cm="1">
        <f t="array" ref="E102">_xlfn.IFS(Cleaned_Working_Sheet!$D102&lt;=50000,"Low Income",Cleaned_Working_Sheet!$D102&lt;100000,"Middle Income",TRUE,"High Income")</f>
        <v>Low Income</v>
      </c>
      <c r="F102" s="16">
        <v>2</v>
      </c>
      <c r="G102" s="18" t="s">
        <v>27</v>
      </c>
      <c r="H102" s="18" t="s">
        <v>25</v>
      </c>
      <c r="I102" s="18" t="s">
        <v>15</v>
      </c>
      <c r="J102" s="16">
        <v>0</v>
      </c>
      <c r="K102" s="18" t="s">
        <v>16</v>
      </c>
      <c r="L102" s="18" t="s">
        <v>17</v>
      </c>
      <c r="M102" s="14">
        <v>35</v>
      </c>
      <c r="N102" s="18" t="str" cm="1">
        <f t="array" ref="N102">_xlfn.IFS(Cleaned_Working_Sheet!$M102&lt;=34,"Young",Cleaned_Working_Sheet!$M102&lt;=54,"Middle-aged",Cleaned_Working_Sheet!$M102&gt;54,"Old")</f>
        <v>Middle-aged</v>
      </c>
      <c r="O102" s="18" t="s">
        <v>18</v>
      </c>
    </row>
    <row r="103" spans="1:15" x14ac:dyDescent="0.25">
      <c r="A103" s="14">
        <v>20236</v>
      </c>
      <c r="B103" s="18" t="s">
        <v>37</v>
      </c>
      <c r="C103" s="18" t="s">
        <v>39</v>
      </c>
      <c r="D103" s="6">
        <v>60000</v>
      </c>
      <c r="E103" s="18" t="str" cm="1">
        <f t="array" ref="E103">_xlfn.IFS(Cleaned_Working_Sheet!$D103&lt;=50000,"Low Income",Cleaned_Working_Sheet!$D103&lt;100000,"Middle Income",TRUE,"High Income")</f>
        <v>Middle Income</v>
      </c>
      <c r="F103" s="16">
        <v>3</v>
      </c>
      <c r="G103" s="18" t="s">
        <v>13</v>
      </c>
      <c r="H103" s="18" t="s">
        <v>21</v>
      </c>
      <c r="I103" s="18" t="s">
        <v>18</v>
      </c>
      <c r="J103" s="16">
        <v>2</v>
      </c>
      <c r="K103" s="18" t="s">
        <v>16</v>
      </c>
      <c r="L103" s="18" t="s">
        <v>24</v>
      </c>
      <c r="M103" s="14">
        <v>43</v>
      </c>
      <c r="N103" s="18" t="str" cm="1">
        <f t="array" ref="N103">_xlfn.IFS(Cleaned_Working_Sheet!$M103&lt;=34,"Young",Cleaned_Working_Sheet!$M103&lt;=54,"Middle-aged",Cleaned_Working_Sheet!$M103&gt;54,"Old")</f>
        <v>Middle-aged</v>
      </c>
      <c r="O103" s="18" t="s">
        <v>15</v>
      </c>
    </row>
    <row r="104" spans="1:15" x14ac:dyDescent="0.25">
      <c r="A104" s="14">
        <v>24149</v>
      </c>
      <c r="B104" s="18" t="s">
        <v>36</v>
      </c>
      <c r="C104" s="18" t="s">
        <v>39</v>
      </c>
      <c r="D104" s="6">
        <v>10000</v>
      </c>
      <c r="E104" s="18" t="str" cm="1">
        <f t="array" ref="E104">_xlfn.IFS(Cleaned_Working_Sheet!$D104&lt;=50000,"Low Income",Cleaned_Working_Sheet!$D104&lt;100000,"Middle Income",TRUE,"High Income")</f>
        <v>Low Income</v>
      </c>
      <c r="F104" s="16">
        <v>2</v>
      </c>
      <c r="G104" s="18" t="s">
        <v>19</v>
      </c>
      <c r="H104" s="18" t="s">
        <v>25</v>
      </c>
      <c r="I104" s="18" t="s">
        <v>15</v>
      </c>
      <c r="J104" s="16">
        <v>0</v>
      </c>
      <c r="K104" s="18" t="s">
        <v>26</v>
      </c>
      <c r="L104" s="18" t="s">
        <v>17</v>
      </c>
      <c r="M104" s="14">
        <v>49</v>
      </c>
      <c r="N104" s="18" t="str" cm="1">
        <f t="array" ref="N104">_xlfn.IFS(Cleaned_Working_Sheet!$M104&lt;=34,"Young",Cleaned_Working_Sheet!$M104&lt;=54,"Middle-aged",Cleaned_Working_Sheet!$M104&gt;54,"Old")</f>
        <v>Middle-aged</v>
      </c>
      <c r="O104" s="18" t="s">
        <v>18</v>
      </c>
    </row>
    <row r="105" spans="1:15" x14ac:dyDescent="0.25">
      <c r="A105" s="14">
        <v>26139</v>
      </c>
      <c r="B105" s="18" t="s">
        <v>37</v>
      </c>
      <c r="C105" s="18" t="s">
        <v>39</v>
      </c>
      <c r="D105" s="6">
        <v>60000</v>
      </c>
      <c r="E105" s="18" t="str" cm="1">
        <f t="array" ref="E105">_xlfn.IFS(Cleaned_Working_Sheet!$D105&lt;=50000,"Low Income",Cleaned_Working_Sheet!$D105&lt;100000,"Middle Income",TRUE,"High Income")</f>
        <v>Middle Income</v>
      </c>
      <c r="F105" s="16">
        <v>1</v>
      </c>
      <c r="G105" s="18" t="s">
        <v>19</v>
      </c>
      <c r="H105" s="18" t="s">
        <v>14</v>
      </c>
      <c r="I105" s="18" t="s">
        <v>15</v>
      </c>
      <c r="J105" s="16">
        <v>1</v>
      </c>
      <c r="K105" s="18" t="s">
        <v>23</v>
      </c>
      <c r="L105" s="18" t="s">
        <v>24</v>
      </c>
      <c r="M105" s="14">
        <v>45</v>
      </c>
      <c r="N105" s="18" t="str" cm="1">
        <f t="array" ref="N105">_xlfn.IFS(Cleaned_Working_Sheet!$M105&lt;=34,"Young",Cleaned_Working_Sheet!$M105&lt;=54,"Middle-aged",Cleaned_Working_Sheet!$M105&gt;54,"Old")</f>
        <v>Middle-aged</v>
      </c>
      <c r="O105" s="18" t="s">
        <v>18</v>
      </c>
    </row>
    <row r="106" spans="1:15" x14ac:dyDescent="0.25">
      <c r="A106" s="14">
        <v>18491</v>
      </c>
      <c r="B106" s="18" t="s">
        <v>37</v>
      </c>
      <c r="C106" s="18" t="s">
        <v>38</v>
      </c>
      <c r="D106" s="6">
        <v>70000</v>
      </c>
      <c r="E106" s="18" t="str" cm="1">
        <f t="array" ref="E106">_xlfn.IFS(Cleaned_Working_Sheet!$D106&lt;=50000,"Low Income",Cleaned_Working_Sheet!$D106&lt;100000,"Middle Income",TRUE,"High Income")</f>
        <v>Middle Income</v>
      </c>
      <c r="F106" s="16">
        <v>2</v>
      </c>
      <c r="G106" s="18" t="s">
        <v>27</v>
      </c>
      <c r="H106" s="18" t="s">
        <v>21</v>
      </c>
      <c r="I106" s="18" t="s">
        <v>15</v>
      </c>
      <c r="J106" s="16">
        <v>2</v>
      </c>
      <c r="K106" s="18" t="s">
        <v>23</v>
      </c>
      <c r="L106" s="18" t="s">
        <v>24</v>
      </c>
      <c r="M106" s="14">
        <v>49</v>
      </c>
      <c r="N106" s="18" t="str" cm="1">
        <f t="array" ref="N106">_xlfn.IFS(Cleaned_Working_Sheet!$M106&lt;=34,"Young",Cleaned_Working_Sheet!$M106&lt;=54,"Middle-aged",Cleaned_Working_Sheet!$M106&gt;54,"Old")</f>
        <v>Middle-aged</v>
      </c>
      <c r="O106" s="18" t="s">
        <v>15</v>
      </c>
    </row>
    <row r="107" spans="1:15" x14ac:dyDescent="0.25">
      <c r="A107" s="14">
        <v>22707</v>
      </c>
      <c r="B107" s="18" t="s">
        <v>37</v>
      </c>
      <c r="C107" s="18" t="s">
        <v>38</v>
      </c>
      <c r="D107" s="6">
        <v>30000</v>
      </c>
      <c r="E107" s="18" t="str" cm="1">
        <f t="array" ref="E107">_xlfn.IFS(Cleaned_Working_Sheet!$D107&lt;=50000,"Low Income",Cleaned_Working_Sheet!$D107&lt;100000,"Middle Income",TRUE,"High Income")</f>
        <v>Low Income</v>
      </c>
      <c r="F107" s="16">
        <v>0</v>
      </c>
      <c r="G107" s="18" t="s">
        <v>19</v>
      </c>
      <c r="H107" s="18" t="s">
        <v>20</v>
      </c>
      <c r="I107" s="18" t="s">
        <v>18</v>
      </c>
      <c r="J107" s="16">
        <v>1</v>
      </c>
      <c r="K107" s="18" t="s">
        <v>22</v>
      </c>
      <c r="L107" s="18" t="s">
        <v>17</v>
      </c>
      <c r="M107" s="14">
        <v>30</v>
      </c>
      <c r="N107" s="18" t="str" cm="1">
        <f t="array" ref="N107">_xlfn.IFS(Cleaned_Working_Sheet!$M107&lt;=34,"Young",Cleaned_Working_Sheet!$M107&lt;=54,"Middle-aged",Cleaned_Working_Sheet!$M107&gt;54,"Old")</f>
        <v>Young</v>
      </c>
      <c r="O107" s="18" t="s">
        <v>18</v>
      </c>
    </row>
    <row r="108" spans="1:15" x14ac:dyDescent="0.25">
      <c r="A108" s="14">
        <v>20430</v>
      </c>
      <c r="B108" s="18" t="s">
        <v>36</v>
      </c>
      <c r="C108" s="18" t="s">
        <v>39</v>
      </c>
      <c r="D108" s="6">
        <v>70000</v>
      </c>
      <c r="E108" s="18" t="str" cm="1">
        <f t="array" ref="E108">_xlfn.IFS(Cleaned_Working_Sheet!$D108&lt;=50000,"Low Income",Cleaned_Working_Sheet!$D108&lt;100000,"Middle Income",TRUE,"High Income")</f>
        <v>Middle Income</v>
      </c>
      <c r="F108" s="16">
        <v>2</v>
      </c>
      <c r="G108" s="18" t="s">
        <v>19</v>
      </c>
      <c r="H108" s="18" t="s">
        <v>14</v>
      </c>
      <c r="I108" s="18" t="s">
        <v>15</v>
      </c>
      <c r="J108" s="16">
        <v>2</v>
      </c>
      <c r="K108" s="18" t="s">
        <v>23</v>
      </c>
      <c r="L108" s="18" t="s">
        <v>24</v>
      </c>
      <c r="M108" s="14">
        <v>52</v>
      </c>
      <c r="N108" s="18" t="str" cm="1">
        <f t="array" ref="N108">_xlfn.IFS(Cleaned_Working_Sheet!$M108&lt;=34,"Young",Cleaned_Working_Sheet!$M108&lt;=54,"Middle-aged",Cleaned_Working_Sheet!$M108&gt;54,"Old")</f>
        <v>Middle-aged</v>
      </c>
      <c r="O108" s="18" t="s">
        <v>15</v>
      </c>
    </row>
    <row r="109" spans="1:15" x14ac:dyDescent="0.25">
      <c r="A109" s="14">
        <v>27494</v>
      </c>
      <c r="B109" s="18" t="s">
        <v>37</v>
      </c>
      <c r="C109" s="18" t="s">
        <v>38</v>
      </c>
      <c r="D109" s="6">
        <v>40000</v>
      </c>
      <c r="E109" s="18" t="str" cm="1">
        <f t="array" ref="E109">_xlfn.IFS(Cleaned_Working_Sheet!$D109&lt;=50000,"Low Income",Cleaned_Working_Sheet!$D109&lt;100000,"Middle Income",TRUE,"High Income")</f>
        <v>Low Income</v>
      </c>
      <c r="F109" s="16">
        <v>2</v>
      </c>
      <c r="G109" s="18" t="s">
        <v>19</v>
      </c>
      <c r="H109" s="18" t="s">
        <v>14</v>
      </c>
      <c r="I109" s="18" t="s">
        <v>18</v>
      </c>
      <c r="J109" s="16">
        <v>2</v>
      </c>
      <c r="K109" s="18" t="s">
        <v>26</v>
      </c>
      <c r="L109" s="18" t="s">
        <v>24</v>
      </c>
      <c r="M109" s="14">
        <v>53</v>
      </c>
      <c r="N109" s="18" t="str" cm="1">
        <f t="array" ref="N109">_xlfn.IFS(Cleaned_Working_Sheet!$M109&lt;=34,"Young",Cleaned_Working_Sheet!$M109&lt;=54,"Middle-aged",Cleaned_Working_Sheet!$M109&gt;54,"Old")</f>
        <v>Middle-aged</v>
      </c>
      <c r="O109" s="18" t="s">
        <v>15</v>
      </c>
    </row>
    <row r="110" spans="1:15" x14ac:dyDescent="0.25">
      <c r="A110" s="14">
        <v>26829</v>
      </c>
      <c r="B110" s="18" t="s">
        <v>36</v>
      </c>
      <c r="C110" s="18" t="s">
        <v>38</v>
      </c>
      <c r="D110" s="6">
        <v>40000</v>
      </c>
      <c r="E110" s="18" t="str" cm="1">
        <f t="array" ref="E110">_xlfn.IFS(Cleaned_Working_Sheet!$D110&lt;=50000,"Low Income",Cleaned_Working_Sheet!$D110&lt;100000,"Middle Income",TRUE,"High Income")</f>
        <v>Low Income</v>
      </c>
      <c r="F110" s="16">
        <v>0</v>
      </c>
      <c r="G110" s="18" t="s">
        <v>13</v>
      </c>
      <c r="H110" s="18" t="s">
        <v>20</v>
      </c>
      <c r="I110" s="18" t="s">
        <v>15</v>
      </c>
      <c r="J110" s="16">
        <v>0</v>
      </c>
      <c r="K110" s="18" t="s">
        <v>16</v>
      </c>
      <c r="L110" s="18" t="s">
        <v>17</v>
      </c>
      <c r="M110" s="14">
        <v>38</v>
      </c>
      <c r="N110" s="18" t="str" cm="1">
        <f t="array" ref="N110">_xlfn.IFS(Cleaned_Working_Sheet!$M110&lt;=34,"Young",Cleaned_Working_Sheet!$M110&lt;=54,"Middle-aged",Cleaned_Working_Sheet!$M110&gt;54,"Old")</f>
        <v>Middle-aged</v>
      </c>
      <c r="O110" s="18" t="s">
        <v>15</v>
      </c>
    </row>
    <row r="111" spans="1:15" x14ac:dyDescent="0.25">
      <c r="A111" s="14">
        <v>28395</v>
      </c>
      <c r="B111" s="18" t="s">
        <v>37</v>
      </c>
      <c r="C111" s="18" t="s">
        <v>39</v>
      </c>
      <c r="D111" s="6">
        <v>40000</v>
      </c>
      <c r="E111" s="18" t="str" cm="1">
        <f t="array" ref="E111">_xlfn.IFS(Cleaned_Working_Sheet!$D111&lt;=50000,"Low Income",Cleaned_Working_Sheet!$D111&lt;100000,"Middle Income",TRUE,"High Income")</f>
        <v>Low Income</v>
      </c>
      <c r="F111" s="16">
        <v>0</v>
      </c>
      <c r="G111" s="18" t="s">
        <v>13</v>
      </c>
      <c r="H111" s="18" t="s">
        <v>21</v>
      </c>
      <c r="I111" s="18" t="s">
        <v>18</v>
      </c>
      <c r="J111" s="16">
        <v>0</v>
      </c>
      <c r="K111" s="18" t="s">
        <v>16</v>
      </c>
      <c r="L111" s="18" t="s">
        <v>17</v>
      </c>
      <c r="M111" s="14">
        <v>39</v>
      </c>
      <c r="N111" s="18" t="str" cm="1">
        <f t="array" ref="N111">_xlfn.IFS(Cleaned_Working_Sheet!$M111&lt;=34,"Young",Cleaned_Working_Sheet!$M111&lt;=54,"Middle-aged",Cleaned_Working_Sheet!$M111&gt;54,"Old")</f>
        <v>Middle-aged</v>
      </c>
      <c r="O111" s="18" t="s">
        <v>15</v>
      </c>
    </row>
    <row r="112" spans="1:15" x14ac:dyDescent="0.25">
      <c r="A112" s="14">
        <v>21006</v>
      </c>
      <c r="B112" s="18" t="s">
        <v>37</v>
      </c>
      <c r="C112" s="18" t="s">
        <v>38</v>
      </c>
      <c r="D112" s="6">
        <v>30000</v>
      </c>
      <c r="E112" s="18" t="str" cm="1">
        <f t="array" ref="E112">_xlfn.IFS(Cleaned_Working_Sheet!$D112&lt;=50000,"Low Income",Cleaned_Working_Sheet!$D112&lt;100000,"Middle Income",TRUE,"High Income")</f>
        <v>Low Income</v>
      </c>
      <c r="F112" s="16">
        <v>1</v>
      </c>
      <c r="G112" s="18" t="s">
        <v>19</v>
      </c>
      <c r="H112" s="18" t="s">
        <v>25</v>
      </c>
      <c r="I112" s="18" t="s">
        <v>18</v>
      </c>
      <c r="J112" s="16">
        <v>0</v>
      </c>
      <c r="K112" s="18" t="s">
        <v>16</v>
      </c>
      <c r="L112" s="18" t="s">
        <v>17</v>
      </c>
      <c r="M112" s="14">
        <v>46</v>
      </c>
      <c r="N112" s="18" t="str" cm="1">
        <f t="array" ref="N112">_xlfn.IFS(Cleaned_Working_Sheet!$M112&lt;=34,"Young",Cleaned_Working_Sheet!$M112&lt;=54,"Middle-aged",Cleaned_Working_Sheet!$M112&gt;54,"Old")</f>
        <v>Middle-aged</v>
      </c>
      <c r="O112" s="18" t="s">
        <v>15</v>
      </c>
    </row>
    <row r="113" spans="1:15" x14ac:dyDescent="0.25">
      <c r="A113" s="14">
        <v>14682</v>
      </c>
      <c r="B113" s="18" t="s">
        <v>37</v>
      </c>
      <c r="C113" s="18" t="s">
        <v>38</v>
      </c>
      <c r="D113" s="6">
        <v>70000</v>
      </c>
      <c r="E113" s="18" t="str" cm="1">
        <f t="array" ref="E113">_xlfn.IFS(Cleaned_Working_Sheet!$D113&lt;=50000,"Low Income",Cleaned_Working_Sheet!$D113&lt;100000,"Middle Income",TRUE,"High Income")</f>
        <v>Middle Income</v>
      </c>
      <c r="F113" s="16">
        <v>0</v>
      </c>
      <c r="G113" s="18" t="s">
        <v>13</v>
      </c>
      <c r="H113" s="18" t="s">
        <v>21</v>
      </c>
      <c r="I113" s="18" t="s">
        <v>18</v>
      </c>
      <c r="J113" s="16">
        <v>1</v>
      </c>
      <c r="K113" s="18" t="s">
        <v>23</v>
      </c>
      <c r="L113" s="18" t="s">
        <v>24</v>
      </c>
      <c r="M113" s="14">
        <v>38</v>
      </c>
      <c r="N113" s="18" t="str" cm="1">
        <f t="array" ref="N113">_xlfn.IFS(Cleaned_Working_Sheet!$M113&lt;=34,"Young",Cleaned_Working_Sheet!$M113&lt;=54,"Middle-aged",Cleaned_Working_Sheet!$M113&gt;54,"Old")</f>
        <v>Middle-aged</v>
      </c>
      <c r="O113" s="18" t="s">
        <v>18</v>
      </c>
    </row>
    <row r="114" spans="1:15" x14ac:dyDescent="0.25">
      <c r="A114" s="14">
        <v>17650</v>
      </c>
      <c r="B114" s="18" t="s">
        <v>37</v>
      </c>
      <c r="C114" s="18" t="s">
        <v>38</v>
      </c>
      <c r="D114" s="6">
        <v>40000</v>
      </c>
      <c r="E114" s="18" t="str" cm="1">
        <f t="array" ref="E114">_xlfn.IFS(Cleaned_Working_Sheet!$D114&lt;=50000,"Low Income",Cleaned_Working_Sheet!$D114&lt;100000,"Middle Income",TRUE,"High Income")</f>
        <v>Low Income</v>
      </c>
      <c r="F114" s="16">
        <v>2</v>
      </c>
      <c r="G114" s="18" t="s">
        <v>19</v>
      </c>
      <c r="H114" s="18" t="s">
        <v>20</v>
      </c>
      <c r="I114" s="18" t="s">
        <v>15</v>
      </c>
      <c r="J114" s="16">
        <v>2</v>
      </c>
      <c r="K114" s="18" t="s">
        <v>26</v>
      </c>
      <c r="L114" s="18" t="s">
        <v>17</v>
      </c>
      <c r="M114" s="14">
        <v>35</v>
      </c>
      <c r="N114" s="18" t="str" cm="1">
        <f t="array" ref="N114">_xlfn.IFS(Cleaned_Working_Sheet!$M114&lt;=34,"Young",Cleaned_Working_Sheet!$M114&lt;=54,"Middle-aged",Cleaned_Working_Sheet!$M114&gt;54,"Old")</f>
        <v>Middle-aged</v>
      </c>
      <c r="O114" s="18" t="s">
        <v>18</v>
      </c>
    </row>
    <row r="115" spans="1:15" x14ac:dyDescent="0.25">
      <c r="A115" s="14">
        <v>29191</v>
      </c>
      <c r="B115" s="18" t="s">
        <v>37</v>
      </c>
      <c r="C115" s="18" t="s">
        <v>38</v>
      </c>
      <c r="D115" s="6">
        <v>130000</v>
      </c>
      <c r="E115" s="18" t="str" cm="1">
        <f t="array" ref="E115">_xlfn.IFS(Cleaned_Working_Sheet!$D115&lt;=50000,"Low Income",Cleaned_Working_Sheet!$D115&lt;100000,"Middle Income",TRUE,"High Income")</f>
        <v>High Income</v>
      </c>
      <c r="F115" s="16">
        <v>1</v>
      </c>
      <c r="G115" s="18" t="s">
        <v>31</v>
      </c>
      <c r="H115" s="18" t="s">
        <v>28</v>
      </c>
      <c r="I115" s="18" t="s">
        <v>18</v>
      </c>
      <c r="J115" s="16">
        <v>1</v>
      </c>
      <c r="K115" s="18" t="s">
        <v>16</v>
      </c>
      <c r="L115" s="18" t="s">
        <v>24</v>
      </c>
      <c r="M115" s="14">
        <v>36</v>
      </c>
      <c r="N115" s="18" t="str" cm="1">
        <f t="array" ref="N115">_xlfn.IFS(Cleaned_Working_Sheet!$M115&lt;=34,"Young",Cleaned_Working_Sheet!$M115&lt;=54,"Middle-aged",Cleaned_Working_Sheet!$M115&gt;54,"Old")</f>
        <v>Middle-aged</v>
      </c>
      <c r="O115" s="18" t="s">
        <v>15</v>
      </c>
    </row>
    <row r="116" spans="1:15" x14ac:dyDescent="0.25">
      <c r="A116" s="14">
        <v>15030</v>
      </c>
      <c r="B116" s="18" t="s">
        <v>36</v>
      </c>
      <c r="C116" s="18" t="s">
        <v>39</v>
      </c>
      <c r="D116" s="6">
        <v>20000</v>
      </c>
      <c r="E116" s="18" t="str" cm="1">
        <f t="array" ref="E116">_xlfn.IFS(Cleaned_Working_Sheet!$D116&lt;=50000,"Low Income",Cleaned_Working_Sheet!$D116&lt;100000,"Middle Income",TRUE,"High Income")</f>
        <v>Low Income</v>
      </c>
      <c r="F116" s="16">
        <v>0</v>
      </c>
      <c r="G116" s="18" t="s">
        <v>13</v>
      </c>
      <c r="H116" s="18" t="s">
        <v>20</v>
      </c>
      <c r="I116" s="18" t="s">
        <v>15</v>
      </c>
      <c r="J116" s="16">
        <v>0</v>
      </c>
      <c r="K116" s="18" t="s">
        <v>16</v>
      </c>
      <c r="L116" s="18" t="s">
        <v>24</v>
      </c>
      <c r="M116" s="14">
        <v>26</v>
      </c>
      <c r="N116" s="18" t="str" cm="1">
        <f t="array" ref="N116">_xlfn.IFS(Cleaned_Working_Sheet!$M116&lt;=34,"Young",Cleaned_Working_Sheet!$M116&lt;=54,"Middle-aged",Cleaned_Working_Sheet!$M116&gt;54,"Old")</f>
        <v>Young</v>
      </c>
      <c r="O116" s="18" t="s">
        <v>15</v>
      </c>
    </row>
    <row r="117" spans="1:15" x14ac:dyDescent="0.25">
      <c r="A117" s="14">
        <v>24140</v>
      </c>
      <c r="B117" s="18" t="s">
        <v>37</v>
      </c>
      <c r="C117" s="18" t="s">
        <v>39</v>
      </c>
      <c r="D117" s="6">
        <v>10000</v>
      </c>
      <c r="E117" s="18" t="str" cm="1">
        <f t="array" ref="E117">_xlfn.IFS(Cleaned_Working_Sheet!$D117&lt;=50000,"Low Income",Cleaned_Working_Sheet!$D117&lt;100000,"Middle Income",TRUE,"High Income")</f>
        <v>Low Income</v>
      </c>
      <c r="F117" s="16">
        <v>0</v>
      </c>
      <c r="G117" s="18" t="s">
        <v>31</v>
      </c>
      <c r="H117" s="18" t="s">
        <v>25</v>
      </c>
      <c r="I117" s="18" t="s">
        <v>18</v>
      </c>
      <c r="J117" s="16">
        <v>0</v>
      </c>
      <c r="K117" s="18" t="s">
        <v>16</v>
      </c>
      <c r="L117" s="18" t="s">
        <v>17</v>
      </c>
      <c r="M117" s="14">
        <v>30</v>
      </c>
      <c r="N117" s="18" t="str" cm="1">
        <f t="array" ref="N117">_xlfn.IFS(Cleaned_Working_Sheet!$M117&lt;=34,"Young",Cleaned_Working_Sheet!$M117&lt;=54,"Middle-aged",Cleaned_Working_Sheet!$M117&gt;54,"Old")</f>
        <v>Young</v>
      </c>
      <c r="O117" s="18" t="s">
        <v>15</v>
      </c>
    </row>
    <row r="118" spans="1:15" x14ac:dyDescent="0.25">
      <c r="A118" s="14">
        <v>22496</v>
      </c>
      <c r="B118" s="18" t="s">
        <v>36</v>
      </c>
      <c r="C118" s="18" t="s">
        <v>38</v>
      </c>
      <c r="D118" s="6">
        <v>30000</v>
      </c>
      <c r="E118" s="18" t="str" cm="1">
        <f t="array" ref="E118">_xlfn.IFS(Cleaned_Working_Sheet!$D118&lt;=50000,"Low Income",Cleaned_Working_Sheet!$D118&lt;100000,"Middle Income",TRUE,"High Income")</f>
        <v>Low Income</v>
      </c>
      <c r="F118" s="16">
        <v>1</v>
      </c>
      <c r="G118" s="18" t="s">
        <v>13</v>
      </c>
      <c r="H118" s="18" t="s">
        <v>14</v>
      </c>
      <c r="I118" s="18" t="s">
        <v>15</v>
      </c>
      <c r="J118" s="16">
        <v>2</v>
      </c>
      <c r="K118" s="18" t="s">
        <v>16</v>
      </c>
      <c r="L118" s="18" t="s">
        <v>17</v>
      </c>
      <c r="M118" s="14">
        <v>42</v>
      </c>
      <c r="N118" s="18" t="str" cm="1">
        <f t="array" ref="N118">_xlfn.IFS(Cleaned_Working_Sheet!$M118&lt;=34,"Young",Cleaned_Working_Sheet!$M118&lt;=54,"Middle-aged",Cleaned_Working_Sheet!$M118&gt;54,"Old")</f>
        <v>Middle-aged</v>
      </c>
      <c r="O118" s="18" t="s">
        <v>18</v>
      </c>
    </row>
    <row r="119" spans="1:15" x14ac:dyDescent="0.25">
      <c r="A119" s="14">
        <v>24065</v>
      </c>
      <c r="B119" s="18" t="s">
        <v>37</v>
      </c>
      <c r="C119" s="18" t="s">
        <v>38</v>
      </c>
      <c r="D119" s="6">
        <v>20000</v>
      </c>
      <c r="E119" s="18" t="str" cm="1">
        <f t="array" ref="E119">_xlfn.IFS(Cleaned_Working_Sheet!$D119&lt;=50000,"Low Income",Cleaned_Working_Sheet!$D119&lt;100000,"Middle Income",TRUE,"High Income")</f>
        <v>Low Income</v>
      </c>
      <c r="F119" s="16">
        <v>0</v>
      </c>
      <c r="G119" s="18" t="s">
        <v>27</v>
      </c>
      <c r="H119" s="18" t="s">
        <v>25</v>
      </c>
      <c r="I119" s="18" t="s">
        <v>15</v>
      </c>
      <c r="J119" s="16">
        <v>0</v>
      </c>
      <c r="K119" s="18" t="s">
        <v>16</v>
      </c>
      <c r="L119" s="18" t="s">
        <v>17</v>
      </c>
      <c r="M119" s="14">
        <v>40</v>
      </c>
      <c r="N119" s="18" t="str" cm="1">
        <f t="array" ref="N119">_xlfn.IFS(Cleaned_Working_Sheet!$M119&lt;=34,"Young",Cleaned_Working_Sheet!$M119&lt;=54,"Middle-aged",Cleaned_Working_Sheet!$M119&gt;54,"Old")</f>
        <v>Middle-aged</v>
      </c>
      <c r="O119" s="18" t="s">
        <v>15</v>
      </c>
    </row>
    <row r="120" spans="1:15" x14ac:dyDescent="0.25">
      <c r="A120" s="14">
        <v>19914</v>
      </c>
      <c r="B120" s="18" t="s">
        <v>36</v>
      </c>
      <c r="C120" s="18" t="s">
        <v>39</v>
      </c>
      <c r="D120" s="6">
        <v>80000</v>
      </c>
      <c r="E120" s="18" t="str" cm="1">
        <f t="array" ref="E120">_xlfn.IFS(Cleaned_Working_Sheet!$D120&lt;=50000,"Low Income",Cleaned_Working_Sheet!$D120&lt;100000,"Middle Income",TRUE,"High Income")</f>
        <v>Middle Income</v>
      </c>
      <c r="F120" s="16">
        <v>5</v>
      </c>
      <c r="G120" s="18" t="s">
        <v>13</v>
      </c>
      <c r="H120" s="18" t="s">
        <v>28</v>
      </c>
      <c r="I120" s="18" t="s">
        <v>15</v>
      </c>
      <c r="J120" s="16">
        <v>2</v>
      </c>
      <c r="K120" s="18" t="s">
        <v>22</v>
      </c>
      <c r="L120" s="18" t="s">
        <v>17</v>
      </c>
      <c r="M120" s="14">
        <v>62</v>
      </c>
      <c r="N120" s="18" t="str" cm="1">
        <f t="array" ref="N120">_xlfn.IFS(Cleaned_Working_Sheet!$M120&lt;=34,"Young",Cleaned_Working_Sheet!$M120&lt;=54,"Middle-aged",Cleaned_Working_Sheet!$M120&gt;54,"Old")</f>
        <v>Old</v>
      </c>
      <c r="O120" s="18" t="s">
        <v>18</v>
      </c>
    </row>
    <row r="121" spans="1:15" x14ac:dyDescent="0.25">
      <c r="A121" s="14">
        <v>12871</v>
      </c>
      <c r="B121" s="18" t="s">
        <v>37</v>
      </c>
      <c r="C121" s="18" t="s">
        <v>38</v>
      </c>
      <c r="D121" s="6">
        <v>30000</v>
      </c>
      <c r="E121" s="18" t="str" cm="1">
        <f t="array" ref="E121">_xlfn.IFS(Cleaned_Working_Sheet!$D121&lt;=50000,"Low Income",Cleaned_Working_Sheet!$D121&lt;100000,"Middle Income",TRUE,"High Income")</f>
        <v>Low Income</v>
      </c>
      <c r="F121" s="16">
        <v>0</v>
      </c>
      <c r="G121" s="18" t="s">
        <v>19</v>
      </c>
      <c r="H121" s="18" t="s">
        <v>20</v>
      </c>
      <c r="I121" s="18" t="s">
        <v>18</v>
      </c>
      <c r="J121" s="16">
        <v>1</v>
      </c>
      <c r="K121" s="18" t="s">
        <v>22</v>
      </c>
      <c r="L121" s="18" t="s">
        <v>17</v>
      </c>
      <c r="M121" s="14">
        <v>29</v>
      </c>
      <c r="N121" s="18" t="str" cm="1">
        <f t="array" ref="N121">_xlfn.IFS(Cleaned_Working_Sheet!$M121&lt;=34,"Young",Cleaned_Working_Sheet!$M121&lt;=54,"Middle-aged",Cleaned_Working_Sheet!$M121&gt;54,"Old")</f>
        <v>Young</v>
      </c>
      <c r="O121" s="18" t="s">
        <v>18</v>
      </c>
    </row>
    <row r="122" spans="1:15" x14ac:dyDescent="0.25">
      <c r="A122" s="14">
        <v>22988</v>
      </c>
      <c r="B122" s="18" t="s">
        <v>36</v>
      </c>
      <c r="C122" s="18" t="s">
        <v>38</v>
      </c>
      <c r="D122" s="6">
        <v>40000</v>
      </c>
      <c r="E122" s="18" t="str" cm="1">
        <f t="array" ref="E122">_xlfn.IFS(Cleaned_Working_Sheet!$D122&lt;=50000,"Low Income",Cleaned_Working_Sheet!$D122&lt;100000,"Middle Income",TRUE,"High Income")</f>
        <v>Low Income</v>
      </c>
      <c r="F122" s="16">
        <v>2</v>
      </c>
      <c r="G122" s="18" t="s">
        <v>13</v>
      </c>
      <c r="H122" s="18" t="s">
        <v>28</v>
      </c>
      <c r="I122" s="18" t="s">
        <v>15</v>
      </c>
      <c r="J122" s="16">
        <v>2</v>
      </c>
      <c r="K122" s="18" t="s">
        <v>23</v>
      </c>
      <c r="L122" s="18" t="s">
        <v>24</v>
      </c>
      <c r="M122" s="14">
        <v>66</v>
      </c>
      <c r="N122" s="18" t="str" cm="1">
        <f t="array" ref="N122">_xlfn.IFS(Cleaned_Working_Sheet!$M122&lt;=34,"Young",Cleaned_Working_Sheet!$M122&lt;=54,"Middle-aged",Cleaned_Working_Sheet!$M122&gt;54,"Old")</f>
        <v>Old</v>
      </c>
      <c r="O122" s="18" t="s">
        <v>15</v>
      </c>
    </row>
    <row r="123" spans="1:15" x14ac:dyDescent="0.25">
      <c r="A123" s="14">
        <v>15922</v>
      </c>
      <c r="B123" s="18" t="s">
        <v>36</v>
      </c>
      <c r="C123" s="18" t="s">
        <v>39</v>
      </c>
      <c r="D123" s="6">
        <v>150000</v>
      </c>
      <c r="E123" s="18" t="str" cm="1">
        <f t="array" ref="E123">_xlfn.IFS(Cleaned_Working_Sheet!$D123&lt;=50000,"Low Income",Cleaned_Working_Sheet!$D123&lt;100000,"Middle Income",TRUE,"High Income")</f>
        <v>High Income</v>
      </c>
      <c r="F123" s="16">
        <v>2</v>
      </c>
      <c r="G123" s="18" t="s">
        <v>27</v>
      </c>
      <c r="H123" s="18" t="s">
        <v>21</v>
      </c>
      <c r="I123" s="18" t="s">
        <v>15</v>
      </c>
      <c r="J123" s="16">
        <v>4</v>
      </c>
      <c r="K123" s="18" t="s">
        <v>16</v>
      </c>
      <c r="L123" s="18" t="s">
        <v>17</v>
      </c>
      <c r="M123" s="14">
        <v>48</v>
      </c>
      <c r="N123" s="18" t="str" cm="1">
        <f t="array" ref="N123">_xlfn.IFS(Cleaned_Working_Sheet!$M123&lt;=34,"Young",Cleaned_Working_Sheet!$M123&lt;=54,"Middle-aged",Cleaned_Working_Sheet!$M123&gt;54,"Old")</f>
        <v>Middle-aged</v>
      </c>
      <c r="O123" s="18" t="s">
        <v>18</v>
      </c>
    </row>
    <row r="124" spans="1:15" x14ac:dyDescent="0.25">
      <c r="A124" s="14">
        <v>12344</v>
      </c>
      <c r="B124" s="18" t="s">
        <v>37</v>
      </c>
      <c r="C124" s="18" t="s">
        <v>38</v>
      </c>
      <c r="D124" s="6">
        <v>80000</v>
      </c>
      <c r="E124" s="18" t="str" cm="1">
        <f t="array" ref="E124">_xlfn.IFS(Cleaned_Working_Sheet!$D124&lt;=50000,"Low Income",Cleaned_Working_Sheet!$D124&lt;100000,"Middle Income",TRUE,"High Income")</f>
        <v>Middle Income</v>
      </c>
      <c r="F124" s="16">
        <v>0</v>
      </c>
      <c r="G124" s="18" t="s">
        <v>13</v>
      </c>
      <c r="H124" s="18" t="s">
        <v>21</v>
      </c>
      <c r="I124" s="18" t="s">
        <v>18</v>
      </c>
      <c r="J124" s="16">
        <v>3</v>
      </c>
      <c r="K124" s="18" t="s">
        <v>43</v>
      </c>
      <c r="L124" s="18" t="s">
        <v>24</v>
      </c>
      <c r="M124" s="14">
        <v>31</v>
      </c>
      <c r="N124" s="18" t="str" cm="1">
        <f t="array" ref="N124">_xlfn.IFS(Cleaned_Working_Sheet!$M124&lt;=34,"Young",Cleaned_Working_Sheet!$M124&lt;=54,"Middle-aged",Cleaned_Working_Sheet!$M124&gt;54,"Old")</f>
        <v>Young</v>
      </c>
      <c r="O124" s="18" t="s">
        <v>18</v>
      </c>
    </row>
    <row r="125" spans="1:15" x14ac:dyDescent="0.25">
      <c r="A125" s="14">
        <v>23627</v>
      </c>
      <c r="B125" s="18" t="s">
        <v>37</v>
      </c>
      <c r="C125" s="18" t="s">
        <v>38</v>
      </c>
      <c r="D125" s="6">
        <v>100000</v>
      </c>
      <c r="E125" s="18" t="str" cm="1">
        <f t="array" ref="E125">_xlfn.IFS(Cleaned_Working_Sheet!$D125&lt;=50000,"Low Income",Cleaned_Working_Sheet!$D125&lt;100000,"Middle Income",TRUE,"High Income")</f>
        <v>High Income</v>
      </c>
      <c r="F125" s="16">
        <v>3</v>
      </c>
      <c r="G125" s="18" t="s">
        <v>19</v>
      </c>
      <c r="H125" s="18" t="s">
        <v>28</v>
      </c>
      <c r="I125" s="18" t="s">
        <v>18</v>
      </c>
      <c r="J125" s="16">
        <v>4</v>
      </c>
      <c r="K125" s="18" t="s">
        <v>23</v>
      </c>
      <c r="L125" s="18" t="s">
        <v>17</v>
      </c>
      <c r="M125" s="14">
        <v>56</v>
      </c>
      <c r="N125" s="18" t="str" cm="1">
        <f t="array" ref="N125">_xlfn.IFS(Cleaned_Working_Sheet!$M125&lt;=34,"Young",Cleaned_Working_Sheet!$M125&lt;=54,"Middle-aged",Cleaned_Working_Sheet!$M125&gt;54,"Old")</f>
        <v>Old</v>
      </c>
      <c r="O125" s="18" t="s">
        <v>18</v>
      </c>
    </row>
    <row r="126" spans="1:15" x14ac:dyDescent="0.25">
      <c r="A126" s="14">
        <v>27775</v>
      </c>
      <c r="B126" s="18" t="s">
        <v>37</v>
      </c>
      <c r="C126" s="18" t="s">
        <v>38</v>
      </c>
      <c r="D126" s="6">
        <v>40000</v>
      </c>
      <c r="E126" s="18" t="str" cm="1">
        <f t="array" ref="E126">_xlfn.IFS(Cleaned_Working_Sheet!$D126&lt;=50000,"Low Income",Cleaned_Working_Sheet!$D126&lt;100000,"Middle Income",TRUE,"High Income")</f>
        <v>Low Income</v>
      </c>
      <c r="F126" s="16">
        <v>0</v>
      </c>
      <c r="G126" s="18" t="s">
        <v>13</v>
      </c>
      <c r="H126" s="18" t="s">
        <v>20</v>
      </c>
      <c r="I126" s="18" t="s">
        <v>18</v>
      </c>
      <c r="J126" s="16">
        <v>0</v>
      </c>
      <c r="K126" s="18" t="s">
        <v>16</v>
      </c>
      <c r="L126" s="18" t="s">
        <v>17</v>
      </c>
      <c r="M126" s="14">
        <v>38</v>
      </c>
      <c r="N126" s="18" t="str" cm="1">
        <f t="array" ref="N126">_xlfn.IFS(Cleaned_Working_Sheet!$M126&lt;=34,"Young",Cleaned_Working_Sheet!$M126&lt;=54,"Middle-aged",Cleaned_Working_Sheet!$M126&gt;54,"Old")</f>
        <v>Middle-aged</v>
      </c>
      <c r="O126" s="18" t="s">
        <v>15</v>
      </c>
    </row>
    <row r="127" spans="1:15" x14ac:dyDescent="0.25">
      <c r="A127" s="14">
        <v>29301</v>
      </c>
      <c r="B127" s="18" t="s">
        <v>36</v>
      </c>
      <c r="C127" s="18" t="s">
        <v>39</v>
      </c>
      <c r="D127" s="6">
        <v>80000</v>
      </c>
      <c r="E127" s="18" t="str" cm="1">
        <f t="array" ref="E127">_xlfn.IFS(Cleaned_Working_Sheet!$D127&lt;=50000,"Low Income",Cleaned_Working_Sheet!$D127&lt;100000,"Middle Income",TRUE,"High Income")</f>
        <v>Middle Income</v>
      </c>
      <c r="F127" s="16">
        <v>5</v>
      </c>
      <c r="G127" s="18" t="s">
        <v>13</v>
      </c>
      <c r="H127" s="18" t="s">
        <v>21</v>
      </c>
      <c r="I127" s="18" t="s">
        <v>15</v>
      </c>
      <c r="J127" s="16">
        <v>4</v>
      </c>
      <c r="K127" s="18" t="s">
        <v>26</v>
      </c>
      <c r="L127" s="18" t="s">
        <v>24</v>
      </c>
      <c r="M127" s="14">
        <v>40</v>
      </c>
      <c r="N127" s="18" t="str" cm="1">
        <f t="array" ref="N127">_xlfn.IFS(Cleaned_Working_Sheet!$M127&lt;=34,"Young",Cleaned_Working_Sheet!$M127&lt;=54,"Middle-aged",Cleaned_Working_Sheet!$M127&gt;54,"Old")</f>
        <v>Middle-aged</v>
      </c>
      <c r="O127" s="18" t="s">
        <v>18</v>
      </c>
    </row>
    <row r="128" spans="1:15" x14ac:dyDescent="0.25">
      <c r="A128" s="14">
        <v>12716</v>
      </c>
      <c r="B128" s="18" t="s">
        <v>37</v>
      </c>
      <c r="C128" s="18" t="s">
        <v>39</v>
      </c>
      <c r="D128" s="6">
        <v>30000</v>
      </c>
      <c r="E128" s="18" t="str" cm="1">
        <f t="array" ref="E128">_xlfn.IFS(Cleaned_Working_Sheet!$D128&lt;=50000,"Low Income",Cleaned_Working_Sheet!$D128&lt;100000,"Middle Income",TRUE,"High Income")</f>
        <v>Low Income</v>
      </c>
      <c r="F128" s="16">
        <v>0</v>
      </c>
      <c r="G128" s="18" t="s">
        <v>19</v>
      </c>
      <c r="H128" s="18" t="s">
        <v>20</v>
      </c>
      <c r="I128" s="18" t="s">
        <v>15</v>
      </c>
      <c r="J128" s="16">
        <v>1</v>
      </c>
      <c r="K128" s="18" t="s">
        <v>22</v>
      </c>
      <c r="L128" s="18" t="s">
        <v>17</v>
      </c>
      <c r="M128" s="14">
        <v>32</v>
      </c>
      <c r="N128" s="18" t="str" cm="1">
        <f t="array" ref="N128">_xlfn.IFS(Cleaned_Working_Sheet!$M128&lt;=34,"Young",Cleaned_Working_Sheet!$M128&lt;=54,"Middle-aged",Cleaned_Working_Sheet!$M128&gt;54,"Old")</f>
        <v>Young</v>
      </c>
      <c r="O128" s="18" t="s">
        <v>18</v>
      </c>
    </row>
    <row r="129" spans="1:15" x14ac:dyDescent="0.25">
      <c r="A129" s="14">
        <v>12472</v>
      </c>
      <c r="B129" s="18" t="s">
        <v>36</v>
      </c>
      <c r="C129" s="18" t="s">
        <v>39</v>
      </c>
      <c r="D129" s="6">
        <v>30000</v>
      </c>
      <c r="E129" s="18" t="str" cm="1">
        <f t="array" ref="E129">_xlfn.IFS(Cleaned_Working_Sheet!$D129&lt;=50000,"Low Income",Cleaned_Working_Sheet!$D129&lt;100000,"Middle Income",TRUE,"High Income")</f>
        <v>Low Income</v>
      </c>
      <c r="F129" s="16">
        <v>1</v>
      </c>
      <c r="G129" s="18" t="s">
        <v>13</v>
      </c>
      <c r="H129" s="18" t="s">
        <v>20</v>
      </c>
      <c r="I129" s="18" t="s">
        <v>15</v>
      </c>
      <c r="J129" s="16">
        <v>1</v>
      </c>
      <c r="K129" s="18" t="s">
        <v>22</v>
      </c>
      <c r="L129" s="18" t="s">
        <v>17</v>
      </c>
      <c r="M129" s="14">
        <v>39</v>
      </c>
      <c r="N129" s="18" t="str" cm="1">
        <f t="array" ref="N129">_xlfn.IFS(Cleaned_Working_Sheet!$M129&lt;=34,"Young",Cleaned_Working_Sheet!$M129&lt;=54,"Middle-aged",Cleaned_Working_Sheet!$M129&gt;54,"Old")</f>
        <v>Middle-aged</v>
      </c>
      <c r="O129" s="18" t="s">
        <v>18</v>
      </c>
    </row>
    <row r="130" spans="1:15" x14ac:dyDescent="0.25">
      <c r="A130" s="14">
        <v>20970</v>
      </c>
      <c r="B130" s="18" t="s">
        <v>37</v>
      </c>
      <c r="C130" s="18" t="s">
        <v>39</v>
      </c>
      <c r="D130" s="6">
        <v>10000</v>
      </c>
      <c r="E130" s="18" t="str" cm="1">
        <f t="array" ref="E130">_xlfn.IFS(Cleaned_Working_Sheet!$D130&lt;=50000,"Low Income",Cleaned_Working_Sheet!$D130&lt;100000,"Middle Income",TRUE,"High Income")</f>
        <v>Low Income</v>
      </c>
      <c r="F130" s="16">
        <v>2</v>
      </c>
      <c r="G130" s="18" t="s">
        <v>19</v>
      </c>
      <c r="H130" s="18" t="s">
        <v>25</v>
      </c>
      <c r="I130" s="18" t="s">
        <v>15</v>
      </c>
      <c r="J130" s="16">
        <v>1</v>
      </c>
      <c r="K130" s="18" t="s">
        <v>16</v>
      </c>
      <c r="L130" s="18" t="s">
        <v>17</v>
      </c>
      <c r="M130" s="14">
        <v>52</v>
      </c>
      <c r="N130" s="18" t="str" cm="1">
        <f t="array" ref="N130">_xlfn.IFS(Cleaned_Working_Sheet!$M130&lt;=34,"Young",Cleaned_Working_Sheet!$M130&lt;=54,"Middle-aged",Cleaned_Working_Sheet!$M130&gt;54,"Old")</f>
        <v>Middle-aged</v>
      </c>
      <c r="O130" s="18" t="s">
        <v>15</v>
      </c>
    </row>
    <row r="131" spans="1:15" x14ac:dyDescent="0.25">
      <c r="A131" s="14">
        <v>26818</v>
      </c>
      <c r="B131" s="18" t="s">
        <v>37</v>
      </c>
      <c r="C131" s="18" t="s">
        <v>39</v>
      </c>
      <c r="D131" s="6">
        <v>10000</v>
      </c>
      <c r="E131" s="18" t="str" cm="1">
        <f t="array" ref="E131">_xlfn.IFS(Cleaned_Working_Sheet!$D131&lt;=50000,"Low Income",Cleaned_Working_Sheet!$D131&lt;100000,"Middle Income",TRUE,"High Income")</f>
        <v>Low Income</v>
      </c>
      <c r="F131" s="16">
        <v>3</v>
      </c>
      <c r="G131" s="18" t="s">
        <v>27</v>
      </c>
      <c r="H131" s="18" t="s">
        <v>25</v>
      </c>
      <c r="I131" s="18" t="s">
        <v>15</v>
      </c>
      <c r="J131" s="16">
        <v>1</v>
      </c>
      <c r="K131" s="18" t="s">
        <v>16</v>
      </c>
      <c r="L131" s="18" t="s">
        <v>17</v>
      </c>
      <c r="M131" s="14">
        <v>39</v>
      </c>
      <c r="N131" s="18" t="str" cm="1">
        <f t="array" ref="N131">_xlfn.IFS(Cleaned_Working_Sheet!$M131&lt;=34,"Young",Cleaned_Working_Sheet!$M131&lt;=54,"Middle-aged",Cleaned_Working_Sheet!$M131&gt;54,"Old")</f>
        <v>Middle-aged</v>
      </c>
      <c r="O131" s="18" t="s">
        <v>15</v>
      </c>
    </row>
    <row r="132" spans="1:15" x14ac:dyDescent="0.25">
      <c r="A132" s="14">
        <v>12993</v>
      </c>
      <c r="B132" s="18" t="s">
        <v>36</v>
      </c>
      <c r="C132" s="18" t="s">
        <v>39</v>
      </c>
      <c r="D132" s="6">
        <v>60000</v>
      </c>
      <c r="E132" s="18" t="str" cm="1">
        <f t="array" ref="E132">_xlfn.IFS(Cleaned_Working_Sheet!$D132&lt;=50000,"Low Income",Cleaned_Working_Sheet!$D132&lt;100000,"Middle Income",TRUE,"High Income")</f>
        <v>Middle Income</v>
      </c>
      <c r="F132" s="16">
        <v>2</v>
      </c>
      <c r="G132" s="18" t="s">
        <v>13</v>
      </c>
      <c r="H132" s="18" t="s">
        <v>21</v>
      </c>
      <c r="I132" s="18" t="s">
        <v>15</v>
      </c>
      <c r="J132" s="16">
        <v>1</v>
      </c>
      <c r="K132" s="18" t="s">
        <v>22</v>
      </c>
      <c r="L132" s="18" t="s">
        <v>24</v>
      </c>
      <c r="M132" s="14">
        <v>37</v>
      </c>
      <c r="N132" s="18" t="str" cm="1">
        <f t="array" ref="N132">_xlfn.IFS(Cleaned_Working_Sheet!$M132&lt;=34,"Young",Cleaned_Working_Sheet!$M132&lt;=54,"Middle-aged",Cleaned_Working_Sheet!$M132&gt;54,"Old")</f>
        <v>Middle-aged</v>
      </c>
      <c r="O132" s="18" t="s">
        <v>18</v>
      </c>
    </row>
    <row r="133" spans="1:15" x14ac:dyDescent="0.25">
      <c r="A133" s="14">
        <v>14192</v>
      </c>
      <c r="B133" s="18" t="s">
        <v>36</v>
      </c>
      <c r="C133" s="18" t="s">
        <v>39</v>
      </c>
      <c r="D133" s="6">
        <v>90000</v>
      </c>
      <c r="E133" s="18" t="str" cm="1">
        <f t="array" ref="E133">_xlfn.IFS(Cleaned_Working_Sheet!$D133&lt;=50000,"Low Income",Cleaned_Working_Sheet!$D133&lt;100000,"Middle Income",TRUE,"High Income")</f>
        <v>Middle Income</v>
      </c>
      <c r="F133" s="16">
        <v>4</v>
      </c>
      <c r="G133" s="18" t="s">
        <v>27</v>
      </c>
      <c r="H133" s="18" t="s">
        <v>28</v>
      </c>
      <c r="I133" s="18" t="s">
        <v>15</v>
      </c>
      <c r="J133" s="16">
        <v>3</v>
      </c>
      <c r="K133" s="18" t="s">
        <v>23</v>
      </c>
      <c r="L133" s="18" t="s">
        <v>17</v>
      </c>
      <c r="M133" s="14">
        <v>56</v>
      </c>
      <c r="N133" s="18" t="str" cm="1">
        <f t="array" ref="N133">_xlfn.IFS(Cleaned_Working_Sheet!$M133&lt;=34,"Young",Cleaned_Working_Sheet!$M133&lt;=54,"Middle-aged",Cleaned_Working_Sheet!$M133&gt;54,"Old")</f>
        <v>Old</v>
      </c>
      <c r="O133" s="18" t="s">
        <v>15</v>
      </c>
    </row>
    <row r="134" spans="1:15" x14ac:dyDescent="0.25">
      <c r="A134" s="14">
        <v>19477</v>
      </c>
      <c r="B134" s="18" t="s">
        <v>36</v>
      </c>
      <c r="C134" s="18" t="s">
        <v>39</v>
      </c>
      <c r="D134" s="6">
        <v>40000</v>
      </c>
      <c r="E134" s="18" t="str" cm="1">
        <f t="array" ref="E134">_xlfn.IFS(Cleaned_Working_Sheet!$D134&lt;=50000,"Low Income",Cleaned_Working_Sheet!$D134&lt;100000,"Middle Income",TRUE,"High Income")</f>
        <v>Low Income</v>
      </c>
      <c r="F134" s="16">
        <v>0</v>
      </c>
      <c r="G134" s="18" t="s">
        <v>13</v>
      </c>
      <c r="H134" s="18" t="s">
        <v>21</v>
      </c>
      <c r="I134" s="18" t="s">
        <v>15</v>
      </c>
      <c r="J134" s="16">
        <v>0</v>
      </c>
      <c r="K134" s="18" t="s">
        <v>16</v>
      </c>
      <c r="L134" s="18" t="s">
        <v>17</v>
      </c>
      <c r="M134" s="14">
        <v>40</v>
      </c>
      <c r="N134" s="18" t="str" cm="1">
        <f t="array" ref="N134">_xlfn.IFS(Cleaned_Working_Sheet!$M134&lt;=34,"Young",Cleaned_Working_Sheet!$M134&lt;=54,"Middle-aged",Cleaned_Working_Sheet!$M134&gt;54,"Old")</f>
        <v>Middle-aged</v>
      </c>
      <c r="O134" s="18" t="s">
        <v>15</v>
      </c>
    </row>
    <row r="135" spans="1:15" x14ac:dyDescent="0.25">
      <c r="A135" s="14">
        <v>26796</v>
      </c>
      <c r="B135" s="18" t="s">
        <v>37</v>
      </c>
      <c r="C135" s="18" t="s">
        <v>39</v>
      </c>
      <c r="D135" s="6">
        <v>40000</v>
      </c>
      <c r="E135" s="18" t="str" cm="1">
        <f t="array" ref="E135">_xlfn.IFS(Cleaned_Working_Sheet!$D135&lt;=50000,"Low Income",Cleaned_Working_Sheet!$D135&lt;100000,"Middle Income",TRUE,"High Income")</f>
        <v>Low Income</v>
      </c>
      <c r="F135" s="16">
        <v>2</v>
      </c>
      <c r="G135" s="18" t="s">
        <v>13</v>
      </c>
      <c r="H135" s="18" t="s">
        <v>28</v>
      </c>
      <c r="I135" s="18" t="s">
        <v>15</v>
      </c>
      <c r="J135" s="16">
        <v>2</v>
      </c>
      <c r="K135" s="18" t="s">
        <v>23</v>
      </c>
      <c r="L135" s="18" t="s">
        <v>24</v>
      </c>
      <c r="M135" s="14">
        <v>65</v>
      </c>
      <c r="N135" s="18" t="str" cm="1">
        <f t="array" ref="N135">_xlfn.IFS(Cleaned_Working_Sheet!$M135&lt;=34,"Young",Cleaned_Working_Sheet!$M135&lt;=54,"Middle-aged",Cleaned_Working_Sheet!$M135&gt;54,"Old")</f>
        <v>Old</v>
      </c>
      <c r="O135" s="18" t="s">
        <v>15</v>
      </c>
    </row>
    <row r="136" spans="1:15" x14ac:dyDescent="0.25">
      <c r="A136" s="14">
        <v>21094</v>
      </c>
      <c r="B136" s="18" t="s">
        <v>37</v>
      </c>
      <c r="C136" s="18" t="s">
        <v>38</v>
      </c>
      <c r="D136" s="6">
        <v>30000</v>
      </c>
      <c r="E136" s="18" t="str" cm="1">
        <f t="array" ref="E136">_xlfn.IFS(Cleaned_Working_Sheet!$D136&lt;=50000,"Low Income",Cleaned_Working_Sheet!$D136&lt;100000,"Middle Income",TRUE,"High Income")</f>
        <v>Low Income</v>
      </c>
      <c r="F136" s="16">
        <v>2</v>
      </c>
      <c r="G136" s="18" t="s">
        <v>19</v>
      </c>
      <c r="H136" s="18" t="s">
        <v>20</v>
      </c>
      <c r="I136" s="18" t="s">
        <v>15</v>
      </c>
      <c r="J136" s="16">
        <v>2</v>
      </c>
      <c r="K136" s="18" t="s">
        <v>16</v>
      </c>
      <c r="L136" s="18" t="s">
        <v>17</v>
      </c>
      <c r="M136" s="14">
        <v>42</v>
      </c>
      <c r="N136" s="18" t="str" cm="1">
        <f t="array" ref="N136">_xlfn.IFS(Cleaned_Working_Sheet!$M136&lt;=34,"Young",Cleaned_Working_Sheet!$M136&lt;=54,"Middle-aged",Cleaned_Working_Sheet!$M136&gt;54,"Old")</f>
        <v>Middle-aged</v>
      </c>
      <c r="O136" s="18" t="s">
        <v>18</v>
      </c>
    </row>
    <row r="137" spans="1:15" x14ac:dyDescent="0.25">
      <c r="A137" s="14">
        <v>12234</v>
      </c>
      <c r="B137" s="18" t="s">
        <v>36</v>
      </c>
      <c r="C137" s="18" t="s">
        <v>39</v>
      </c>
      <c r="D137" s="6">
        <v>10000</v>
      </c>
      <c r="E137" s="18" t="str" cm="1">
        <f t="array" ref="E137">_xlfn.IFS(Cleaned_Working_Sheet!$D137&lt;=50000,"Low Income",Cleaned_Working_Sheet!$D137&lt;100000,"Middle Income",TRUE,"High Income")</f>
        <v>Low Income</v>
      </c>
      <c r="F137" s="16">
        <v>2</v>
      </c>
      <c r="G137" s="18" t="s">
        <v>19</v>
      </c>
      <c r="H137" s="18" t="s">
        <v>25</v>
      </c>
      <c r="I137" s="18" t="s">
        <v>15</v>
      </c>
      <c r="J137" s="16">
        <v>1</v>
      </c>
      <c r="K137" s="18" t="s">
        <v>22</v>
      </c>
      <c r="L137" s="18" t="s">
        <v>17</v>
      </c>
      <c r="M137" s="14">
        <v>52</v>
      </c>
      <c r="N137" s="18" t="str" cm="1">
        <f t="array" ref="N137">_xlfn.IFS(Cleaned_Working_Sheet!$M137&lt;=34,"Young",Cleaned_Working_Sheet!$M137&lt;=54,"Middle-aged",Cleaned_Working_Sheet!$M137&gt;54,"Old")</f>
        <v>Middle-aged</v>
      </c>
      <c r="O137" s="18" t="s">
        <v>18</v>
      </c>
    </row>
    <row r="138" spans="1:15" x14ac:dyDescent="0.25">
      <c r="A138" s="14">
        <v>28683</v>
      </c>
      <c r="B138" s="18" t="s">
        <v>37</v>
      </c>
      <c r="C138" s="18" t="s">
        <v>38</v>
      </c>
      <c r="D138" s="6">
        <v>10000</v>
      </c>
      <c r="E138" s="18" t="str" cm="1">
        <f t="array" ref="E138">_xlfn.IFS(Cleaned_Working_Sheet!$D138&lt;=50000,"Low Income",Cleaned_Working_Sheet!$D138&lt;100000,"Middle Income",TRUE,"High Income")</f>
        <v>Low Income</v>
      </c>
      <c r="F138" s="16">
        <v>1</v>
      </c>
      <c r="G138" s="18" t="s">
        <v>27</v>
      </c>
      <c r="H138" s="18" t="s">
        <v>25</v>
      </c>
      <c r="I138" s="18" t="s">
        <v>18</v>
      </c>
      <c r="J138" s="16">
        <v>1</v>
      </c>
      <c r="K138" s="18" t="s">
        <v>23</v>
      </c>
      <c r="L138" s="18" t="s">
        <v>17</v>
      </c>
      <c r="M138" s="14">
        <v>35</v>
      </c>
      <c r="N138" s="18" t="str" cm="1">
        <f t="array" ref="N138">_xlfn.IFS(Cleaned_Working_Sheet!$M138&lt;=34,"Young",Cleaned_Working_Sheet!$M138&lt;=54,"Middle-aged",Cleaned_Working_Sheet!$M138&gt;54,"Old")</f>
        <v>Middle-aged</v>
      </c>
      <c r="O138" s="18" t="s">
        <v>15</v>
      </c>
    </row>
    <row r="139" spans="1:15" x14ac:dyDescent="0.25">
      <c r="A139" s="14">
        <v>17994</v>
      </c>
      <c r="B139" s="18" t="s">
        <v>37</v>
      </c>
      <c r="C139" s="18" t="s">
        <v>39</v>
      </c>
      <c r="D139" s="6">
        <v>20000</v>
      </c>
      <c r="E139" s="18" t="str" cm="1">
        <f t="array" ref="E139">_xlfn.IFS(Cleaned_Working_Sheet!$D139&lt;=50000,"Low Income",Cleaned_Working_Sheet!$D139&lt;100000,"Middle Income",TRUE,"High Income")</f>
        <v>Low Income</v>
      </c>
      <c r="F139" s="16">
        <v>2</v>
      </c>
      <c r="G139" s="18" t="s">
        <v>27</v>
      </c>
      <c r="H139" s="18" t="s">
        <v>25</v>
      </c>
      <c r="I139" s="18" t="s">
        <v>15</v>
      </c>
      <c r="J139" s="16">
        <v>2</v>
      </c>
      <c r="K139" s="18" t="s">
        <v>16</v>
      </c>
      <c r="L139" s="18" t="s">
        <v>17</v>
      </c>
      <c r="M139" s="14">
        <v>42</v>
      </c>
      <c r="N139" s="18" t="str" cm="1">
        <f t="array" ref="N139">_xlfn.IFS(Cleaned_Working_Sheet!$M139&lt;=34,"Young",Cleaned_Working_Sheet!$M139&lt;=54,"Middle-aged",Cleaned_Working_Sheet!$M139&gt;54,"Old")</f>
        <v>Middle-aged</v>
      </c>
      <c r="O139" s="18" t="s">
        <v>18</v>
      </c>
    </row>
    <row r="140" spans="1:15" x14ac:dyDescent="0.25">
      <c r="A140" s="14">
        <v>24273</v>
      </c>
      <c r="B140" s="18" t="s">
        <v>36</v>
      </c>
      <c r="C140" s="18" t="s">
        <v>38</v>
      </c>
      <c r="D140" s="6">
        <v>20000</v>
      </c>
      <c r="E140" s="18" t="str" cm="1">
        <f t="array" ref="E140">_xlfn.IFS(Cleaned_Working_Sheet!$D140&lt;=50000,"Low Income",Cleaned_Working_Sheet!$D140&lt;100000,"Middle Income",TRUE,"High Income")</f>
        <v>Low Income</v>
      </c>
      <c r="F140" s="16">
        <v>2</v>
      </c>
      <c r="G140" s="18" t="s">
        <v>29</v>
      </c>
      <c r="H140" s="18" t="s">
        <v>20</v>
      </c>
      <c r="I140" s="18" t="s">
        <v>15</v>
      </c>
      <c r="J140" s="16">
        <v>2</v>
      </c>
      <c r="K140" s="18" t="s">
        <v>23</v>
      </c>
      <c r="L140" s="18" t="s">
        <v>24</v>
      </c>
      <c r="M140" s="14">
        <v>55</v>
      </c>
      <c r="N140" s="18" t="str" cm="1">
        <f t="array" ref="N140">_xlfn.IFS(Cleaned_Working_Sheet!$M140&lt;=34,"Young",Cleaned_Working_Sheet!$M140&lt;=54,"Middle-aged",Cleaned_Working_Sheet!$M140&gt;54,"Old")</f>
        <v>Old</v>
      </c>
      <c r="O140" s="18" t="s">
        <v>15</v>
      </c>
    </row>
    <row r="141" spans="1:15" x14ac:dyDescent="0.25">
      <c r="A141" s="14">
        <v>26547</v>
      </c>
      <c r="B141" s="18" t="s">
        <v>37</v>
      </c>
      <c r="C141" s="18" t="s">
        <v>38</v>
      </c>
      <c r="D141" s="6">
        <v>30000</v>
      </c>
      <c r="E141" s="18" t="str" cm="1">
        <f t="array" ref="E141">_xlfn.IFS(Cleaned_Working_Sheet!$D141&lt;=50000,"Low Income",Cleaned_Working_Sheet!$D141&lt;100000,"Middle Income",TRUE,"High Income")</f>
        <v>Low Income</v>
      </c>
      <c r="F141" s="16">
        <v>2</v>
      </c>
      <c r="G141" s="18" t="s">
        <v>19</v>
      </c>
      <c r="H141" s="18" t="s">
        <v>20</v>
      </c>
      <c r="I141" s="18" t="s">
        <v>18</v>
      </c>
      <c r="J141" s="16">
        <v>2</v>
      </c>
      <c r="K141" s="18" t="s">
        <v>23</v>
      </c>
      <c r="L141" s="18" t="s">
        <v>24</v>
      </c>
      <c r="M141" s="14">
        <v>60</v>
      </c>
      <c r="N141" s="18" t="str" cm="1">
        <f t="array" ref="N141">_xlfn.IFS(Cleaned_Working_Sheet!$M141&lt;=34,"Young",Cleaned_Working_Sheet!$M141&lt;=54,"Middle-aged",Cleaned_Working_Sheet!$M141&gt;54,"Old")</f>
        <v>Old</v>
      </c>
      <c r="O141" s="18" t="s">
        <v>15</v>
      </c>
    </row>
    <row r="142" spans="1:15" x14ac:dyDescent="0.25">
      <c r="A142" s="14">
        <v>22500</v>
      </c>
      <c r="B142" s="18" t="s">
        <v>37</v>
      </c>
      <c r="C142" s="18" t="s">
        <v>39</v>
      </c>
      <c r="D142" s="6">
        <v>40000</v>
      </c>
      <c r="E142" s="18" t="str" cm="1">
        <f t="array" ref="E142">_xlfn.IFS(Cleaned_Working_Sheet!$D142&lt;=50000,"Low Income",Cleaned_Working_Sheet!$D142&lt;100000,"Middle Income",TRUE,"High Income")</f>
        <v>Low Income</v>
      </c>
      <c r="F142" s="16">
        <v>0</v>
      </c>
      <c r="G142" s="18" t="s">
        <v>13</v>
      </c>
      <c r="H142" s="18" t="s">
        <v>21</v>
      </c>
      <c r="I142" s="18" t="s">
        <v>18</v>
      </c>
      <c r="J142" s="16">
        <v>0</v>
      </c>
      <c r="K142" s="18" t="s">
        <v>16</v>
      </c>
      <c r="L142" s="18" t="s">
        <v>17</v>
      </c>
      <c r="M142" s="14">
        <v>40</v>
      </c>
      <c r="N142" s="18" t="str" cm="1">
        <f t="array" ref="N142">_xlfn.IFS(Cleaned_Working_Sheet!$M142&lt;=34,"Young",Cleaned_Working_Sheet!$M142&lt;=54,"Middle-aged",Cleaned_Working_Sheet!$M142&gt;54,"Old")</f>
        <v>Middle-aged</v>
      </c>
      <c r="O142" s="18" t="s">
        <v>15</v>
      </c>
    </row>
    <row r="143" spans="1:15" x14ac:dyDescent="0.25">
      <c r="A143" s="14">
        <v>23993</v>
      </c>
      <c r="B143" s="18" t="s">
        <v>37</v>
      </c>
      <c r="C143" s="18" t="s">
        <v>38</v>
      </c>
      <c r="D143" s="6">
        <v>10000</v>
      </c>
      <c r="E143" s="18" t="str" cm="1">
        <f t="array" ref="E143">_xlfn.IFS(Cleaned_Working_Sheet!$D143&lt;=50000,"Low Income",Cleaned_Working_Sheet!$D143&lt;100000,"Middle Income",TRUE,"High Income")</f>
        <v>Low Income</v>
      </c>
      <c r="F143" s="16">
        <v>0</v>
      </c>
      <c r="G143" s="18" t="s">
        <v>19</v>
      </c>
      <c r="H143" s="18" t="s">
        <v>25</v>
      </c>
      <c r="I143" s="18" t="s">
        <v>18</v>
      </c>
      <c r="J143" s="16">
        <v>1</v>
      </c>
      <c r="K143" s="18" t="s">
        <v>16</v>
      </c>
      <c r="L143" s="18" t="s">
        <v>24</v>
      </c>
      <c r="M143" s="14">
        <v>26</v>
      </c>
      <c r="N143" s="18" t="str" cm="1">
        <f t="array" ref="N143">_xlfn.IFS(Cleaned_Working_Sheet!$M143&lt;=34,"Young",Cleaned_Working_Sheet!$M143&lt;=54,"Middle-aged",Cleaned_Working_Sheet!$M143&gt;54,"Old")</f>
        <v>Young</v>
      </c>
      <c r="O143" s="18" t="s">
        <v>15</v>
      </c>
    </row>
    <row r="144" spans="1:15" x14ac:dyDescent="0.25">
      <c r="A144" s="14">
        <v>14832</v>
      </c>
      <c r="B144" s="18" t="s">
        <v>36</v>
      </c>
      <c r="C144" s="18" t="s">
        <v>39</v>
      </c>
      <c r="D144" s="6">
        <v>40000</v>
      </c>
      <c r="E144" s="18" t="str" cm="1">
        <f t="array" ref="E144">_xlfn.IFS(Cleaned_Working_Sheet!$D144&lt;=50000,"Low Income",Cleaned_Working_Sheet!$D144&lt;100000,"Middle Income",TRUE,"High Income")</f>
        <v>Low Income</v>
      </c>
      <c r="F144" s="16">
        <v>1</v>
      </c>
      <c r="G144" s="18" t="s">
        <v>13</v>
      </c>
      <c r="H144" s="18" t="s">
        <v>14</v>
      </c>
      <c r="I144" s="18" t="s">
        <v>15</v>
      </c>
      <c r="J144" s="16">
        <v>0</v>
      </c>
      <c r="K144" s="18" t="s">
        <v>16</v>
      </c>
      <c r="L144" s="18" t="s">
        <v>17</v>
      </c>
      <c r="M144" s="14">
        <v>42</v>
      </c>
      <c r="N144" s="18" t="str" cm="1">
        <f t="array" ref="N144">_xlfn.IFS(Cleaned_Working_Sheet!$M144&lt;=34,"Young",Cleaned_Working_Sheet!$M144&lt;=54,"Middle-aged",Cleaned_Working_Sheet!$M144&gt;54,"Old")</f>
        <v>Middle-aged</v>
      </c>
      <c r="O144" s="18" t="s">
        <v>15</v>
      </c>
    </row>
    <row r="145" spans="1:15" x14ac:dyDescent="0.25">
      <c r="A145" s="14">
        <v>16614</v>
      </c>
      <c r="B145" s="18" t="s">
        <v>36</v>
      </c>
      <c r="C145" s="18" t="s">
        <v>38</v>
      </c>
      <c r="D145" s="6">
        <v>80000</v>
      </c>
      <c r="E145" s="18" t="str" cm="1">
        <f t="array" ref="E145">_xlfn.IFS(Cleaned_Working_Sheet!$D145&lt;=50000,"Low Income",Cleaned_Working_Sheet!$D145&lt;100000,"Middle Income",TRUE,"High Income")</f>
        <v>Middle Income</v>
      </c>
      <c r="F145" s="16">
        <v>0</v>
      </c>
      <c r="G145" s="18" t="s">
        <v>13</v>
      </c>
      <c r="H145" s="18" t="s">
        <v>21</v>
      </c>
      <c r="I145" s="18" t="s">
        <v>15</v>
      </c>
      <c r="J145" s="16">
        <v>3</v>
      </c>
      <c r="K145" s="18" t="s">
        <v>43</v>
      </c>
      <c r="L145" s="18" t="s">
        <v>24</v>
      </c>
      <c r="M145" s="14">
        <v>32</v>
      </c>
      <c r="N145" s="18" t="str" cm="1">
        <f t="array" ref="N145">_xlfn.IFS(Cleaned_Working_Sheet!$M145&lt;=34,"Young",Cleaned_Working_Sheet!$M145&lt;=54,"Middle-aged",Cleaned_Working_Sheet!$M145&gt;54,"Old")</f>
        <v>Young</v>
      </c>
      <c r="O145" s="18" t="s">
        <v>18</v>
      </c>
    </row>
    <row r="146" spans="1:15" x14ac:dyDescent="0.25">
      <c r="A146" s="14">
        <v>20877</v>
      </c>
      <c r="B146" s="18" t="s">
        <v>37</v>
      </c>
      <c r="C146" s="18" t="s">
        <v>39</v>
      </c>
      <c r="D146" s="6">
        <v>30000</v>
      </c>
      <c r="E146" s="18" t="str" cm="1">
        <f t="array" ref="E146">_xlfn.IFS(Cleaned_Working_Sheet!$D146&lt;=50000,"Low Income",Cleaned_Working_Sheet!$D146&lt;100000,"Middle Income",TRUE,"High Income")</f>
        <v>Low Income</v>
      </c>
      <c r="F146" s="16">
        <v>1</v>
      </c>
      <c r="G146" s="18" t="s">
        <v>13</v>
      </c>
      <c r="H146" s="18" t="s">
        <v>20</v>
      </c>
      <c r="I146" s="18" t="s">
        <v>15</v>
      </c>
      <c r="J146" s="16">
        <v>0</v>
      </c>
      <c r="K146" s="18" t="s">
        <v>26</v>
      </c>
      <c r="L146" s="18" t="s">
        <v>17</v>
      </c>
      <c r="M146" s="14">
        <v>37</v>
      </c>
      <c r="N146" s="18" t="str" cm="1">
        <f t="array" ref="N146">_xlfn.IFS(Cleaned_Working_Sheet!$M146&lt;=34,"Young",Cleaned_Working_Sheet!$M146&lt;=54,"Middle-aged",Cleaned_Working_Sheet!$M146&gt;54,"Old")</f>
        <v>Middle-aged</v>
      </c>
      <c r="O146" s="18" t="s">
        <v>15</v>
      </c>
    </row>
    <row r="147" spans="1:15" x14ac:dyDescent="0.25">
      <c r="A147" s="14">
        <v>20729</v>
      </c>
      <c r="B147" s="18" t="s">
        <v>36</v>
      </c>
      <c r="C147" s="18" t="s">
        <v>38</v>
      </c>
      <c r="D147" s="6">
        <v>40000</v>
      </c>
      <c r="E147" s="18" t="str" cm="1">
        <f t="array" ref="E147">_xlfn.IFS(Cleaned_Working_Sheet!$D147&lt;=50000,"Low Income",Cleaned_Working_Sheet!$D147&lt;100000,"Middle Income",TRUE,"High Income")</f>
        <v>Low Income</v>
      </c>
      <c r="F147" s="16">
        <v>2</v>
      </c>
      <c r="G147" s="18" t="s">
        <v>19</v>
      </c>
      <c r="H147" s="18" t="s">
        <v>20</v>
      </c>
      <c r="I147" s="18" t="s">
        <v>18</v>
      </c>
      <c r="J147" s="16">
        <v>1</v>
      </c>
      <c r="K147" s="18" t="s">
        <v>16</v>
      </c>
      <c r="L147" s="18" t="s">
        <v>17</v>
      </c>
      <c r="M147" s="14">
        <v>34</v>
      </c>
      <c r="N147" s="18" t="str" cm="1">
        <f t="array" ref="N147">_xlfn.IFS(Cleaned_Working_Sheet!$M147&lt;=34,"Young",Cleaned_Working_Sheet!$M147&lt;=54,"Middle-aged",Cleaned_Working_Sheet!$M147&gt;54,"Old")</f>
        <v>Young</v>
      </c>
      <c r="O147" s="18" t="s">
        <v>18</v>
      </c>
    </row>
    <row r="148" spans="1:15" x14ac:dyDescent="0.25">
      <c r="A148" s="14">
        <v>22464</v>
      </c>
      <c r="B148" s="18" t="s">
        <v>36</v>
      </c>
      <c r="C148" s="18" t="s">
        <v>39</v>
      </c>
      <c r="D148" s="6">
        <v>40000</v>
      </c>
      <c r="E148" s="18" t="str" cm="1">
        <f t="array" ref="E148">_xlfn.IFS(Cleaned_Working_Sheet!$D148&lt;=50000,"Low Income",Cleaned_Working_Sheet!$D148&lt;100000,"Middle Income",TRUE,"High Income")</f>
        <v>Low Income</v>
      </c>
      <c r="F148" s="16">
        <v>0</v>
      </c>
      <c r="G148" s="18" t="s">
        <v>31</v>
      </c>
      <c r="H148" s="18" t="s">
        <v>20</v>
      </c>
      <c r="I148" s="18" t="s">
        <v>15</v>
      </c>
      <c r="J148" s="16">
        <v>0</v>
      </c>
      <c r="K148" s="18" t="s">
        <v>16</v>
      </c>
      <c r="L148" s="18" t="s">
        <v>17</v>
      </c>
      <c r="M148" s="14">
        <v>37</v>
      </c>
      <c r="N148" s="18" t="str" cm="1">
        <f t="array" ref="N148">_xlfn.IFS(Cleaned_Working_Sheet!$M148&lt;=34,"Young",Cleaned_Working_Sheet!$M148&lt;=54,"Middle-aged",Cleaned_Working_Sheet!$M148&gt;54,"Old")</f>
        <v>Middle-aged</v>
      </c>
      <c r="O148" s="18" t="s">
        <v>15</v>
      </c>
    </row>
    <row r="149" spans="1:15" x14ac:dyDescent="0.25">
      <c r="A149" s="14">
        <v>19475</v>
      </c>
      <c r="B149" s="18" t="s">
        <v>36</v>
      </c>
      <c r="C149" s="18" t="s">
        <v>38</v>
      </c>
      <c r="D149" s="6">
        <v>40000</v>
      </c>
      <c r="E149" s="18" t="str" cm="1">
        <f t="array" ref="E149">_xlfn.IFS(Cleaned_Working_Sheet!$D149&lt;=50000,"Low Income",Cleaned_Working_Sheet!$D149&lt;100000,"Middle Income",TRUE,"High Income")</f>
        <v>Low Income</v>
      </c>
      <c r="F149" s="16">
        <v>0</v>
      </c>
      <c r="G149" s="18" t="s">
        <v>13</v>
      </c>
      <c r="H149" s="18" t="s">
        <v>21</v>
      </c>
      <c r="I149" s="18" t="s">
        <v>18</v>
      </c>
      <c r="J149" s="16">
        <v>0</v>
      </c>
      <c r="K149" s="18" t="s">
        <v>16</v>
      </c>
      <c r="L149" s="18" t="s">
        <v>17</v>
      </c>
      <c r="M149" s="14">
        <v>40</v>
      </c>
      <c r="N149" s="18" t="str" cm="1">
        <f t="array" ref="N149">_xlfn.IFS(Cleaned_Working_Sheet!$M149&lt;=34,"Young",Cleaned_Working_Sheet!$M149&lt;=54,"Middle-aged",Cleaned_Working_Sheet!$M149&gt;54,"Old")</f>
        <v>Middle-aged</v>
      </c>
      <c r="O149" s="18" t="s">
        <v>15</v>
      </c>
    </row>
    <row r="150" spans="1:15" x14ac:dyDescent="0.25">
      <c r="A150" s="14">
        <v>19675</v>
      </c>
      <c r="B150" s="18" t="s">
        <v>36</v>
      </c>
      <c r="C150" s="18" t="s">
        <v>39</v>
      </c>
      <c r="D150" s="6">
        <v>20000</v>
      </c>
      <c r="E150" s="18" t="str" cm="1">
        <f t="array" ref="E150">_xlfn.IFS(Cleaned_Working_Sheet!$D150&lt;=50000,"Low Income",Cleaned_Working_Sheet!$D150&lt;100000,"Middle Income",TRUE,"High Income")</f>
        <v>Low Income</v>
      </c>
      <c r="F150" s="16">
        <v>4</v>
      </c>
      <c r="G150" s="18" t="s">
        <v>27</v>
      </c>
      <c r="H150" s="18" t="s">
        <v>14</v>
      </c>
      <c r="I150" s="18" t="s">
        <v>15</v>
      </c>
      <c r="J150" s="16">
        <v>2</v>
      </c>
      <c r="K150" s="18" t="s">
        <v>23</v>
      </c>
      <c r="L150" s="18" t="s">
        <v>24</v>
      </c>
      <c r="M150" s="14">
        <v>60</v>
      </c>
      <c r="N150" s="18" t="str" cm="1">
        <f t="array" ref="N150">_xlfn.IFS(Cleaned_Working_Sheet!$M150&lt;=34,"Young",Cleaned_Working_Sheet!$M150&lt;=54,"Middle-aged",Cleaned_Working_Sheet!$M150&gt;54,"Old")</f>
        <v>Old</v>
      </c>
      <c r="O150" s="18" t="s">
        <v>18</v>
      </c>
    </row>
    <row r="151" spans="1:15" x14ac:dyDescent="0.25">
      <c r="A151" s="14">
        <v>12728</v>
      </c>
      <c r="B151" s="18" t="s">
        <v>37</v>
      </c>
      <c r="C151" s="18" t="s">
        <v>39</v>
      </c>
      <c r="D151" s="6">
        <v>30000</v>
      </c>
      <c r="E151" s="18" t="str" cm="1">
        <f t="array" ref="E151">_xlfn.IFS(Cleaned_Working_Sheet!$D151&lt;=50000,"Low Income",Cleaned_Working_Sheet!$D151&lt;100000,"Middle Income",TRUE,"High Income")</f>
        <v>Low Income</v>
      </c>
      <c r="F151" s="16">
        <v>0</v>
      </c>
      <c r="G151" s="18" t="s">
        <v>19</v>
      </c>
      <c r="H151" s="18" t="s">
        <v>20</v>
      </c>
      <c r="I151" s="18" t="s">
        <v>18</v>
      </c>
      <c r="J151" s="16">
        <v>1</v>
      </c>
      <c r="K151" s="18" t="s">
        <v>26</v>
      </c>
      <c r="L151" s="18" t="s">
        <v>17</v>
      </c>
      <c r="M151" s="14">
        <v>27</v>
      </c>
      <c r="N151" s="18" t="str" cm="1">
        <f t="array" ref="N151">_xlfn.IFS(Cleaned_Working_Sheet!$M151&lt;=34,"Young",Cleaned_Working_Sheet!$M151&lt;=54,"Middle-aged",Cleaned_Working_Sheet!$M151&gt;54,"Old")</f>
        <v>Young</v>
      </c>
      <c r="O151" s="18" t="s">
        <v>18</v>
      </c>
    </row>
    <row r="152" spans="1:15" x14ac:dyDescent="0.25">
      <c r="A152" s="14">
        <v>26154</v>
      </c>
      <c r="B152" s="18" t="s">
        <v>36</v>
      </c>
      <c r="C152" s="18" t="s">
        <v>39</v>
      </c>
      <c r="D152" s="6">
        <v>60000</v>
      </c>
      <c r="E152" s="18" t="str" cm="1">
        <f t="array" ref="E152">_xlfn.IFS(Cleaned_Working_Sheet!$D152&lt;=50000,"Low Income",Cleaned_Working_Sheet!$D152&lt;100000,"Middle Income",TRUE,"High Income")</f>
        <v>Middle Income</v>
      </c>
      <c r="F152" s="16">
        <v>1</v>
      </c>
      <c r="G152" s="18" t="s">
        <v>19</v>
      </c>
      <c r="H152" s="18" t="s">
        <v>14</v>
      </c>
      <c r="I152" s="18" t="s">
        <v>15</v>
      </c>
      <c r="J152" s="16">
        <v>1</v>
      </c>
      <c r="K152" s="18" t="s">
        <v>23</v>
      </c>
      <c r="L152" s="18" t="s">
        <v>24</v>
      </c>
      <c r="M152" s="14">
        <v>43</v>
      </c>
      <c r="N152" s="18" t="str" cm="1">
        <f t="array" ref="N152">_xlfn.IFS(Cleaned_Working_Sheet!$M152&lt;=34,"Young",Cleaned_Working_Sheet!$M152&lt;=54,"Middle-aged",Cleaned_Working_Sheet!$M152&gt;54,"Old")</f>
        <v>Middle-aged</v>
      </c>
      <c r="O152" s="18" t="s">
        <v>15</v>
      </c>
    </row>
    <row r="153" spans="1:15" x14ac:dyDescent="0.25">
      <c r="A153" s="14">
        <v>29117</v>
      </c>
      <c r="B153" s="18" t="s">
        <v>37</v>
      </c>
      <c r="C153" s="18" t="s">
        <v>39</v>
      </c>
      <c r="D153" s="6">
        <v>100000</v>
      </c>
      <c r="E153" s="18" t="str" cm="1">
        <f t="array" ref="E153">_xlfn.IFS(Cleaned_Working_Sheet!$D153&lt;=50000,"Low Income",Cleaned_Working_Sheet!$D153&lt;100000,"Middle Income",TRUE,"High Income")</f>
        <v>High Income</v>
      </c>
      <c r="F153" s="16">
        <v>1</v>
      </c>
      <c r="G153" s="18" t="s">
        <v>13</v>
      </c>
      <c r="H153" s="18" t="s">
        <v>28</v>
      </c>
      <c r="I153" s="18" t="s">
        <v>18</v>
      </c>
      <c r="J153" s="16">
        <v>3</v>
      </c>
      <c r="K153" s="18" t="s">
        <v>16</v>
      </c>
      <c r="L153" s="18" t="s">
        <v>24</v>
      </c>
      <c r="M153" s="14">
        <v>48</v>
      </c>
      <c r="N153" s="18" t="str" cm="1">
        <f t="array" ref="N153">_xlfn.IFS(Cleaned_Working_Sheet!$M153&lt;=34,"Young",Cleaned_Working_Sheet!$M153&lt;=54,"Middle-aged",Cleaned_Working_Sheet!$M153&gt;54,"Old")</f>
        <v>Middle-aged</v>
      </c>
      <c r="O153" s="18" t="s">
        <v>18</v>
      </c>
    </row>
    <row r="154" spans="1:15" x14ac:dyDescent="0.25">
      <c r="A154" s="14">
        <v>17845</v>
      </c>
      <c r="B154" s="18" t="s">
        <v>37</v>
      </c>
      <c r="C154" s="18" t="s">
        <v>38</v>
      </c>
      <c r="D154" s="6">
        <v>20000</v>
      </c>
      <c r="E154" s="18" t="str" cm="1">
        <f t="array" ref="E154">_xlfn.IFS(Cleaned_Working_Sheet!$D154&lt;=50000,"Low Income",Cleaned_Working_Sheet!$D154&lt;100000,"Middle Income",TRUE,"High Income")</f>
        <v>Low Income</v>
      </c>
      <c r="F154" s="16">
        <v>0</v>
      </c>
      <c r="G154" s="18" t="s">
        <v>29</v>
      </c>
      <c r="H154" s="18" t="s">
        <v>25</v>
      </c>
      <c r="I154" s="18" t="s">
        <v>18</v>
      </c>
      <c r="J154" s="16">
        <v>2</v>
      </c>
      <c r="K154" s="18" t="s">
        <v>26</v>
      </c>
      <c r="L154" s="18" t="s">
        <v>17</v>
      </c>
      <c r="M154" s="14">
        <v>32</v>
      </c>
      <c r="N154" s="18" t="str" cm="1">
        <f t="array" ref="N154">_xlfn.IFS(Cleaned_Working_Sheet!$M154&lt;=34,"Young",Cleaned_Working_Sheet!$M154&lt;=54,"Middle-aged",Cleaned_Working_Sheet!$M154&gt;54,"Old")</f>
        <v>Young</v>
      </c>
      <c r="O154" s="18" t="s">
        <v>18</v>
      </c>
    </row>
    <row r="155" spans="1:15" x14ac:dyDescent="0.25">
      <c r="A155" s="14">
        <v>25058</v>
      </c>
      <c r="B155" s="18" t="s">
        <v>36</v>
      </c>
      <c r="C155" s="18" t="s">
        <v>39</v>
      </c>
      <c r="D155" s="6">
        <v>100000</v>
      </c>
      <c r="E155" s="18" t="str" cm="1">
        <f t="array" ref="E155">_xlfn.IFS(Cleaned_Working_Sheet!$D155&lt;=50000,"Low Income",Cleaned_Working_Sheet!$D155&lt;100000,"Middle Income",TRUE,"High Income")</f>
        <v>High Income</v>
      </c>
      <c r="F155" s="16">
        <v>1</v>
      </c>
      <c r="G155" s="18" t="s">
        <v>13</v>
      </c>
      <c r="H155" s="18" t="s">
        <v>28</v>
      </c>
      <c r="I155" s="18" t="s">
        <v>15</v>
      </c>
      <c r="J155" s="16">
        <v>3</v>
      </c>
      <c r="K155" s="18" t="s">
        <v>22</v>
      </c>
      <c r="L155" s="18" t="s">
        <v>24</v>
      </c>
      <c r="M155" s="14">
        <v>47</v>
      </c>
      <c r="N155" s="18" t="str" cm="1">
        <f t="array" ref="N155">_xlfn.IFS(Cleaned_Working_Sheet!$M155&lt;=34,"Young",Cleaned_Working_Sheet!$M155&lt;=54,"Middle-aged",Cleaned_Working_Sheet!$M155&gt;54,"Old")</f>
        <v>Middle-aged</v>
      </c>
      <c r="O155" s="18" t="s">
        <v>18</v>
      </c>
    </row>
    <row r="156" spans="1:15" x14ac:dyDescent="0.25">
      <c r="A156" s="14">
        <v>23426</v>
      </c>
      <c r="B156" s="18" t="s">
        <v>37</v>
      </c>
      <c r="C156" s="18" t="s">
        <v>39</v>
      </c>
      <c r="D156" s="6">
        <v>80000</v>
      </c>
      <c r="E156" s="18" t="str" cm="1">
        <f t="array" ref="E156">_xlfn.IFS(Cleaned_Working_Sheet!$D156&lt;=50000,"Low Income",Cleaned_Working_Sheet!$D156&lt;100000,"Middle Income",TRUE,"High Income")</f>
        <v>Middle Income</v>
      </c>
      <c r="F156" s="16">
        <v>5</v>
      </c>
      <c r="G156" s="18" t="s">
        <v>31</v>
      </c>
      <c r="H156" s="18" t="s">
        <v>28</v>
      </c>
      <c r="I156" s="18" t="s">
        <v>15</v>
      </c>
      <c r="J156" s="16">
        <v>3</v>
      </c>
      <c r="K156" s="18" t="s">
        <v>16</v>
      </c>
      <c r="L156" s="18" t="s">
        <v>24</v>
      </c>
      <c r="M156" s="14">
        <v>40</v>
      </c>
      <c r="N156" s="18" t="str" cm="1">
        <f t="array" ref="N156">_xlfn.IFS(Cleaned_Working_Sheet!$M156&lt;=34,"Young",Cleaned_Working_Sheet!$M156&lt;=54,"Middle-aged",Cleaned_Working_Sheet!$M156&gt;54,"Old")</f>
        <v>Middle-aged</v>
      </c>
      <c r="O156" s="18" t="s">
        <v>18</v>
      </c>
    </row>
    <row r="157" spans="1:15" x14ac:dyDescent="0.25">
      <c r="A157" s="14">
        <v>14798</v>
      </c>
      <c r="B157" s="18" t="s">
        <v>37</v>
      </c>
      <c r="C157" s="18" t="s">
        <v>38</v>
      </c>
      <c r="D157" s="6">
        <v>10000</v>
      </c>
      <c r="E157" s="18" t="str" cm="1">
        <f t="array" ref="E157">_xlfn.IFS(Cleaned_Working_Sheet!$D157&lt;=50000,"Low Income",Cleaned_Working_Sheet!$D157&lt;100000,"Middle Income",TRUE,"High Income")</f>
        <v>Low Income</v>
      </c>
      <c r="F157" s="16">
        <v>4</v>
      </c>
      <c r="G157" s="18" t="s">
        <v>29</v>
      </c>
      <c r="H157" s="18" t="s">
        <v>25</v>
      </c>
      <c r="I157" s="18" t="s">
        <v>15</v>
      </c>
      <c r="J157" s="16">
        <v>2</v>
      </c>
      <c r="K157" s="18" t="s">
        <v>16</v>
      </c>
      <c r="L157" s="18" t="s">
        <v>17</v>
      </c>
      <c r="M157" s="14">
        <v>41</v>
      </c>
      <c r="N157" s="18" t="str" cm="1">
        <f t="array" ref="N157">_xlfn.IFS(Cleaned_Working_Sheet!$M157&lt;=34,"Young",Cleaned_Working_Sheet!$M157&lt;=54,"Middle-aged",Cleaned_Working_Sheet!$M157&gt;54,"Old")</f>
        <v>Middle-aged</v>
      </c>
      <c r="O157" s="18" t="s">
        <v>15</v>
      </c>
    </row>
    <row r="158" spans="1:15" x14ac:dyDescent="0.25">
      <c r="A158" s="14">
        <v>12664</v>
      </c>
      <c r="B158" s="18" t="s">
        <v>36</v>
      </c>
      <c r="C158" s="18" t="s">
        <v>38</v>
      </c>
      <c r="D158" s="6">
        <v>130000</v>
      </c>
      <c r="E158" s="18" t="str" cm="1">
        <f t="array" ref="E158">_xlfn.IFS(Cleaned_Working_Sheet!$D158&lt;=50000,"Low Income",Cleaned_Working_Sheet!$D158&lt;100000,"Middle Income",TRUE,"High Income")</f>
        <v>High Income</v>
      </c>
      <c r="F158" s="16">
        <v>5</v>
      </c>
      <c r="G158" s="18" t="s">
        <v>19</v>
      </c>
      <c r="H158" s="18" t="s">
        <v>21</v>
      </c>
      <c r="I158" s="18" t="s">
        <v>15</v>
      </c>
      <c r="J158" s="16">
        <v>4</v>
      </c>
      <c r="K158" s="18" t="s">
        <v>16</v>
      </c>
      <c r="L158" s="18" t="s">
        <v>17</v>
      </c>
      <c r="M158" s="14">
        <v>59</v>
      </c>
      <c r="N158" s="18" t="str" cm="1">
        <f t="array" ref="N158">_xlfn.IFS(Cleaned_Working_Sheet!$M158&lt;=34,"Young",Cleaned_Working_Sheet!$M158&lt;=54,"Middle-aged",Cleaned_Working_Sheet!$M158&gt;54,"Old")</f>
        <v>Old</v>
      </c>
      <c r="O158" s="18" t="s">
        <v>18</v>
      </c>
    </row>
    <row r="159" spans="1:15" x14ac:dyDescent="0.25">
      <c r="A159" s="14">
        <v>23979</v>
      </c>
      <c r="B159" s="18" t="s">
        <v>37</v>
      </c>
      <c r="C159" s="18" t="s">
        <v>39</v>
      </c>
      <c r="D159" s="6">
        <v>10000</v>
      </c>
      <c r="E159" s="18" t="str" cm="1">
        <f t="array" ref="E159">_xlfn.IFS(Cleaned_Working_Sheet!$D159&lt;=50000,"Low Income",Cleaned_Working_Sheet!$D159&lt;100000,"Middle Income",TRUE,"High Income")</f>
        <v>Low Income</v>
      </c>
      <c r="F159" s="16">
        <v>2</v>
      </c>
      <c r="G159" s="18" t="s">
        <v>19</v>
      </c>
      <c r="H159" s="18" t="s">
        <v>25</v>
      </c>
      <c r="I159" s="18" t="s">
        <v>18</v>
      </c>
      <c r="J159" s="16">
        <v>0</v>
      </c>
      <c r="K159" s="18" t="s">
        <v>16</v>
      </c>
      <c r="L159" s="18" t="s">
        <v>17</v>
      </c>
      <c r="M159" s="14">
        <v>50</v>
      </c>
      <c r="N159" s="18" t="str" cm="1">
        <f t="array" ref="N159">_xlfn.IFS(Cleaned_Working_Sheet!$M159&lt;=34,"Young",Cleaned_Working_Sheet!$M159&lt;=54,"Middle-aged",Cleaned_Working_Sheet!$M159&gt;54,"Old")</f>
        <v>Middle-aged</v>
      </c>
      <c r="O159" s="18" t="s">
        <v>18</v>
      </c>
    </row>
    <row r="160" spans="1:15" x14ac:dyDescent="0.25">
      <c r="A160" s="14">
        <v>25605</v>
      </c>
      <c r="B160" s="18" t="s">
        <v>37</v>
      </c>
      <c r="C160" s="18" t="s">
        <v>38</v>
      </c>
      <c r="D160" s="6">
        <v>20000</v>
      </c>
      <c r="E160" s="18" t="str" cm="1">
        <f t="array" ref="E160">_xlfn.IFS(Cleaned_Working_Sheet!$D160&lt;=50000,"Low Income",Cleaned_Working_Sheet!$D160&lt;100000,"Middle Income",TRUE,"High Income")</f>
        <v>Low Income</v>
      </c>
      <c r="F160" s="16">
        <v>2</v>
      </c>
      <c r="G160" s="18" t="s">
        <v>19</v>
      </c>
      <c r="H160" s="18" t="s">
        <v>25</v>
      </c>
      <c r="I160" s="18" t="s">
        <v>18</v>
      </c>
      <c r="J160" s="16">
        <v>1</v>
      </c>
      <c r="K160" s="18" t="s">
        <v>16</v>
      </c>
      <c r="L160" s="18" t="s">
        <v>17</v>
      </c>
      <c r="M160" s="14">
        <v>54</v>
      </c>
      <c r="N160" s="18" t="str" cm="1">
        <f t="array" ref="N160">_xlfn.IFS(Cleaned_Working_Sheet!$M160&lt;=34,"Young",Cleaned_Working_Sheet!$M160&lt;=54,"Middle-aged",Cleaned_Working_Sheet!$M160&gt;54,"Old")</f>
        <v>Middle-aged</v>
      </c>
      <c r="O160" s="18" t="s">
        <v>15</v>
      </c>
    </row>
    <row r="161" spans="1:15" x14ac:dyDescent="0.25">
      <c r="A161" s="14">
        <v>20797</v>
      </c>
      <c r="B161" s="18" t="s">
        <v>36</v>
      </c>
      <c r="C161" s="18" t="s">
        <v>38</v>
      </c>
      <c r="D161" s="6">
        <v>10000</v>
      </c>
      <c r="E161" s="18" t="str" cm="1">
        <f t="array" ref="E161">_xlfn.IFS(Cleaned_Working_Sheet!$D161&lt;=50000,"Low Income",Cleaned_Working_Sheet!$D161&lt;100000,"Middle Income",TRUE,"High Income")</f>
        <v>Low Income</v>
      </c>
      <c r="F161" s="16">
        <v>1</v>
      </c>
      <c r="G161" s="18" t="s">
        <v>13</v>
      </c>
      <c r="H161" s="18" t="s">
        <v>25</v>
      </c>
      <c r="I161" s="18" t="s">
        <v>15</v>
      </c>
      <c r="J161" s="16">
        <v>0</v>
      </c>
      <c r="K161" s="18" t="s">
        <v>16</v>
      </c>
      <c r="L161" s="18" t="s">
        <v>17</v>
      </c>
      <c r="M161" s="14">
        <v>48</v>
      </c>
      <c r="N161" s="18" t="str" cm="1">
        <f t="array" ref="N161">_xlfn.IFS(Cleaned_Working_Sheet!$M161&lt;=34,"Young",Cleaned_Working_Sheet!$M161&lt;=54,"Middle-aged",Cleaned_Working_Sheet!$M161&gt;54,"Old")</f>
        <v>Middle-aged</v>
      </c>
      <c r="O161" s="18" t="s">
        <v>18</v>
      </c>
    </row>
    <row r="162" spans="1:15" x14ac:dyDescent="0.25">
      <c r="A162" s="14">
        <v>21980</v>
      </c>
      <c r="B162" s="18" t="s">
        <v>37</v>
      </c>
      <c r="C162" s="18" t="s">
        <v>38</v>
      </c>
      <c r="D162" s="6">
        <v>60000</v>
      </c>
      <c r="E162" s="18" t="str" cm="1">
        <f t="array" ref="E162">_xlfn.IFS(Cleaned_Working_Sheet!$D162&lt;=50000,"Low Income",Cleaned_Working_Sheet!$D162&lt;100000,"Middle Income",TRUE,"High Income")</f>
        <v>Middle Income</v>
      </c>
      <c r="F162" s="16">
        <v>1</v>
      </c>
      <c r="G162" s="18" t="s">
        <v>13</v>
      </c>
      <c r="H162" s="18" t="s">
        <v>21</v>
      </c>
      <c r="I162" s="18" t="s">
        <v>15</v>
      </c>
      <c r="J162" s="16">
        <v>1</v>
      </c>
      <c r="K162" s="18" t="s">
        <v>23</v>
      </c>
      <c r="L162" s="18" t="s">
        <v>24</v>
      </c>
      <c r="M162" s="14">
        <v>44</v>
      </c>
      <c r="N162" s="18" t="str" cm="1">
        <f t="array" ref="N162">_xlfn.IFS(Cleaned_Working_Sheet!$M162&lt;=34,"Young",Cleaned_Working_Sheet!$M162&lt;=54,"Middle-aged",Cleaned_Working_Sheet!$M162&gt;54,"Old")</f>
        <v>Middle-aged</v>
      </c>
      <c r="O162" s="18" t="s">
        <v>15</v>
      </c>
    </row>
    <row r="163" spans="1:15" x14ac:dyDescent="0.25">
      <c r="A163" s="14">
        <v>25460</v>
      </c>
      <c r="B163" s="18" t="s">
        <v>36</v>
      </c>
      <c r="C163" s="18" t="s">
        <v>38</v>
      </c>
      <c r="D163" s="6">
        <v>20000</v>
      </c>
      <c r="E163" s="18" t="str" cm="1">
        <f t="array" ref="E163">_xlfn.IFS(Cleaned_Working_Sheet!$D163&lt;=50000,"Low Income",Cleaned_Working_Sheet!$D163&lt;100000,"Middle Income",TRUE,"High Income")</f>
        <v>Low Income</v>
      </c>
      <c r="F163" s="16">
        <v>2</v>
      </c>
      <c r="G163" s="18" t="s">
        <v>27</v>
      </c>
      <c r="H163" s="18" t="s">
        <v>25</v>
      </c>
      <c r="I163" s="18" t="s">
        <v>15</v>
      </c>
      <c r="J163" s="16">
        <v>0</v>
      </c>
      <c r="K163" s="18" t="s">
        <v>16</v>
      </c>
      <c r="L163" s="18" t="s">
        <v>17</v>
      </c>
      <c r="M163" s="14">
        <v>40</v>
      </c>
      <c r="N163" s="18" t="str" cm="1">
        <f t="array" ref="N163">_xlfn.IFS(Cleaned_Working_Sheet!$M163&lt;=34,"Young",Cleaned_Working_Sheet!$M163&lt;=54,"Middle-aged",Cleaned_Working_Sheet!$M163&gt;54,"Old")</f>
        <v>Middle-aged</v>
      </c>
      <c r="O163" s="18" t="s">
        <v>15</v>
      </c>
    </row>
    <row r="164" spans="1:15" x14ac:dyDescent="0.25">
      <c r="A164" s="14">
        <v>29181</v>
      </c>
      <c r="B164" s="18" t="s">
        <v>37</v>
      </c>
      <c r="C164" s="18" t="s">
        <v>38</v>
      </c>
      <c r="D164" s="6">
        <v>60000</v>
      </c>
      <c r="E164" s="18" t="str" cm="1">
        <f t="array" ref="E164">_xlfn.IFS(Cleaned_Working_Sheet!$D164&lt;=50000,"Low Income",Cleaned_Working_Sheet!$D164&lt;100000,"Middle Income",TRUE,"High Income")</f>
        <v>Middle Income</v>
      </c>
      <c r="F164" s="16">
        <v>2</v>
      </c>
      <c r="G164" s="18" t="s">
        <v>13</v>
      </c>
      <c r="H164" s="18" t="s">
        <v>21</v>
      </c>
      <c r="I164" s="18" t="s">
        <v>18</v>
      </c>
      <c r="J164" s="16">
        <v>1</v>
      </c>
      <c r="K164" s="18" t="s">
        <v>16</v>
      </c>
      <c r="L164" s="18" t="s">
        <v>24</v>
      </c>
      <c r="M164" s="14">
        <v>38</v>
      </c>
      <c r="N164" s="18" t="str" cm="1">
        <f t="array" ref="N164">_xlfn.IFS(Cleaned_Working_Sheet!$M164&lt;=34,"Young",Cleaned_Working_Sheet!$M164&lt;=54,"Middle-aged",Cleaned_Working_Sheet!$M164&gt;54,"Old")</f>
        <v>Middle-aged</v>
      </c>
      <c r="O164" s="18" t="s">
        <v>15</v>
      </c>
    </row>
    <row r="165" spans="1:15" x14ac:dyDescent="0.25">
      <c r="A165" s="14">
        <v>24279</v>
      </c>
      <c r="B165" s="18" t="s">
        <v>37</v>
      </c>
      <c r="C165" s="18" t="s">
        <v>39</v>
      </c>
      <c r="D165" s="6">
        <v>40000</v>
      </c>
      <c r="E165" s="18" t="str" cm="1">
        <f t="array" ref="E165">_xlfn.IFS(Cleaned_Working_Sheet!$D165&lt;=50000,"Low Income",Cleaned_Working_Sheet!$D165&lt;100000,"Middle Income",TRUE,"High Income")</f>
        <v>Low Income</v>
      </c>
      <c r="F165" s="16">
        <v>2</v>
      </c>
      <c r="G165" s="18" t="s">
        <v>19</v>
      </c>
      <c r="H165" s="18" t="s">
        <v>14</v>
      </c>
      <c r="I165" s="18" t="s">
        <v>18</v>
      </c>
      <c r="J165" s="16">
        <v>2</v>
      </c>
      <c r="K165" s="18" t="s">
        <v>26</v>
      </c>
      <c r="L165" s="18" t="s">
        <v>24</v>
      </c>
      <c r="M165" s="14">
        <v>52</v>
      </c>
      <c r="N165" s="18" t="str" cm="1">
        <f t="array" ref="N165">_xlfn.IFS(Cleaned_Working_Sheet!$M165&lt;=34,"Young",Cleaned_Working_Sheet!$M165&lt;=54,"Middle-aged",Cleaned_Working_Sheet!$M165&gt;54,"Old")</f>
        <v>Middle-aged</v>
      </c>
      <c r="O165" s="18" t="s">
        <v>18</v>
      </c>
    </row>
    <row r="166" spans="1:15" x14ac:dyDescent="0.25">
      <c r="A166" s="14">
        <v>22402</v>
      </c>
      <c r="B166" s="18" t="s">
        <v>36</v>
      </c>
      <c r="C166" s="18" t="s">
        <v>39</v>
      </c>
      <c r="D166" s="6">
        <v>10000</v>
      </c>
      <c r="E166" s="18" t="str" cm="1">
        <f t="array" ref="E166">_xlfn.IFS(Cleaned_Working_Sheet!$D166&lt;=50000,"Low Income",Cleaned_Working_Sheet!$D166&lt;100000,"Middle Income",TRUE,"High Income")</f>
        <v>Low Income</v>
      </c>
      <c r="F166" s="16">
        <v>0</v>
      </c>
      <c r="G166" s="18" t="s">
        <v>19</v>
      </c>
      <c r="H166" s="18" t="s">
        <v>25</v>
      </c>
      <c r="I166" s="18" t="s">
        <v>15</v>
      </c>
      <c r="J166" s="16">
        <v>1</v>
      </c>
      <c r="K166" s="18" t="s">
        <v>22</v>
      </c>
      <c r="L166" s="18" t="s">
        <v>24</v>
      </c>
      <c r="M166" s="14">
        <v>25</v>
      </c>
      <c r="N166" s="18" t="str" cm="1">
        <f t="array" ref="N166">_xlfn.IFS(Cleaned_Working_Sheet!$M166&lt;=34,"Young",Cleaned_Working_Sheet!$M166&lt;=54,"Middle-aged",Cleaned_Working_Sheet!$M166&gt;54,"Old")</f>
        <v>Young</v>
      </c>
      <c r="O166" s="18" t="s">
        <v>15</v>
      </c>
    </row>
    <row r="167" spans="1:15" x14ac:dyDescent="0.25">
      <c r="A167" s="14">
        <v>15465</v>
      </c>
      <c r="B167" s="18" t="s">
        <v>36</v>
      </c>
      <c r="C167" s="18" t="s">
        <v>38</v>
      </c>
      <c r="D167" s="6">
        <v>10000</v>
      </c>
      <c r="E167" s="18" t="str" cm="1">
        <f t="array" ref="E167">_xlfn.IFS(Cleaned_Working_Sheet!$D167&lt;=50000,"Low Income",Cleaned_Working_Sheet!$D167&lt;100000,"Middle Income",TRUE,"High Income")</f>
        <v>Low Income</v>
      </c>
      <c r="F167" s="16">
        <v>0</v>
      </c>
      <c r="G167" s="18" t="s">
        <v>19</v>
      </c>
      <c r="H167" s="18" t="s">
        <v>25</v>
      </c>
      <c r="I167" s="18" t="s">
        <v>18</v>
      </c>
      <c r="J167" s="16">
        <v>1</v>
      </c>
      <c r="K167" s="18" t="s">
        <v>16</v>
      </c>
      <c r="L167" s="18" t="s">
        <v>24</v>
      </c>
      <c r="M167" s="14">
        <v>25</v>
      </c>
      <c r="N167" s="18" t="str" cm="1">
        <f t="array" ref="N167">_xlfn.IFS(Cleaned_Working_Sheet!$M167&lt;=34,"Young",Cleaned_Working_Sheet!$M167&lt;=54,"Middle-aged",Cleaned_Working_Sheet!$M167&gt;54,"Old")</f>
        <v>Young</v>
      </c>
      <c r="O167" s="18" t="s">
        <v>18</v>
      </c>
    </row>
    <row r="168" spans="1:15" x14ac:dyDescent="0.25">
      <c r="A168" s="14">
        <v>26757</v>
      </c>
      <c r="B168" s="18" t="s">
        <v>37</v>
      </c>
      <c r="C168" s="18" t="s">
        <v>39</v>
      </c>
      <c r="D168" s="6">
        <v>90000</v>
      </c>
      <c r="E168" s="18" t="str" cm="1">
        <f t="array" ref="E168">_xlfn.IFS(Cleaned_Working_Sheet!$D168&lt;=50000,"Low Income",Cleaned_Working_Sheet!$D168&lt;100000,"Middle Income",TRUE,"High Income")</f>
        <v>Middle Income</v>
      </c>
      <c r="F168" s="16">
        <v>1</v>
      </c>
      <c r="G168" s="18" t="s">
        <v>13</v>
      </c>
      <c r="H168" s="18" t="s">
        <v>21</v>
      </c>
      <c r="I168" s="18" t="s">
        <v>15</v>
      </c>
      <c r="J168" s="16">
        <v>1</v>
      </c>
      <c r="K168" s="18" t="s">
        <v>22</v>
      </c>
      <c r="L168" s="18" t="s">
        <v>24</v>
      </c>
      <c r="M168" s="14">
        <v>47</v>
      </c>
      <c r="N168" s="18" t="str" cm="1">
        <f t="array" ref="N168">_xlfn.IFS(Cleaned_Working_Sheet!$M168&lt;=34,"Young",Cleaned_Working_Sheet!$M168&lt;=54,"Middle-aged",Cleaned_Working_Sheet!$M168&gt;54,"Old")</f>
        <v>Middle-aged</v>
      </c>
      <c r="O168" s="18" t="s">
        <v>15</v>
      </c>
    </row>
    <row r="169" spans="1:15" x14ac:dyDescent="0.25">
      <c r="A169" s="14">
        <v>14233</v>
      </c>
      <c r="B169" s="18" t="s">
        <v>37</v>
      </c>
      <c r="C169" s="18" t="s">
        <v>39</v>
      </c>
      <c r="D169" s="6">
        <v>100000</v>
      </c>
      <c r="E169" s="18" t="str" cm="1">
        <f t="array" ref="E169">_xlfn.IFS(Cleaned_Working_Sheet!$D169&lt;=50000,"Low Income",Cleaned_Working_Sheet!$D169&lt;100000,"Middle Income",TRUE,"High Income")</f>
        <v>High Income</v>
      </c>
      <c r="F169" s="16">
        <v>0</v>
      </c>
      <c r="G169" s="18" t="s">
        <v>27</v>
      </c>
      <c r="H169" s="18" t="s">
        <v>28</v>
      </c>
      <c r="I169" s="18" t="s">
        <v>15</v>
      </c>
      <c r="J169" s="16">
        <v>3</v>
      </c>
      <c r="K169" s="18" t="s">
        <v>43</v>
      </c>
      <c r="L169" s="18" t="s">
        <v>24</v>
      </c>
      <c r="M169" s="14">
        <v>35</v>
      </c>
      <c r="N169" s="18" t="str" cm="1">
        <f t="array" ref="N169">_xlfn.IFS(Cleaned_Working_Sheet!$M169&lt;=34,"Young",Cleaned_Working_Sheet!$M169&lt;=54,"Middle-aged",Cleaned_Working_Sheet!$M169&gt;54,"Old")</f>
        <v>Middle-aged</v>
      </c>
      <c r="O169" s="18" t="s">
        <v>18</v>
      </c>
    </row>
    <row r="170" spans="1:15" x14ac:dyDescent="0.25">
      <c r="A170" s="14">
        <v>14058</v>
      </c>
      <c r="B170" s="18" t="s">
        <v>37</v>
      </c>
      <c r="C170" s="18" t="s">
        <v>39</v>
      </c>
      <c r="D170" s="6">
        <v>70000</v>
      </c>
      <c r="E170" s="18" t="str" cm="1">
        <f t="array" ref="E170">_xlfn.IFS(Cleaned_Working_Sheet!$D170&lt;=50000,"Low Income",Cleaned_Working_Sheet!$D170&lt;100000,"Middle Income",TRUE,"High Income")</f>
        <v>Middle Income</v>
      </c>
      <c r="F170" s="16">
        <v>0</v>
      </c>
      <c r="G170" s="18" t="s">
        <v>13</v>
      </c>
      <c r="H170" s="18" t="s">
        <v>21</v>
      </c>
      <c r="I170" s="18" t="s">
        <v>18</v>
      </c>
      <c r="J170" s="16">
        <v>1</v>
      </c>
      <c r="K170" s="18" t="s">
        <v>23</v>
      </c>
      <c r="L170" s="18" t="s">
        <v>24</v>
      </c>
      <c r="M170" s="14">
        <v>41</v>
      </c>
      <c r="N170" s="18" t="str" cm="1">
        <f t="array" ref="N170">_xlfn.IFS(Cleaned_Working_Sheet!$M170&lt;=34,"Young",Cleaned_Working_Sheet!$M170&lt;=54,"Middle-aged",Cleaned_Working_Sheet!$M170&gt;54,"Old")</f>
        <v>Middle-aged</v>
      </c>
      <c r="O170" s="18" t="s">
        <v>15</v>
      </c>
    </row>
    <row r="171" spans="1:15" x14ac:dyDescent="0.25">
      <c r="A171" s="14">
        <v>12273</v>
      </c>
      <c r="B171" s="18" t="s">
        <v>36</v>
      </c>
      <c r="C171" s="18" t="s">
        <v>39</v>
      </c>
      <c r="D171" s="6">
        <v>30000</v>
      </c>
      <c r="E171" s="18" t="str" cm="1">
        <f t="array" ref="E171">_xlfn.IFS(Cleaned_Working_Sheet!$D171&lt;=50000,"Low Income",Cleaned_Working_Sheet!$D171&lt;100000,"Middle Income",TRUE,"High Income")</f>
        <v>Low Income</v>
      </c>
      <c r="F171" s="16">
        <v>1</v>
      </c>
      <c r="G171" s="18" t="s">
        <v>13</v>
      </c>
      <c r="H171" s="18" t="s">
        <v>20</v>
      </c>
      <c r="I171" s="18" t="s">
        <v>15</v>
      </c>
      <c r="J171" s="16">
        <v>0</v>
      </c>
      <c r="K171" s="18" t="s">
        <v>16</v>
      </c>
      <c r="L171" s="18" t="s">
        <v>17</v>
      </c>
      <c r="M171" s="14">
        <v>47</v>
      </c>
      <c r="N171" s="18" t="str" cm="1">
        <f t="array" ref="N171">_xlfn.IFS(Cleaned_Working_Sheet!$M171&lt;=34,"Young",Cleaned_Working_Sheet!$M171&lt;=54,"Middle-aged",Cleaned_Working_Sheet!$M171&gt;54,"Old")</f>
        <v>Middle-aged</v>
      </c>
      <c r="O171" s="18" t="s">
        <v>18</v>
      </c>
    </row>
    <row r="172" spans="1:15" x14ac:dyDescent="0.25">
      <c r="A172" s="14">
        <v>17203</v>
      </c>
      <c r="B172" s="18" t="s">
        <v>36</v>
      </c>
      <c r="C172" s="18" t="s">
        <v>38</v>
      </c>
      <c r="D172" s="6">
        <v>130000</v>
      </c>
      <c r="E172" s="18" t="str" cm="1">
        <f t="array" ref="E172">_xlfn.IFS(Cleaned_Working_Sheet!$D172&lt;=50000,"Low Income",Cleaned_Working_Sheet!$D172&lt;100000,"Middle Income",TRUE,"High Income")</f>
        <v>High Income</v>
      </c>
      <c r="F172" s="16">
        <v>4</v>
      </c>
      <c r="G172" s="18" t="s">
        <v>19</v>
      </c>
      <c r="H172" s="18" t="s">
        <v>21</v>
      </c>
      <c r="I172" s="18" t="s">
        <v>15</v>
      </c>
      <c r="J172" s="16">
        <v>4</v>
      </c>
      <c r="K172" s="18" t="s">
        <v>23</v>
      </c>
      <c r="L172" s="18" t="s">
        <v>17</v>
      </c>
      <c r="M172" s="14">
        <v>61</v>
      </c>
      <c r="N172" s="18" t="str" cm="1">
        <f t="array" ref="N172">_xlfn.IFS(Cleaned_Working_Sheet!$M172&lt;=34,"Young",Cleaned_Working_Sheet!$M172&lt;=54,"Middle-aged",Cleaned_Working_Sheet!$M172&gt;54,"Old")</f>
        <v>Old</v>
      </c>
      <c r="O172" s="18" t="s">
        <v>15</v>
      </c>
    </row>
    <row r="173" spans="1:15" x14ac:dyDescent="0.25">
      <c r="A173" s="14">
        <v>18144</v>
      </c>
      <c r="B173" s="18" t="s">
        <v>36</v>
      </c>
      <c r="C173" s="18" t="s">
        <v>38</v>
      </c>
      <c r="D173" s="6">
        <v>80000</v>
      </c>
      <c r="E173" s="18" t="str" cm="1">
        <f t="array" ref="E173">_xlfn.IFS(Cleaned_Working_Sheet!$D173&lt;=50000,"Low Income",Cleaned_Working_Sheet!$D173&lt;100000,"Middle Income",TRUE,"High Income")</f>
        <v>Middle Income</v>
      </c>
      <c r="F173" s="16">
        <v>5</v>
      </c>
      <c r="G173" s="18" t="s">
        <v>13</v>
      </c>
      <c r="H173" s="18" t="s">
        <v>28</v>
      </c>
      <c r="I173" s="18" t="s">
        <v>15</v>
      </c>
      <c r="J173" s="16">
        <v>2</v>
      </c>
      <c r="K173" s="18" t="s">
        <v>22</v>
      </c>
      <c r="L173" s="18" t="s">
        <v>17</v>
      </c>
      <c r="M173" s="14">
        <v>61</v>
      </c>
      <c r="N173" s="18" t="str" cm="1">
        <f t="array" ref="N173">_xlfn.IFS(Cleaned_Working_Sheet!$M173&lt;=34,"Young",Cleaned_Working_Sheet!$M173&lt;=54,"Middle-aged",Cleaned_Working_Sheet!$M173&gt;54,"Old")</f>
        <v>Old</v>
      </c>
      <c r="O173" s="18" t="s">
        <v>18</v>
      </c>
    </row>
    <row r="174" spans="1:15" x14ac:dyDescent="0.25">
      <c r="A174" s="14">
        <v>23963</v>
      </c>
      <c r="B174" s="18" t="s">
        <v>36</v>
      </c>
      <c r="C174" s="18" t="s">
        <v>39</v>
      </c>
      <c r="D174" s="6">
        <v>10000</v>
      </c>
      <c r="E174" s="18" t="str" cm="1">
        <f t="array" ref="E174">_xlfn.IFS(Cleaned_Working_Sheet!$D174&lt;=50000,"Low Income",Cleaned_Working_Sheet!$D174&lt;100000,"Middle Income",TRUE,"High Income")</f>
        <v>Low Income</v>
      </c>
      <c r="F174" s="16">
        <v>0</v>
      </c>
      <c r="G174" s="18" t="s">
        <v>29</v>
      </c>
      <c r="H174" s="18" t="s">
        <v>25</v>
      </c>
      <c r="I174" s="18" t="s">
        <v>18</v>
      </c>
      <c r="J174" s="16">
        <v>2</v>
      </c>
      <c r="K174" s="18" t="s">
        <v>16</v>
      </c>
      <c r="L174" s="18" t="s">
        <v>17</v>
      </c>
      <c r="M174" s="14">
        <v>33</v>
      </c>
      <c r="N174" s="18" t="str" cm="1">
        <f t="array" ref="N174">_xlfn.IFS(Cleaned_Working_Sheet!$M174&lt;=34,"Young",Cleaned_Working_Sheet!$M174&lt;=54,"Middle-aged",Cleaned_Working_Sheet!$M174&gt;54,"Old")</f>
        <v>Young</v>
      </c>
      <c r="O174" s="18" t="s">
        <v>18</v>
      </c>
    </row>
    <row r="175" spans="1:15" x14ac:dyDescent="0.25">
      <c r="A175" s="14">
        <v>17907</v>
      </c>
      <c r="B175" s="18" t="s">
        <v>36</v>
      </c>
      <c r="C175" s="18" t="s">
        <v>38</v>
      </c>
      <c r="D175" s="6">
        <v>10000</v>
      </c>
      <c r="E175" s="18" t="str" cm="1">
        <f t="array" ref="E175">_xlfn.IFS(Cleaned_Working_Sheet!$D175&lt;=50000,"Low Income",Cleaned_Working_Sheet!$D175&lt;100000,"Middle Income",TRUE,"High Income")</f>
        <v>Low Income</v>
      </c>
      <c r="F175" s="16">
        <v>0</v>
      </c>
      <c r="G175" s="18" t="s">
        <v>19</v>
      </c>
      <c r="H175" s="18" t="s">
        <v>25</v>
      </c>
      <c r="I175" s="18" t="s">
        <v>15</v>
      </c>
      <c r="J175" s="16">
        <v>1</v>
      </c>
      <c r="K175" s="18" t="s">
        <v>22</v>
      </c>
      <c r="L175" s="18" t="s">
        <v>24</v>
      </c>
      <c r="M175" s="14">
        <v>27</v>
      </c>
      <c r="N175" s="18" t="str" cm="1">
        <f t="array" ref="N175">_xlfn.IFS(Cleaned_Working_Sheet!$M175&lt;=34,"Young",Cleaned_Working_Sheet!$M175&lt;=54,"Middle-aged",Cleaned_Working_Sheet!$M175&gt;54,"Old")</f>
        <v>Young</v>
      </c>
      <c r="O175" s="18" t="s">
        <v>18</v>
      </c>
    </row>
    <row r="176" spans="1:15" x14ac:dyDescent="0.25">
      <c r="A176" s="14">
        <v>19442</v>
      </c>
      <c r="B176" s="18" t="s">
        <v>37</v>
      </c>
      <c r="C176" s="18" t="s">
        <v>39</v>
      </c>
      <c r="D176" s="6">
        <v>50000</v>
      </c>
      <c r="E176" s="18" t="str" cm="1">
        <f t="array" ref="E176">_xlfn.IFS(Cleaned_Working_Sheet!$D176&lt;=50000,"Low Income",Cleaned_Working_Sheet!$D176&lt;100000,"Middle Income",TRUE,"High Income")</f>
        <v>Low Income</v>
      </c>
      <c r="F176" s="16">
        <v>0</v>
      </c>
      <c r="G176" s="18" t="s">
        <v>31</v>
      </c>
      <c r="H176" s="18" t="s">
        <v>14</v>
      </c>
      <c r="I176" s="18" t="s">
        <v>15</v>
      </c>
      <c r="J176" s="16">
        <v>0</v>
      </c>
      <c r="K176" s="18" t="s">
        <v>16</v>
      </c>
      <c r="L176" s="18" t="s">
        <v>17</v>
      </c>
      <c r="M176" s="14">
        <v>37</v>
      </c>
      <c r="N176" s="18" t="str" cm="1">
        <f t="array" ref="N176">_xlfn.IFS(Cleaned_Working_Sheet!$M176&lt;=34,"Young",Cleaned_Working_Sheet!$M176&lt;=54,"Middle-aged",Cleaned_Working_Sheet!$M176&gt;54,"Old")</f>
        <v>Middle-aged</v>
      </c>
      <c r="O176" s="18" t="s">
        <v>15</v>
      </c>
    </row>
    <row r="177" spans="1:15" x14ac:dyDescent="0.25">
      <c r="A177" s="14">
        <v>17504</v>
      </c>
      <c r="B177" s="18" t="s">
        <v>37</v>
      </c>
      <c r="C177" s="18" t="s">
        <v>38</v>
      </c>
      <c r="D177" s="6">
        <v>80000</v>
      </c>
      <c r="E177" s="18" t="str" cm="1">
        <f t="array" ref="E177">_xlfn.IFS(Cleaned_Working_Sheet!$D177&lt;=50000,"Low Income",Cleaned_Working_Sheet!$D177&lt;100000,"Middle Income",TRUE,"High Income")</f>
        <v>Middle Income</v>
      </c>
      <c r="F177" s="16">
        <v>2</v>
      </c>
      <c r="G177" s="18" t="s">
        <v>19</v>
      </c>
      <c r="H177" s="18" t="s">
        <v>14</v>
      </c>
      <c r="I177" s="18" t="s">
        <v>15</v>
      </c>
      <c r="J177" s="16">
        <v>2</v>
      </c>
      <c r="K177" s="18" t="s">
        <v>23</v>
      </c>
      <c r="L177" s="18" t="s">
        <v>24</v>
      </c>
      <c r="M177" s="14">
        <v>52</v>
      </c>
      <c r="N177" s="18" t="str" cm="1">
        <f t="array" ref="N177">_xlfn.IFS(Cleaned_Working_Sheet!$M177&lt;=34,"Young",Cleaned_Working_Sheet!$M177&lt;=54,"Middle-aged",Cleaned_Working_Sheet!$M177&gt;54,"Old")</f>
        <v>Middle-aged</v>
      </c>
      <c r="O177" s="18" t="s">
        <v>15</v>
      </c>
    </row>
    <row r="178" spans="1:15" x14ac:dyDescent="0.25">
      <c r="A178" s="14">
        <v>12253</v>
      </c>
      <c r="B178" s="18" t="s">
        <v>37</v>
      </c>
      <c r="C178" s="18" t="s">
        <v>38</v>
      </c>
      <c r="D178" s="6">
        <v>20000</v>
      </c>
      <c r="E178" s="18" t="str" cm="1">
        <f t="array" ref="E178">_xlfn.IFS(Cleaned_Working_Sheet!$D178&lt;=50000,"Low Income",Cleaned_Working_Sheet!$D178&lt;100000,"Middle Income",TRUE,"High Income")</f>
        <v>Low Income</v>
      </c>
      <c r="F178" s="16">
        <v>0</v>
      </c>
      <c r="G178" s="18" t="s">
        <v>19</v>
      </c>
      <c r="H178" s="18" t="s">
        <v>25</v>
      </c>
      <c r="I178" s="18" t="s">
        <v>15</v>
      </c>
      <c r="J178" s="16">
        <v>0</v>
      </c>
      <c r="K178" s="18" t="s">
        <v>16</v>
      </c>
      <c r="L178" s="18" t="s">
        <v>24</v>
      </c>
      <c r="M178" s="14">
        <v>29</v>
      </c>
      <c r="N178" s="18" t="str" cm="1">
        <f t="array" ref="N178">_xlfn.IFS(Cleaned_Working_Sheet!$M178&lt;=34,"Young",Cleaned_Working_Sheet!$M178&lt;=54,"Middle-aged",Cleaned_Working_Sheet!$M178&gt;54,"Old")</f>
        <v>Young</v>
      </c>
      <c r="O178" s="18" t="s">
        <v>15</v>
      </c>
    </row>
    <row r="179" spans="1:15" x14ac:dyDescent="0.25">
      <c r="A179" s="14">
        <v>27304</v>
      </c>
      <c r="B179" s="18" t="s">
        <v>37</v>
      </c>
      <c r="C179" s="18" t="s">
        <v>38</v>
      </c>
      <c r="D179" s="6">
        <v>110000</v>
      </c>
      <c r="E179" s="18" t="str" cm="1">
        <f t="array" ref="E179">_xlfn.IFS(Cleaned_Working_Sheet!$D179&lt;=50000,"Low Income",Cleaned_Working_Sheet!$D179&lt;100000,"Middle Income",TRUE,"High Income")</f>
        <v>High Income</v>
      </c>
      <c r="F179" s="16">
        <v>2</v>
      </c>
      <c r="G179" s="18" t="s">
        <v>19</v>
      </c>
      <c r="H179" s="18" t="s">
        <v>21</v>
      </c>
      <c r="I179" s="18" t="s">
        <v>18</v>
      </c>
      <c r="J179" s="16">
        <v>3</v>
      </c>
      <c r="K179" s="18" t="s">
        <v>23</v>
      </c>
      <c r="L179" s="18" t="s">
        <v>17</v>
      </c>
      <c r="M179" s="14">
        <v>48</v>
      </c>
      <c r="N179" s="18" t="str" cm="1">
        <f t="array" ref="N179">_xlfn.IFS(Cleaned_Working_Sheet!$M179&lt;=34,"Young",Cleaned_Working_Sheet!$M179&lt;=54,"Middle-aged",Cleaned_Working_Sheet!$M179&gt;54,"Old")</f>
        <v>Middle-aged</v>
      </c>
      <c r="O179" s="18" t="s">
        <v>18</v>
      </c>
    </row>
    <row r="180" spans="1:15" x14ac:dyDescent="0.25">
      <c r="A180" s="14">
        <v>14191</v>
      </c>
      <c r="B180" s="18" t="s">
        <v>36</v>
      </c>
      <c r="C180" s="18" t="s">
        <v>39</v>
      </c>
      <c r="D180" s="6">
        <v>160000</v>
      </c>
      <c r="E180" s="18" t="str" cm="1">
        <f t="array" ref="E180">_xlfn.IFS(Cleaned_Working_Sheet!$D180&lt;=50000,"Low Income",Cleaned_Working_Sheet!$D180&lt;100000,"Middle Income",TRUE,"High Income")</f>
        <v>High Income</v>
      </c>
      <c r="F180" s="16">
        <v>4</v>
      </c>
      <c r="G180" s="18" t="s">
        <v>19</v>
      </c>
      <c r="H180" s="18" t="s">
        <v>21</v>
      </c>
      <c r="I180" s="18" t="s">
        <v>18</v>
      </c>
      <c r="J180" s="16">
        <v>2</v>
      </c>
      <c r="K180" s="18" t="s">
        <v>43</v>
      </c>
      <c r="L180" s="18" t="s">
        <v>17</v>
      </c>
      <c r="M180" s="14">
        <v>55</v>
      </c>
      <c r="N180" s="18" t="str" cm="1">
        <f t="array" ref="N180">_xlfn.IFS(Cleaned_Working_Sheet!$M180&lt;=34,"Young",Cleaned_Working_Sheet!$M180&lt;=54,"Middle-aged",Cleaned_Working_Sheet!$M180&gt;54,"Old")</f>
        <v>Old</v>
      </c>
      <c r="O180" s="18" t="s">
        <v>15</v>
      </c>
    </row>
    <row r="181" spans="1:15" x14ac:dyDescent="0.25">
      <c r="A181" s="14">
        <v>12212</v>
      </c>
      <c r="B181" s="18" t="s">
        <v>36</v>
      </c>
      <c r="C181" s="18" t="s">
        <v>38</v>
      </c>
      <c r="D181" s="6">
        <v>10000</v>
      </c>
      <c r="E181" s="18" t="str" cm="1">
        <f t="array" ref="E181">_xlfn.IFS(Cleaned_Working_Sheet!$D181&lt;=50000,"Low Income",Cleaned_Working_Sheet!$D181&lt;100000,"Middle Income",TRUE,"High Income")</f>
        <v>Low Income</v>
      </c>
      <c r="F181" s="16">
        <v>0</v>
      </c>
      <c r="G181" s="18" t="s">
        <v>31</v>
      </c>
      <c r="H181" s="18" t="s">
        <v>25</v>
      </c>
      <c r="I181" s="18" t="s">
        <v>15</v>
      </c>
      <c r="J181" s="16">
        <v>0</v>
      </c>
      <c r="K181" s="18" t="s">
        <v>16</v>
      </c>
      <c r="L181" s="18" t="s">
        <v>17</v>
      </c>
      <c r="M181" s="14">
        <v>37</v>
      </c>
      <c r="N181" s="18" t="str" cm="1">
        <f t="array" ref="N181">_xlfn.IFS(Cleaned_Working_Sheet!$M181&lt;=34,"Young",Cleaned_Working_Sheet!$M181&lt;=54,"Middle-aged",Cleaned_Working_Sheet!$M181&gt;54,"Old")</f>
        <v>Middle-aged</v>
      </c>
      <c r="O181" s="18" t="s">
        <v>15</v>
      </c>
    </row>
    <row r="182" spans="1:15" x14ac:dyDescent="0.25">
      <c r="A182" s="14">
        <v>25529</v>
      </c>
      <c r="B182" s="18" t="s">
        <v>37</v>
      </c>
      <c r="C182" s="18" t="s">
        <v>39</v>
      </c>
      <c r="D182" s="6">
        <v>10000</v>
      </c>
      <c r="E182" s="18" t="str" cm="1">
        <f t="array" ref="E182">_xlfn.IFS(Cleaned_Working_Sheet!$D182&lt;=50000,"Low Income",Cleaned_Working_Sheet!$D182&lt;100000,"Middle Income",TRUE,"High Income")</f>
        <v>Low Income</v>
      </c>
      <c r="F182" s="16">
        <v>1</v>
      </c>
      <c r="G182" s="18" t="s">
        <v>31</v>
      </c>
      <c r="H182" s="18" t="s">
        <v>25</v>
      </c>
      <c r="I182" s="18" t="s">
        <v>15</v>
      </c>
      <c r="J182" s="16">
        <v>0</v>
      </c>
      <c r="K182" s="18" t="s">
        <v>16</v>
      </c>
      <c r="L182" s="18" t="s">
        <v>17</v>
      </c>
      <c r="M182" s="14">
        <v>44</v>
      </c>
      <c r="N182" s="18" t="str" cm="1">
        <f t="array" ref="N182">_xlfn.IFS(Cleaned_Working_Sheet!$M182&lt;=34,"Young",Cleaned_Working_Sheet!$M182&lt;=54,"Middle-aged",Cleaned_Working_Sheet!$M182&gt;54,"Old")</f>
        <v>Middle-aged</v>
      </c>
      <c r="O182" s="18" t="s">
        <v>18</v>
      </c>
    </row>
    <row r="183" spans="1:15" x14ac:dyDescent="0.25">
      <c r="A183" s="14">
        <v>22170</v>
      </c>
      <c r="B183" s="18" t="s">
        <v>36</v>
      </c>
      <c r="C183" s="18" t="s">
        <v>38</v>
      </c>
      <c r="D183" s="6">
        <v>30000</v>
      </c>
      <c r="E183" s="18" t="str" cm="1">
        <f t="array" ref="E183">_xlfn.IFS(Cleaned_Working_Sheet!$D183&lt;=50000,"Low Income",Cleaned_Working_Sheet!$D183&lt;100000,"Middle Income",TRUE,"High Income")</f>
        <v>Low Income</v>
      </c>
      <c r="F183" s="16">
        <v>3</v>
      </c>
      <c r="G183" s="18" t="s">
        <v>19</v>
      </c>
      <c r="H183" s="18" t="s">
        <v>20</v>
      </c>
      <c r="I183" s="18" t="s">
        <v>18</v>
      </c>
      <c r="J183" s="16">
        <v>2</v>
      </c>
      <c r="K183" s="18" t="s">
        <v>26</v>
      </c>
      <c r="L183" s="18" t="s">
        <v>24</v>
      </c>
      <c r="M183" s="14">
        <v>55</v>
      </c>
      <c r="N183" s="18" t="str" cm="1">
        <f t="array" ref="N183">_xlfn.IFS(Cleaned_Working_Sheet!$M183&lt;=34,"Young",Cleaned_Working_Sheet!$M183&lt;=54,"Middle-aged",Cleaned_Working_Sheet!$M183&gt;54,"Old")</f>
        <v>Old</v>
      </c>
      <c r="O183" s="18" t="s">
        <v>15</v>
      </c>
    </row>
    <row r="184" spans="1:15" x14ac:dyDescent="0.25">
      <c r="A184" s="14">
        <v>19445</v>
      </c>
      <c r="B184" s="18" t="s">
        <v>36</v>
      </c>
      <c r="C184" s="18" t="s">
        <v>38</v>
      </c>
      <c r="D184" s="6">
        <v>10000</v>
      </c>
      <c r="E184" s="18" t="str" cm="1">
        <f t="array" ref="E184">_xlfn.IFS(Cleaned_Working_Sheet!$D184&lt;=50000,"Low Income",Cleaned_Working_Sheet!$D184&lt;100000,"Middle Income",TRUE,"High Income")</f>
        <v>Low Income</v>
      </c>
      <c r="F184" s="16">
        <v>2</v>
      </c>
      <c r="G184" s="18" t="s">
        <v>27</v>
      </c>
      <c r="H184" s="18" t="s">
        <v>25</v>
      </c>
      <c r="I184" s="18" t="s">
        <v>18</v>
      </c>
      <c r="J184" s="16">
        <v>1</v>
      </c>
      <c r="K184" s="18" t="s">
        <v>16</v>
      </c>
      <c r="L184" s="18" t="s">
        <v>17</v>
      </c>
      <c r="M184" s="14">
        <v>38</v>
      </c>
      <c r="N184" s="18" t="str" cm="1">
        <f t="array" ref="N184">_xlfn.IFS(Cleaned_Working_Sheet!$M184&lt;=34,"Young",Cleaned_Working_Sheet!$M184&lt;=54,"Middle-aged",Cleaned_Working_Sheet!$M184&gt;54,"Old")</f>
        <v>Middle-aged</v>
      </c>
      <c r="O184" s="18" t="s">
        <v>18</v>
      </c>
    </row>
    <row r="185" spans="1:15" x14ac:dyDescent="0.25">
      <c r="A185" s="14">
        <v>15265</v>
      </c>
      <c r="B185" s="18" t="s">
        <v>37</v>
      </c>
      <c r="C185" s="18" t="s">
        <v>39</v>
      </c>
      <c r="D185" s="6">
        <v>40000</v>
      </c>
      <c r="E185" s="18" t="str" cm="1">
        <f t="array" ref="E185">_xlfn.IFS(Cleaned_Working_Sheet!$D185&lt;=50000,"Low Income",Cleaned_Working_Sheet!$D185&lt;100000,"Middle Income",TRUE,"High Income")</f>
        <v>Low Income</v>
      </c>
      <c r="F185" s="16">
        <v>2</v>
      </c>
      <c r="G185" s="18" t="s">
        <v>13</v>
      </c>
      <c r="H185" s="18" t="s">
        <v>28</v>
      </c>
      <c r="I185" s="18" t="s">
        <v>15</v>
      </c>
      <c r="J185" s="16">
        <v>2</v>
      </c>
      <c r="K185" s="18" t="s">
        <v>23</v>
      </c>
      <c r="L185" s="18" t="s">
        <v>24</v>
      </c>
      <c r="M185" s="14">
        <v>66</v>
      </c>
      <c r="N185" s="18" t="str" cm="1">
        <f t="array" ref="N185">_xlfn.IFS(Cleaned_Working_Sheet!$M185&lt;=34,"Young",Cleaned_Working_Sheet!$M185&lt;=54,"Middle-aged",Cleaned_Working_Sheet!$M185&gt;54,"Old")</f>
        <v>Old</v>
      </c>
      <c r="O185" s="18" t="s">
        <v>15</v>
      </c>
    </row>
    <row r="186" spans="1:15" x14ac:dyDescent="0.25">
      <c r="A186" s="14">
        <v>28918</v>
      </c>
      <c r="B186" s="18" t="s">
        <v>36</v>
      </c>
      <c r="C186" s="18" t="s">
        <v>38</v>
      </c>
      <c r="D186" s="6">
        <v>130000</v>
      </c>
      <c r="E186" s="18" t="str" cm="1">
        <f t="array" ref="E186">_xlfn.IFS(Cleaned_Working_Sheet!$D186&lt;=50000,"Low Income",Cleaned_Working_Sheet!$D186&lt;100000,"Middle Income",TRUE,"High Income")</f>
        <v>High Income</v>
      </c>
      <c r="F186" s="16">
        <v>4</v>
      </c>
      <c r="G186" s="18" t="s">
        <v>27</v>
      </c>
      <c r="H186" s="18" t="s">
        <v>28</v>
      </c>
      <c r="I186" s="18" t="s">
        <v>18</v>
      </c>
      <c r="J186" s="16">
        <v>4</v>
      </c>
      <c r="K186" s="18" t="s">
        <v>43</v>
      </c>
      <c r="L186" s="18" t="s">
        <v>17</v>
      </c>
      <c r="M186" s="14">
        <v>58</v>
      </c>
      <c r="N186" s="18" t="str" cm="1">
        <f t="array" ref="N186">_xlfn.IFS(Cleaned_Working_Sheet!$M186&lt;=34,"Young",Cleaned_Working_Sheet!$M186&lt;=54,"Middle-aged",Cleaned_Working_Sheet!$M186&gt;54,"Old")</f>
        <v>Old</v>
      </c>
      <c r="O186" s="18" t="s">
        <v>18</v>
      </c>
    </row>
    <row r="187" spans="1:15" x14ac:dyDescent="0.25">
      <c r="A187" s="14">
        <v>15799</v>
      </c>
      <c r="B187" s="18" t="s">
        <v>36</v>
      </c>
      <c r="C187" s="18" t="s">
        <v>38</v>
      </c>
      <c r="D187" s="6">
        <v>90000</v>
      </c>
      <c r="E187" s="18" t="str" cm="1">
        <f t="array" ref="E187">_xlfn.IFS(Cleaned_Working_Sheet!$D187&lt;=50000,"Low Income",Cleaned_Working_Sheet!$D187&lt;100000,"Middle Income",TRUE,"High Income")</f>
        <v>Middle Income</v>
      </c>
      <c r="F187" s="16">
        <v>1</v>
      </c>
      <c r="G187" s="18" t="s">
        <v>13</v>
      </c>
      <c r="H187" s="18" t="s">
        <v>21</v>
      </c>
      <c r="I187" s="18" t="s">
        <v>15</v>
      </c>
      <c r="J187" s="16">
        <v>1</v>
      </c>
      <c r="K187" s="18" t="s">
        <v>22</v>
      </c>
      <c r="L187" s="18" t="s">
        <v>24</v>
      </c>
      <c r="M187" s="14">
        <v>47</v>
      </c>
      <c r="N187" s="18" t="str" cm="1">
        <f t="array" ref="N187">_xlfn.IFS(Cleaned_Working_Sheet!$M187&lt;=34,"Young",Cleaned_Working_Sheet!$M187&lt;=54,"Middle-aged",Cleaned_Working_Sheet!$M187&gt;54,"Old")</f>
        <v>Middle-aged</v>
      </c>
      <c r="O187" s="18" t="s">
        <v>15</v>
      </c>
    </row>
    <row r="188" spans="1:15" x14ac:dyDescent="0.25">
      <c r="A188" s="14">
        <v>11047</v>
      </c>
      <c r="B188" s="18" t="s">
        <v>36</v>
      </c>
      <c r="C188" s="18" t="s">
        <v>38</v>
      </c>
      <c r="D188" s="6">
        <v>30000</v>
      </c>
      <c r="E188" s="18" t="str" cm="1">
        <f t="array" ref="E188">_xlfn.IFS(Cleaned_Working_Sheet!$D188&lt;=50000,"Low Income",Cleaned_Working_Sheet!$D188&lt;100000,"Middle Income",TRUE,"High Income")</f>
        <v>Low Income</v>
      </c>
      <c r="F188" s="16">
        <v>3</v>
      </c>
      <c r="G188" s="18" t="s">
        <v>27</v>
      </c>
      <c r="H188" s="18" t="s">
        <v>14</v>
      </c>
      <c r="I188" s="18" t="s">
        <v>18</v>
      </c>
      <c r="J188" s="16">
        <v>2</v>
      </c>
      <c r="K188" s="18" t="s">
        <v>26</v>
      </c>
      <c r="L188" s="18" t="s">
        <v>24</v>
      </c>
      <c r="M188" s="14">
        <v>56</v>
      </c>
      <c r="N188" s="18" t="str" cm="1">
        <f t="array" ref="N188">_xlfn.IFS(Cleaned_Working_Sheet!$M188&lt;=34,"Young",Cleaned_Working_Sheet!$M188&lt;=54,"Middle-aged",Cleaned_Working_Sheet!$M188&gt;54,"Old")</f>
        <v>Old</v>
      </c>
      <c r="O188" s="18" t="s">
        <v>15</v>
      </c>
    </row>
    <row r="189" spans="1:15" x14ac:dyDescent="0.25">
      <c r="A189" s="14">
        <v>18151</v>
      </c>
      <c r="B189" s="18" t="s">
        <v>37</v>
      </c>
      <c r="C189" s="18" t="s">
        <v>39</v>
      </c>
      <c r="D189" s="6">
        <v>80000</v>
      </c>
      <c r="E189" s="18" t="str" cm="1">
        <f t="array" ref="E189">_xlfn.IFS(Cleaned_Working_Sheet!$D189&lt;=50000,"Low Income",Cleaned_Working_Sheet!$D189&lt;100000,"Middle Income",TRUE,"High Income")</f>
        <v>Middle Income</v>
      </c>
      <c r="F189" s="16">
        <v>5</v>
      </c>
      <c r="G189" s="18" t="s">
        <v>19</v>
      </c>
      <c r="H189" s="18" t="s">
        <v>21</v>
      </c>
      <c r="I189" s="18" t="s">
        <v>18</v>
      </c>
      <c r="J189" s="16">
        <v>2</v>
      </c>
      <c r="K189" s="18" t="s">
        <v>43</v>
      </c>
      <c r="L189" s="18" t="s">
        <v>17</v>
      </c>
      <c r="M189" s="14">
        <v>59</v>
      </c>
      <c r="N189" s="18" t="str" cm="1">
        <f t="array" ref="N189">_xlfn.IFS(Cleaned_Working_Sheet!$M189&lt;=34,"Young",Cleaned_Working_Sheet!$M189&lt;=54,"Middle-aged",Cleaned_Working_Sheet!$M189&gt;54,"Old")</f>
        <v>Old</v>
      </c>
      <c r="O189" s="18" t="s">
        <v>18</v>
      </c>
    </row>
    <row r="190" spans="1:15" x14ac:dyDescent="0.25">
      <c r="A190" s="14">
        <v>20606</v>
      </c>
      <c r="B190" s="18" t="s">
        <v>36</v>
      </c>
      <c r="C190" s="18" t="s">
        <v>38</v>
      </c>
      <c r="D190" s="6">
        <v>70000</v>
      </c>
      <c r="E190" s="18" t="str" cm="1">
        <f t="array" ref="E190">_xlfn.IFS(Cleaned_Working_Sheet!$D190&lt;=50000,"Low Income",Cleaned_Working_Sheet!$D190&lt;100000,"Middle Income",TRUE,"High Income")</f>
        <v>Middle Income</v>
      </c>
      <c r="F190" s="16">
        <v>0</v>
      </c>
      <c r="G190" s="18" t="s">
        <v>13</v>
      </c>
      <c r="H190" s="18" t="s">
        <v>21</v>
      </c>
      <c r="I190" s="18" t="s">
        <v>15</v>
      </c>
      <c r="J190" s="16">
        <v>4</v>
      </c>
      <c r="K190" s="18" t="s">
        <v>43</v>
      </c>
      <c r="L190" s="18" t="s">
        <v>24</v>
      </c>
      <c r="M190" s="14">
        <v>32</v>
      </c>
      <c r="N190" s="18" t="str" cm="1">
        <f t="array" ref="N190">_xlfn.IFS(Cleaned_Working_Sheet!$M190&lt;=34,"Young",Cleaned_Working_Sheet!$M190&lt;=54,"Middle-aged",Cleaned_Working_Sheet!$M190&gt;54,"Old")</f>
        <v>Young</v>
      </c>
      <c r="O190" s="18" t="s">
        <v>15</v>
      </c>
    </row>
    <row r="191" spans="1:15" x14ac:dyDescent="0.25">
      <c r="A191" s="14">
        <v>19482</v>
      </c>
      <c r="B191" s="18" t="s">
        <v>36</v>
      </c>
      <c r="C191" s="18" t="s">
        <v>39</v>
      </c>
      <c r="D191" s="6">
        <v>30000</v>
      </c>
      <c r="E191" s="18" t="str" cm="1">
        <f t="array" ref="E191">_xlfn.IFS(Cleaned_Working_Sheet!$D191&lt;=50000,"Low Income",Cleaned_Working_Sheet!$D191&lt;100000,"Middle Income",TRUE,"High Income")</f>
        <v>Low Income</v>
      </c>
      <c r="F191" s="16">
        <v>1</v>
      </c>
      <c r="G191" s="18" t="s">
        <v>19</v>
      </c>
      <c r="H191" s="18" t="s">
        <v>20</v>
      </c>
      <c r="I191" s="18" t="s">
        <v>15</v>
      </c>
      <c r="J191" s="16">
        <v>1</v>
      </c>
      <c r="K191" s="18" t="s">
        <v>16</v>
      </c>
      <c r="L191" s="18" t="s">
        <v>17</v>
      </c>
      <c r="M191" s="14">
        <v>44</v>
      </c>
      <c r="N191" s="18" t="str" cm="1">
        <f t="array" ref="N191">_xlfn.IFS(Cleaned_Working_Sheet!$M191&lt;=34,"Young",Cleaned_Working_Sheet!$M191&lt;=54,"Middle-aged",Cleaned_Working_Sheet!$M191&gt;54,"Old")</f>
        <v>Middle-aged</v>
      </c>
      <c r="O191" s="18" t="s">
        <v>15</v>
      </c>
    </row>
    <row r="192" spans="1:15" x14ac:dyDescent="0.25">
      <c r="A192" s="14">
        <v>16489</v>
      </c>
      <c r="B192" s="18" t="s">
        <v>36</v>
      </c>
      <c r="C192" s="18" t="s">
        <v>39</v>
      </c>
      <c r="D192" s="6">
        <v>30000</v>
      </c>
      <c r="E192" s="18" t="str" cm="1">
        <f t="array" ref="E192">_xlfn.IFS(Cleaned_Working_Sheet!$D192&lt;=50000,"Low Income",Cleaned_Working_Sheet!$D192&lt;100000,"Middle Income",TRUE,"High Income")</f>
        <v>Low Income</v>
      </c>
      <c r="F192" s="16">
        <v>3</v>
      </c>
      <c r="G192" s="18" t="s">
        <v>27</v>
      </c>
      <c r="H192" s="18" t="s">
        <v>14</v>
      </c>
      <c r="I192" s="18" t="s">
        <v>15</v>
      </c>
      <c r="J192" s="16">
        <v>2</v>
      </c>
      <c r="K192" s="18" t="s">
        <v>23</v>
      </c>
      <c r="L192" s="18" t="s">
        <v>24</v>
      </c>
      <c r="M192" s="14">
        <v>55</v>
      </c>
      <c r="N192" s="18" t="str" cm="1">
        <f t="array" ref="N192">_xlfn.IFS(Cleaned_Working_Sheet!$M192&lt;=34,"Young",Cleaned_Working_Sheet!$M192&lt;=54,"Middle-aged",Cleaned_Working_Sheet!$M192&gt;54,"Old")</f>
        <v>Old</v>
      </c>
      <c r="O192" s="18" t="s">
        <v>18</v>
      </c>
    </row>
    <row r="193" spans="1:15" x14ac:dyDescent="0.25">
      <c r="A193" s="14">
        <v>26944</v>
      </c>
      <c r="B193" s="18" t="s">
        <v>37</v>
      </c>
      <c r="C193" s="18" t="s">
        <v>39</v>
      </c>
      <c r="D193" s="6">
        <v>90000</v>
      </c>
      <c r="E193" s="18" t="str" cm="1">
        <f t="array" ref="E193">_xlfn.IFS(Cleaned_Working_Sheet!$D193&lt;=50000,"Low Income",Cleaned_Working_Sheet!$D193&lt;100000,"Middle Income",TRUE,"High Income")</f>
        <v>Middle Income</v>
      </c>
      <c r="F193" s="16">
        <v>2</v>
      </c>
      <c r="G193" s="18" t="s">
        <v>27</v>
      </c>
      <c r="H193" s="18" t="s">
        <v>25</v>
      </c>
      <c r="I193" s="18" t="s">
        <v>15</v>
      </c>
      <c r="J193" s="16">
        <v>0</v>
      </c>
      <c r="K193" s="18" t="s">
        <v>16</v>
      </c>
      <c r="L193" s="18" t="s">
        <v>17</v>
      </c>
      <c r="M193" s="14">
        <v>36</v>
      </c>
      <c r="N193" s="18" t="str" cm="1">
        <f t="array" ref="N193">_xlfn.IFS(Cleaned_Working_Sheet!$M193&lt;=34,"Young",Cleaned_Working_Sheet!$M193&lt;=54,"Middle-aged",Cleaned_Working_Sheet!$M193&gt;54,"Old")</f>
        <v>Middle-aged</v>
      </c>
      <c r="O193" s="18" t="s">
        <v>15</v>
      </c>
    </row>
    <row r="194" spans="1:15" x14ac:dyDescent="0.25">
      <c r="A194" s="14">
        <v>15682</v>
      </c>
      <c r="B194" s="18" t="s">
        <v>37</v>
      </c>
      <c r="C194" s="18" t="s">
        <v>38</v>
      </c>
      <c r="D194" s="6">
        <v>80000</v>
      </c>
      <c r="E194" s="18" t="str" cm="1">
        <f t="array" ref="E194">_xlfn.IFS(Cleaned_Working_Sheet!$D194&lt;=50000,"Low Income",Cleaned_Working_Sheet!$D194&lt;100000,"Middle Income",TRUE,"High Income")</f>
        <v>Middle Income</v>
      </c>
      <c r="F194" s="16">
        <v>5</v>
      </c>
      <c r="G194" s="18" t="s">
        <v>13</v>
      </c>
      <c r="H194" s="18" t="s">
        <v>28</v>
      </c>
      <c r="I194" s="18" t="s">
        <v>15</v>
      </c>
      <c r="J194" s="16">
        <v>2</v>
      </c>
      <c r="K194" s="18" t="s">
        <v>43</v>
      </c>
      <c r="L194" s="18" t="s">
        <v>17</v>
      </c>
      <c r="M194" s="14">
        <v>62</v>
      </c>
      <c r="N194" s="18" t="str" cm="1">
        <f t="array" ref="N194">_xlfn.IFS(Cleaned_Working_Sheet!$M194&lt;=34,"Young",Cleaned_Working_Sheet!$M194&lt;=54,"Middle-aged",Cleaned_Working_Sheet!$M194&gt;54,"Old")</f>
        <v>Old</v>
      </c>
      <c r="O194" s="18" t="s">
        <v>18</v>
      </c>
    </row>
    <row r="195" spans="1:15" x14ac:dyDescent="0.25">
      <c r="A195" s="14">
        <v>26032</v>
      </c>
      <c r="B195" s="18" t="s">
        <v>36</v>
      </c>
      <c r="C195" s="18" t="s">
        <v>38</v>
      </c>
      <c r="D195" s="6">
        <v>70000</v>
      </c>
      <c r="E195" s="18" t="str" cm="1">
        <f t="array" ref="E195">_xlfn.IFS(Cleaned_Working_Sheet!$D195&lt;=50000,"Low Income",Cleaned_Working_Sheet!$D195&lt;100000,"Middle Income",TRUE,"High Income")</f>
        <v>Middle Income</v>
      </c>
      <c r="F195" s="16">
        <v>5</v>
      </c>
      <c r="G195" s="18" t="s">
        <v>13</v>
      </c>
      <c r="H195" s="18" t="s">
        <v>21</v>
      </c>
      <c r="I195" s="18" t="s">
        <v>15</v>
      </c>
      <c r="J195" s="16">
        <v>4</v>
      </c>
      <c r="K195" s="18" t="s">
        <v>43</v>
      </c>
      <c r="L195" s="18" t="s">
        <v>24</v>
      </c>
      <c r="M195" s="14">
        <v>41</v>
      </c>
      <c r="N195" s="18" t="str" cm="1">
        <f t="array" ref="N195">_xlfn.IFS(Cleaned_Working_Sheet!$M195&lt;=34,"Young",Cleaned_Working_Sheet!$M195&lt;=54,"Middle-aged",Cleaned_Working_Sheet!$M195&gt;54,"Old")</f>
        <v>Middle-aged</v>
      </c>
      <c r="O195" s="18" t="s">
        <v>18</v>
      </c>
    </row>
    <row r="196" spans="1:15" x14ac:dyDescent="0.25">
      <c r="A196" s="14">
        <v>17843</v>
      </c>
      <c r="B196" s="18" t="s">
        <v>37</v>
      </c>
      <c r="C196" s="18" t="s">
        <v>38</v>
      </c>
      <c r="D196" s="6">
        <v>10000</v>
      </c>
      <c r="E196" s="18" t="str" cm="1">
        <f t="array" ref="E196">_xlfn.IFS(Cleaned_Working_Sheet!$D196&lt;=50000,"Low Income",Cleaned_Working_Sheet!$D196&lt;100000,"Middle Income",TRUE,"High Income")</f>
        <v>Low Income</v>
      </c>
      <c r="F196" s="16">
        <v>0</v>
      </c>
      <c r="G196" s="18" t="s">
        <v>29</v>
      </c>
      <c r="H196" s="18" t="s">
        <v>25</v>
      </c>
      <c r="I196" s="18" t="s">
        <v>18</v>
      </c>
      <c r="J196" s="16">
        <v>2</v>
      </c>
      <c r="K196" s="18" t="s">
        <v>16</v>
      </c>
      <c r="L196" s="18" t="s">
        <v>17</v>
      </c>
      <c r="M196" s="14">
        <v>32</v>
      </c>
      <c r="N196" s="18" t="str" cm="1">
        <f t="array" ref="N196">_xlfn.IFS(Cleaned_Working_Sheet!$M196&lt;=34,"Young",Cleaned_Working_Sheet!$M196&lt;=54,"Middle-aged",Cleaned_Working_Sheet!$M196&gt;54,"Old")</f>
        <v>Young</v>
      </c>
      <c r="O196" s="18" t="s">
        <v>18</v>
      </c>
    </row>
    <row r="197" spans="1:15" x14ac:dyDescent="0.25">
      <c r="A197" s="14">
        <v>25559</v>
      </c>
      <c r="B197" s="18" t="s">
        <v>37</v>
      </c>
      <c r="C197" s="18" t="s">
        <v>39</v>
      </c>
      <c r="D197" s="6">
        <v>20000</v>
      </c>
      <c r="E197" s="18" t="str" cm="1">
        <f t="array" ref="E197">_xlfn.IFS(Cleaned_Working_Sheet!$D197&lt;=50000,"Low Income",Cleaned_Working_Sheet!$D197&lt;100000,"Middle Income",TRUE,"High Income")</f>
        <v>Low Income</v>
      </c>
      <c r="F197" s="16">
        <v>0</v>
      </c>
      <c r="G197" s="18" t="s">
        <v>13</v>
      </c>
      <c r="H197" s="18" t="s">
        <v>20</v>
      </c>
      <c r="I197" s="18" t="s">
        <v>15</v>
      </c>
      <c r="J197" s="16">
        <v>0</v>
      </c>
      <c r="K197" s="18" t="s">
        <v>16</v>
      </c>
      <c r="L197" s="18" t="s">
        <v>24</v>
      </c>
      <c r="M197" s="14">
        <v>25</v>
      </c>
      <c r="N197" s="18" t="str" cm="1">
        <f t="array" ref="N197">_xlfn.IFS(Cleaned_Working_Sheet!$M197&lt;=34,"Young",Cleaned_Working_Sheet!$M197&lt;=54,"Middle-aged",Cleaned_Working_Sheet!$M197&gt;54,"Old")</f>
        <v>Young</v>
      </c>
      <c r="O197" s="18" t="s">
        <v>15</v>
      </c>
    </row>
    <row r="198" spans="1:15" x14ac:dyDescent="0.25">
      <c r="A198" s="14">
        <v>16209</v>
      </c>
      <c r="B198" s="18" t="s">
        <v>37</v>
      </c>
      <c r="C198" s="18" t="s">
        <v>38</v>
      </c>
      <c r="D198" s="6">
        <v>50000</v>
      </c>
      <c r="E198" s="18" t="str" cm="1">
        <f t="array" ref="E198">_xlfn.IFS(Cleaned_Working_Sheet!$D198&lt;=50000,"Low Income",Cleaned_Working_Sheet!$D198&lt;100000,"Middle Income",TRUE,"High Income")</f>
        <v>Low Income</v>
      </c>
      <c r="F198" s="16">
        <v>0</v>
      </c>
      <c r="G198" s="18" t="s">
        <v>31</v>
      </c>
      <c r="H198" s="18" t="s">
        <v>14</v>
      </c>
      <c r="I198" s="18" t="s">
        <v>15</v>
      </c>
      <c r="J198" s="16">
        <v>0</v>
      </c>
      <c r="K198" s="18" t="s">
        <v>26</v>
      </c>
      <c r="L198" s="18" t="s">
        <v>17</v>
      </c>
      <c r="M198" s="14">
        <v>36</v>
      </c>
      <c r="N198" s="18" t="str" cm="1">
        <f t="array" ref="N198">_xlfn.IFS(Cleaned_Working_Sheet!$M198&lt;=34,"Young",Cleaned_Working_Sheet!$M198&lt;=54,"Middle-aged",Cleaned_Working_Sheet!$M198&gt;54,"Old")</f>
        <v>Middle-aged</v>
      </c>
      <c r="O198" s="18" t="s">
        <v>18</v>
      </c>
    </row>
    <row r="199" spans="1:15" x14ac:dyDescent="0.25">
      <c r="A199" s="14">
        <v>11147</v>
      </c>
      <c r="B199" s="18" t="s">
        <v>36</v>
      </c>
      <c r="C199" s="18" t="s">
        <v>39</v>
      </c>
      <c r="D199" s="6">
        <v>60000</v>
      </c>
      <c r="E199" s="18" t="str" cm="1">
        <f t="array" ref="E199">_xlfn.IFS(Cleaned_Working_Sheet!$D199&lt;=50000,"Low Income",Cleaned_Working_Sheet!$D199&lt;100000,"Middle Income",TRUE,"High Income")</f>
        <v>Middle Income</v>
      </c>
      <c r="F199" s="16">
        <v>2</v>
      </c>
      <c r="G199" s="18" t="s">
        <v>31</v>
      </c>
      <c r="H199" s="18" t="s">
        <v>28</v>
      </c>
      <c r="I199" s="18" t="s">
        <v>15</v>
      </c>
      <c r="J199" s="16">
        <v>1</v>
      </c>
      <c r="K199" s="18" t="s">
        <v>16</v>
      </c>
      <c r="L199" s="18" t="s">
        <v>24</v>
      </c>
      <c r="M199" s="14">
        <v>67</v>
      </c>
      <c r="N199" s="18" t="str" cm="1">
        <f t="array" ref="N199">_xlfn.IFS(Cleaned_Working_Sheet!$M199&lt;=34,"Young",Cleaned_Working_Sheet!$M199&lt;=54,"Middle-aged",Cleaned_Working_Sheet!$M199&gt;54,"Old")</f>
        <v>Old</v>
      </c>
      <c r="O199" s="18" t="s">
        <v>15</v>
      </c>
    </row>
    <row r="200" spans="1:15" x14ac:dyDescent="0.25">
      <c r="A200" s="14">
        <v>15214</v>
      </c>
      <c r="B200" s="18" t="s">
        <v>37</v>
      </c>
      <c r="C200" s="18" t="s">
        <v>38</v>
      </c>
      <c r="D200" s="6">
        <v>100000</v>
      </c>
      <c r="E200" s="18" t="str" cm="1">
        <f t="array" ref="E200">_xlfn.IFS(Cleaned_Working_Sheet!$D200&lt;=50000,"Low Income",Cleaned_Working_Sheet!$D200&lt;100000,"Middle Income",TRUE,"High Income")</f>
        <v>High Income</v>
      </c>
      <c r="F200" s="16">
        <v>0</v>
      </c>
      <c r="G200" s="18" t="s">
        <v>31</v>
      </c>
      <c r="H200" s="18" t="s">
        <v>28</v>
      </c>
      <c r="I200" s="18" t="s">
        <v>18</v>
      </c>
      <c r="J200" s="16">
        <v>1</v>
      </c>
      <c r="K200" s="18" t="s">
        <v>26</v>
      </c>
      <c r="L200" s="18" t="s">
        <v>24</v>
      </c>
      <c r="M200" s="14">
        <v>39</v>
      </c>
      <c r="N200" s="18" t="str" cm="1">
        <f t="array" ref="N200">_xlfn.IFS(Cleaned_Working_Sheet!$M200&lt;=34,"Young",Cleaned_Working_Sheet!$M200&lt;=54,"Middle-aged",Cleaned_Working_Sheet!$M200&gt;54,"Old")</f>
        <v>Middle-aged</v>
      </c>
      <c r="O200" s="18" t="s">
        <v>15</v>
      </c>
    </row>
    <row r="201" spans="1:15" x14ac:dyDescent="0.25">
      <c r="A201" s="14">
        <v>11453</v>
      </c>
      <c r="B201" s="18" t="s">
        <v>37</v>
      </c>
      <c r="C201" s="18" t="s">
        <v>39</v>
      </c>
      <c r="D201" s="6">
        <v>80000</v>
      </c>
      <c r="E201" s="18" t="str" cm="1">
        <f t="array" ref="E201">_xlfn.IFS(Cleaned_Working_Sheet!$D201&lt;=50000,"Low Income",Cleaned_Working_Sheet!$D201&lt;100000,"Middle Income",TRUE,"High Income")</f>
        <v>Middle Income</v>
      </c>
      <c r="F201" s="16">
        <v>0</v>
      </c>
      <c r="G201" s="18" t="s">
        <v>13</v>
      </c>
      <c r="H201" s="18" t="s">
        <v>21</v>
      </c>
      <c r="I201" s="18" t="s">
        <v>18</v>
      </c>
      <c r="J201" s="16">
        <v>3</v>
      </c>
      <c r="K201" s="18" t="s">
        <v>43</v>
      </c>
      <c r="L201" s="18" t="s">
        <v>24</v>
      </c>
      <c r="M201" s="14">
        <v>33</v>
      </c>
      <c r="N201" s="18" t="str" cm="1">
        <f t="array" ref="N201">_xlfn.IFS(Cleaned_Working_Sheet!$M201&lt;=34,"Young",Cleaned_Working_Sheet!$M201&lt;=54,"Middle-aged",Cleaned_Working_Sheet!$M201&gt;54,"Old")</f>
        <v>Young</v>
      </c>
      <c r="O201" s="18" t="s">
        <v>15</v>
      </c>
    </row>
    <row r="202" spans="1:15" x14ac:dyDescent="0.25">
      <c r="A202" s="14">
        <v>24584</v>
      </c>
      <c r="B202" s="18" t="s">
        <v>37</v>
      </c>
      <c r="C202" s="18" t="s">
        <v>39</v>
      </c>
      <c r="D202" s="6">
        <v>60000</v>
      </c>
      <c r="E202" s="18" t="str" cm="1">
        <f t="array" ref="E202">_xlfn.IFS(Cleaned_Working_Sheet!$D202&lt;=50000,"Low Income",Cleaned_Working_Sheet!$D202&lt;100000,"Middle Income",TRUE,"High Income")</f>
        <v>Middle Income</v>
      </c>
      <c r="F202" s="16">
        <v>0</v>
      </c>
      <c r="G202" s="18" t="s">
        <v>13</v>
      </c>
      <c r="H202" s="18" t="s">
        <v>21</v>
      </c>
      <c r="I202" s="18" t="s">
        <v>18</v>
      </c>
      <c r="J202" s="16">
        <v>3</v>
      </c>
      <c r="K202" s="18" t="s">
        <v>22</v>
      </c>
      <c r="L202" s="18" t="s">
        <v>24</v>
      </c>
      <c r="M202" s="14">
        <v>31</v>
      </c>
      <c r="N202" s="18" t="str" cm="1">
        <f t="array" ref="N202">_xlfn.IFS(Cleaned_Working_Sheet!$M202&lt;=34,"Young",Cleaned_Working_Sheet!$M202&lt;=54,"Middle-aged",Cleaned_Working_Sheet!$M202&gt;54,"Old")</f>
        <v>Young</v>
      </c>
      <c r="O202" s="18" t="s">
        <v>18</v>
      </c>
    </row>
    <row r="203" spans="1:15" x14ac:dyDescent="0.25">
      <c r="A203" s="14">
        <v>12585</v>
      </c>
      <c r="B203" s="18" t="s">
        <v>36</v>
      </c>
      <c r="C203" s="18" t="s">
        <v>39</v>
      </c>
      <c r="D203" s="6">
        <v>10000</v>
      </c>
      <c r="E203" s="18" t="str" cm="1">
        <f t="array" ref="E203">_xlfn.IFS(Cleaned_Working_Sheet!$D203&lt;=50000,"Low Income",Cleaned_Working_Sheet!$D203&lt;100000,"Middle Income",TRUE,"High Income")</f>
        <v>Low Income</v>
      </c>
      <c r="F203" s="16">
        <v>1</v>
      </c>
      <c r="G203" s="18" t="s">
        <v>27</v>
      </c>
      <c r="H203" s="18" t="s">
        <v>25</v>
      </c>
      <c r="I203" s="18" t="s">
        <v>15</v>
      </c>
      <c r="J203" s="16">
        <v>0</v>
      </c>
      <c r="K203" s="18" t="s">
        <v>22</v>
      </c>
      <c r="L203" s="18" t="s">
        <v>24</v>
      </c>
      <c r="M203" s="14">
        <v>27</v>
      </c>
      <c r="N203" s="18" t="str" cm="1">
        <f t="array" ref="N203">_xlfn.IFS(Cleaned_Working_Sheet!$M203&lt;=34,"Young",Cleaned_Working_Sheet!$M203&lt;=54,"Middle-aged",Cleaned_Working_Sheet!$M203&gt;54,"Old")</f>
        <v>Young</v>
      </c>
      <c r="O203" s="18" t="s">
        <v>15</v>
      </c>
    </row>
    <row r="204" spans="1:15" x14ac:dyDescent="0.25">
      <c r="A204" s="14">
        <v>18626</v>
      </c>
      <c r="B204" s="18" t="s">
        <v>37</v>
      </c>
      <c r="C204" s="18" t="s">
        <v>39</v>
      </c>
      <c r="D204" s="6">
        <v>40000</v>
      </c>
      <c r="E204" s="18" t="str" cm="1">
        <f t="array" ref="E204">_xlfn.IFS(Cleaned_Working_Sheet!$D204&lt;=50000,"Low Income",Cleaned_Working_Sheet!$D204&lt;100000,"Middle Income",TRUE,"High Income")</f>
        <v>Low Income</v>
      </c>
      <c r="F204" s="16">
        <v>2</v>
      </c>
      <c r="G204" s="18" t="s">
        <v>19</v>
      </c>
      <c r="H204" s="18" t="s">
        <v>20</v>
      </c>
      <c r="I204" s="18" t="s">
        <v>15</v>
      </c>
      <c r="J204" s="16">
        <v>0</v>
      </c>
      <c r="K204" s="18" t="s">
        <v>26</v>
      </c>
      <c r="L204" s="18" t="s">
        <v>17</v>
      </c>
      <c r="M204" s="14">
        <v>33</v>
      </c>
      <c r="N204" s="18" t="str" cm="1">
        <f t="array" ref="N204">_xlfn.IFS(Cleaned_Working_Sheet!$M204&lt;=34,"Young",Cleaned_Working_Sheet!$M204&lt;=54,"Middle-aged",Cleaned_Working_Sheet!$M204&gt;54,"Old")</f>
        <v>Young</v>
      </c>
      <c r="O204" s="18" t="s">
        <v>15</v>
      </c>
    </row>
    <row r="205" spans="1:15" x14ac:dyDescent="0.25">
      <c r="A205" s="14">
        <v>29298</v>
      </c>
      <c r="B205" s="18" t="s">
        <v>37</v>
      </c>
      <c r="C205" s="18" t="s">
        <v>38</v>
      </c>
      <c r="D205" s="6">
        <v>60000</v>
      </c>
      <c r="E205" s="18" t="str" cm="1">
        <f t="array" ref="E205">_xlfn.IFS(Cleaned_Working_Sheet!$D205&lt;=50000,"Low Income",Cleaned_Working_Sheet!$D205&lt;100000,"Middle Income",TRUE,"High Income")</f>
        <v>Middle Income</v>
      </c>
      <c r="F205" s="16">
        <v>1</v>
      </c>
      <c r="G205" s="18" t="s">
        <v>19</v>
      </c>
      <c r="H205" s="18" t="s">
        <v>14</v>
      </c>
      <c r="I205" s="18" t="s">
        <v>15</v>
      </c>
      <c r="J205" s="16">
        <v>1</v>
      </c>
      <c r="K205" s="18" t="s">
        <v>23</v>
      </c>
      <c r="L205" s="18" t="s">
        <v>24</v>
      </c>
      <c r="M205" s="14">
        <v>46</v>
      </c>
      <c r="N205" s="18" t="str" cm="1">
        <f t="array" ref="N205">_xlfn.IFS(Cleaned_Working_Sheet!$M205&lt;=34,"Young",Cleaned_Working_Sheet!$M205&lt;=54,"Middle-aged",Cleaned_Working_Sheet!$M205&gt;54,"Old")</f>
        <v>Middle-aged</v>
      </c>
      <c r="O205" s="18" t="s">
        <v>15</v>
      </c>
    </row>
    <row r="206" spans="1:15" x14ac:dyDescent="0.25">
      <c r="A206" s="14">
        <v>24842</v>
      </c>
      <c r="B206" s="18" t="s">
        <v>37</v>
      </c>
      <c r="C206" s="18" t="s">
        <v>38</v>
      </c>
      <c r="D206" s="6">
        <v>90000</v>
      </c>
      <c r="E206" s="18" t="str" cm="1">
        <f t="array" ref="E206">_xlfn.IFS(Cleaned_Working_Sheet!$D206&lt;=50000,"Low Income",Cleaned_Working_Sheet!$D206&lt;100000,"Middle Income",TRUE,"High Income")</f>
        <v>Middle Income</v>
      </c>
      <c r="F206" s="16">
        <v>3</v>
      </c>
      <c r="G206" s="18" t="s">
        <v>27</v>
      </c>
      <c r="H206" s="18" t="s">
        <v>21</v>
      </c>
      <c r="I206" s="18" t="s">
        <v>18</v>
      </c>
      <c r="J206" s="16">
        <v>1</v>
      </c>
      <c r="K206" s="18" t="s">
        <v>22</v>
      </c>
      <c r="L206" s="18" t="s">
        <v>17</v>
      </c>
      <c r="M206" s="14">
        <v>51</v>
      </c>
      <c r="N206" s="18" t="str" cm="1">
        <f t="array" ref="N206">_xlfn.IFS(Cleaned_Working_Sheet!$M206&lt;=34,"Young",Cleaned_Working_Sheet!$M206&lt;=54,"Middle-aged",Cleaned_Working_Sheet!$M206&gt;54,"Old")</f>
        <v>Middle-aged</v>
      </c>
      <c r="O206" s="18" t="s">
        <v>18</v>
      </c>
    </row>
    <row r="207" spans="1:15" x14ac:dyDescent="0.25">
      <c r="A207" s="14">
        <v>15657</v>
      </c>
      <c r="B207" s="18" t="s">
        <v>36</v>
      </c>
      <c r="C207" s="18" t="s">
        <v>39</v>
      </c>
      <c r="D207" s="6">
        <v>30000</v>
      </c>
      <c r="E207" s="18" t="str" cm="1">
        <f t="array" ref="E207">_xlfn.IFS(Cleaned_Working_Sheet!$D207&lt;=50000,"Low Income",Cleaned_Working_Sheet!$D207&lt;100000,"Middle Income",TRUE,"High Income")</f>
        <v>Low Income</v>
      </c>
      <c r="F207" s="16">
        <v>3</v>
      </c>
      <c r="G207" s="18" t="s">
        <v>31</v>
      </c>
      <c r="H207" s="18" t="s">
        <v>20</v>
      </c>
      <c r="I207" s="18" t="s">
        <v>15</v>
      </c>
      <c r="J207" s="16">
        <v>0</v>
      </c>
      <c r="K207" s="18" t="s">
        <v>16</v>
      </c>
      <c r="L207" s="18" t="s">
        <v>17</v>
      </c>
      <c r="M207" s="14">
        <v>46</v>
      </c>
      <c r="N207" s="18" t="str" cm="1">
        <f t="array" ref="N207">_xlfn.IFS(Cleaned_Working_Sheet!$M207&lt;=34,"Young",Cleaned_Working_Sheet!$M207&lt;=54,"Middle-aged",Cleaned_Working_Sheet!$M207&gt;54,"Old")</f>
        <v>Middle-aged</v>
      </c>
      <c r="O207" s="18" t="s">
        <v>15</v>
      </c>
    </row>
    <row r="208" spans="1:15" x14ac:dyDescent="0.25">
      <c r="A208" s="14">
        <v>11415</v>
      </c>
      <c r="B208" s="18" t="s">
        <v>37</v>
      </c>
      <c r="C208" s="18" t="s">
        <v>39</v>
      </c>
      <c r="D208" s="6">
        <v>90000</v>
      </c>
      <c r="E208" s="18" t="str" cm="1">
        <f t="array" ref="E208">_xlfn.IFS(Cleaned_Working_Sheet!$D208&lt;=50000,"Low Income",Cleaned_Working_Sheet!$D208&lt;100000,"Middle Income",TRUE,"High Income")</f>
        <v>Middle Income</v>
      </c>
      <c r="F208" s="16">
        <v>5</v>
      </c>
      <c r="G208" s="18" t="s">
        <v>19</v>
      </c>
      <c r="H208" s="18" t="s">
        <v>21</v>
      </c>
      <c r="I208" s="18" t="s">
        <v>18</v>
      </c>
      <c r="J208" s="16">
        <v>2</v>
      </c>
      <c r="K208" s="18" t="s">
        <v>43</v>
      </c>
      <c r="L208" s="18" t="s">
        <v>17</v>
      </c>
      <c r="M208" s="14">
        <v>62</v>
      </c>
      <c r="N208" s="18" t="str" cm="1">
        <f t="array" ref="N208">_xlfn.IFS(Cleaned_Working_Sheet!$M208&lt;=34,"Young",Cleaned_Working_Sheet!$M208&lt;=54,"Middle-aged",Cleaned_Working_Sheet!$M208&gt;54,"Old")</f>
        <v>Old</v>
      </c>
      <c r="O208" s="18" t="s">
        <v>18</v>
      </c>
    </row>
    <row r="209" spans="1:15" x14ac:dyDescent="0.25">
      <c r="A209" s="14">
        <v>28729</v>
      </c>
      <c r="B209" s="18" t="s">
        <v>37</v>
      </c>
      <c r="C209" s="18" t="s">
        <v>38</v>
      </c>
      <c r="D209" s="6">
        <v>20000</v>
      </c>
      <c r="E209" s="18" t="str" cm="1">
        <f t="array" ref="E209">_xlfn.IFS(Cleaned_Working_Sheet!$D209&lt;=50000,"Low Income",Cleaned_Working_Sheet!$D209&lt;100000,"Middle Income",TRUE,"High Income")</f>
        <v>Low Income</v>
      </c>
      <c r="F209" s="16">
        <v>0</v>
      </c>
      <c r="G209" s="18" t="s">
        <v>29</v>
      </c>
      <c r="H209" s="18" t="s">
        <v>25</v>
      </c>
      <c r="I209" s="18" t="s">
        <v>15</v>
      </c>
      <c r="J209" s="16">
        <v>2</v>
      </c>
      <c r="K209" s="18" t="s">
        <v>26</v>
      </c>
      <c r="L209" s="18" t="s">
        <v>17</v>
      </c>
      <c r="M209" s="14">
        <v>26</v>
      </c>
      <c r="N209" s="18" t="str" cm="1">
        <f t="array" ref="N209">_xlfn.IFS(Cleaned_Working_Sheet!$M209&lt;=34,"Young",Cleaned_Working_Sheet!$M209&lt;=54,"Middle-aged",Cleaned_Working_Sheet!$M209&gt;54,"Old")</f>
        <v>Young</v>
      </c>
      <c r="O209" s="18" t="s">
        <v>15</v>
      </c>
    </row>
    <row r="210" spans="1:15" x14ac:dyDescent="0.25">
      <c r="A210" s="14">
        <v>22633</v>
      </c>
      <c r="B210" s="18" t="s">
        <v>37</v>
      </c>
      <c r="C210" s="18" t="s">
        <v>38</v>
      </c>
      <c r="D210" s="6">
        <v>40000</v>
      </c>
      <c r="E210" s="18" t="str" cm="1">
        <f t="array" ref="E210">_xlfn.IFS(Cleaned_Working_Sheet!$D210&lt;=50000,"Low Income",Cleaned_Working_Sheet!$D210&lt;100000,"Middle Income",TRUE,"High Income")</f>
        <v>Low Income</v>
      </c>
      <c r="F210" s="16">
        <v>0</v>
      </c>
      <c r="G210" s="18" t="s">
        <v>31</v>
      </c>
      <c r="H210" s="18" t="s">
        <v>20</v>
      </c>
      <c r="I210" s="18" t="s">
        <v>15</v>
      </c>
      <c r="J210" s="16">
        <v>0</v>
      </c>
      <c r="K210" s="18" t="s">
        <v>16</v>
      </c>
      <c r="L210" s="18" t="s">
        <v>17</v>
      </c>
      <c r="M210" s="14">
        <v>37</v>
      </c>
      <c r="N210" s="18" t="str" cm="1">
        <f t="array" ref="N210">_xlfn.IFS(Cleaned_Working_Sheet!$M210&lt;=34,"Young",Cleaned_Working_Sheet!$M210&lt;=54,"Middle-aged",Cleaned_Working_Sheet!$M210&gt;54,"Old")</f>
        <v>Middle-aged</v>
      </c>
      <c r="O210" s="18" t="s">
        <v>15</v>
      </c>
    </row>
    <row r="211" spans="1:15" x14ac:dyDescent="0.25">
      <c r="A211" s="14">
        <v>25649</v>
      </c>
      <c r="B211" s="18" t="s">
        <v>37</v>
      </c>
      <c r="C211" s="18" t="s">
        <v>38</v>
      </c>
      <c r="D211" s="6">
        <v>30000</v>
      </c>
      <c r="E211" s="18" t="str" cm="1">
        <f t="array" ref="E211">_xlfn.IFS(Cleaned_Working_Sheet!$D211&lt;=50000,"Low Income",Cleaned_Working_Sheet!$D211&lt;100000,"Middle Income",TRUE,"High Income")</f>
        <v>Low Income</v>
      </c>
      <c r="F211" s="16">
        <v>3</v>
      </c>
      <c r="G211" s="18" t="s">
        <v>19</v>
      </c>
      <c r="H211" s="18" t="s">
        <v>20</v>
      </c>
      <c r="I211" s="18" t="s">
        <v>15</v>
      </c>
      <c r="J211" s="16">
        <v>0</v>
      </c>
      <c r="K211" s="18" t="s">
        <v>16</v>
      </c>
      <c r="L211" s="18" t="s">
        <v>17</v>
      </c>
      <c r="M211" s="14">
        <v>42</v>
      </c>
      <c r="N211" s="18" t="str" cm="1">
        <f t="array" ref="N211">_xlfn.IFS(Cleaned_Working_Sheet!$M211&lt;=34,"Young",Cleaned_Working_Sheet!$M211&lt;=54,"Middle-aged",Cleaned_Working_Sheet!$M211&gt;54,"Old")</f>
        <v>Middle-aged</v>
      </c>
      <c r="O211" s="18" t="s">
        <v>15</v>
      </c>
    </row>
    <row r="212" spans="1:15" x14ac:dyDescent="0.25">
      <c r="A212" s="14">
        <v>14669</v>
      </c>
      <c r="B212" s="18" t="s">
        <v>36</v>
      </c>
      <c r="C212" s="18" t="s">
        <v>38</v>
      </c>
      <c r="D212" s="6">
        <v>80000</v>
      </c>
      <c r="E212" s="18" t="str" cm="1">
        <f t="array" ref="E212">_xlfn.IFS(Cleaned_Working_Sheet!$D212&lt;=50000,"Low Income",Cleaned_Working_Sheet!$D212&lt;100000,"Middle Income",TRUE,"High Income")</f>
        <v>Middle Income</v>
      </c>
      <c r="F212" s="16">
        <v>4</v>
      </c>
      <c r="G212" s="18" t="s">
        <v>31</v>
      </c>
      <c r="H212" s="18" t="s">
        <v>28</v>
      </c>
      <c r="I212" s="18" t="s">
        <v>15</v>
      </c>
      <c r="J212" s="16">
        <v>1</v>
      </c>
      <c r="K212" s="18" t="s">
        <v>16</v>
      </c>
      <c r="L212" s="18" t="s">
        <v>24</v>
      </c>
      <c r="M212" s="14">
        <v>36</v>
      </c>
      <c r="N212" s="18" t="str" cm="1">
        <f t="array" ref="N212">_xlfn.IFS(Cleaned_Working_Sheet!$M212&lt;=34,"Young",Cleaned_Working_Sheet!$M212&lt;=54,"Middle-aged",Cleaned_Working_Sheet!$M212&gt;54,"Old")</f>
        <v>Middle-aged</v>
      </c>
      <c r="O212" s="18" t="s">
        <v>18</v>
      </c>
    </row>
    <row r="213" spans="1:15" x14ac:dyDescent="0.25">
      <c r="A213" s="14">
        <v>19299</v>
      </c>
      <c r="B213" s="18" t="s">
        <v>36</v>
      </c>
      <c r="C213" s="18" t="s">
        <v>38</v>
      </c>
      <c r="D213" s="6">
        <v>50000</v>
      </c>
      <c r="E213" s="18" t="str" cm="1">
        <f t="array" ref="E213">_xlfn.IFS(Cleaned_Working_Sheet!$D213&lt;=50000,"Low Income",Cleaned_Working_Sheet!$D213&lt;100000,"Middle Income",TRUE,"High Income")</f>
        <v>Low Income</v>
      </c>
      <c r="F213" s="16">
        <v>0</v>
      </c>
      <c r="G213" s="18" t="s">
        <v>31</v>
      </c>
      <c r="H213" s="18" t="s">
        <v>14</v>
      </c>
      <c r="I213" s="18" t="s">
        <v>15</v>
      </c>
      <c r="J213" s="16">
        <v>0</v>
      </c>
      <c r="K213" s="18" t="s">
        <v>16</v>
      </c>
      <c r="L213" s="18" t="s">
        <v>17</v>
      </c>
      <c r="M213" s="14">
        <v>36</v>
      </c>
      <c r="N213" s="18" t="str" cm="1">
        <f t="array" ref="N213">_xlfn.IFS(Cleaned_Working_Sheet!$M213&lt;=34,"Young",Cleaned_Working_Sheet!$M213&lt;=54,"Middle-aged",Cleaned_Working_Sheet!$M213&gt;54,"Old")</f>
        <v>Middle-aged</v>
      </c>
      <c r="O213" s="18" t="s">
        <v>15</v>
      </c>
    </row>
    <row r="214" spans="1:15" x14ac:dyDescent="0.25">
      <c r="A214" s="14">
        <v>20946</v>
      </c>
      <c r="B214" s="18" t="s">
        <v>37</v>
      </c>
      <c r="C214" s="18" t="s">
        <v>38</v>
      </c>
      <c r="D214" s="6">
        <v>30000</v>
      </c>
      <c r="E214" s="18" t="str" cm="1">
        <f t="array" ref="E214">_xlfn.IFS(Cleaned_Working_Sheet!$D214&lt;=50000,"Low Income",Cleaned_Working_Sheet!$D214&lt;100000,"Middle Income",TRUE,"High Income")</f>
        <v>Low Income</v>
      </c>
      <c r="F214" s="16">
        <v>0</v>
      </c>
      <c r="G214" s="18" t="s">
        <v>19</v>
      </c>
      <c r="H214" s="18" t="s">
        <v>20</v>
      </c>
      <c r="I214" s="18" t="s">
        <v>18</v>
      </c>
      <c r="J214" s="16">
        <v>1</v>
      </c>
      <c r="K214" s="18" t="s">
        <v>22</v>
      </c>
      <c r="L214" s="18" t="s">
        <v>17</v>
      </c>
      <c r="M214" s="14">
        <v>30</v>
      </c>
      <c r="N214" s="18" t="str" cm="1">
        <f t="array" ref="N214">_xlfn.IFS(Cleaned_Working_Sheet!$M214&lt;=34,"Young",Cleaned_Working_Sheet!$M214&lt;=54,"Middle-aged",Cleaned_Working_Sheet!$M214&gt;54,"Old")</f>
        <v>Young</v>
      </c>
      <c r="O214" s="18" t="s">
        <v>18</v>
      </c>
    </row>
    <row r="215" spans="1:15" x14ac:dyDescent="0.25">
      <c r="A215" s="14">
        <v>11451</v>
      </c>
      <c r="B215" s="18" t="s">
        <v>37</v>
      </c>
      <c r="C215" s="18" t="s">
        <v>39</v>
      </c>
      <c r="D215" s="6">
        <v>70000</v>
      </c>
      <c r="E215" s="18" t="str" cm="1">
        <f t="array" ref="E215">_xlfn.IFS(Cleaned_Working_Sheet!$D215&lt;=50000,"Low Income",Cleaned_Working_Sheet!$D215&lt;100000,"Middle Income",TRUE,"High Income")</f>
        <v>Middle Income</v>
      </c>
      <c r="F215" s="16">
        <v>0</v>
      </c>
      <c r="G215" s="18" t="s">
        <v>13</v>
      </c>
      <c r="H215" s="18" t="s">
        <v>21</v>
      </c>
      <c r="I215" s="18" t="s">
        <v>18</v>
      </c>
      <c r="J215" s="16">
        <v>4</v>
      </c>
      <c r="K215" s="18" t="s">
        <v>43</v>
      </c>
      <c r="L215" s="18" t="s">
        <v>24</v>
      </c>
      <c r="M215" s="14">
        <v>31</v>
      </c>
      <c r="N215" s="18" t="str" cm="1">
        <f t="array" ref="N215">_xlfn.IFS(Cleaned_Working_Sheet!$M215&lt;=34,"Young",Cleaned_Working_Sheet!$M215&lt;=54,"Middle-aged",Cleaned_Working_Sheet!$M215&gt;54,"Old")</f>
        <v>Young</v>
      </c>
      <c r="O215" s="18" t="s">
        <v>15</v>
      </c>
    </row>
    <row r="216" spans="1:15" x14ac:dyDescent="0.25">
      <c r="A216" s="14">
        <v>25553</v>
      </c>
      <c r="B216" s="18" t="s">
        <v>36</v>
      </c>
      <c r="C216" s="18" t="s">
        <v>39</v>
      </c>
      <c r="D216" s="6">
        <v>30000</v>
      </c>
      <c r="E216" s="18" t="str" cm="1">
        <f t="array" ref="E216">_xlfn.IFS(Cleaned_Working_Sheet!$D216&lt;=50000,"Low Income",Cleaned_Working_Sheet!$D216&lt;100000,"Middle Income",TRUE,"High Income")</f>
        <v>Low Income</v>
      </c>
      <c r="F216" s="16">
        <v>1</v>
      </c>
      <c r="G216" s="18" t="s">
        <v>13</v>
      </c>
      <c r="H216" s="18" t="s">
        <v>20</v>
      </c>
      <c r="I216" s="18" t="s">
        <v>15</v>
      </c>
      <c r="J216" s="16">
        <v>0</v>
      </c>
      <c r="K216" s="18" t="s">
        <v>16</v>
      </c>
      <c r="L216" s="18" t="s">
        <v>17</v>
      </c>
      <c r="M216" s="14">
        <v>65</v>
      </c>
      <c r="N216" s="18" t="str" cm="1">
        <f t="array" ref="N216">_xlfn.IFS(Cleaned_Working_Sheet!$M216&lt;=34,"Young",Cleaned_Working_Sheet!$M216&lt;=54,"Middle-aged",Cleaned_Working_Sheet!$M216&gt;54,"Old")</f>
        <v>Old</v>
      </c>
      <c r="O216" s="18" t="s">
        <v>15</v>
      </c>
    </row>
    <row r="217" spans="1:15" x14ac:dyDescent="0.25">
      <c r="A217" s="14">
        <v>27951</v>
      </c>
      <c r="B217" s="18" t="s">
        <v>37</v>
      </c>
      <c r="C217" s="18" t="s">
        <v>39</v>
      </c>
      <c r="D217" s="6">
        <v>80000</v>
      </c>
      <c r="E217" s="18" t="str" cm="1">
        <f t="array" ref="E217">_xlfn.IFS(Cleaned_Working_Sheet!$D217&lt;=50000,"Low Income",Cleaned_Working_Sheet!$D217&lt;100000,"Middle Income",TRUE,"High Income")</f>
        <v>Middle Income</v>
      </c>
      <c r="F217" s="16">
        <v>4</v>
      </c>
      <c r="G217" s="18" t="s">
        <v>19</v>
      </c>
      <c r="H217" s="18" t="s">
        <v>21</v>
      </c>
      <c r="I217" s="18" t="s">
        <v>18</v>
      </c>
      <c r="J217" s="16">
        <v>2</v>
      </c>
      <c r="K217" s="18" t="s">
        <v>22</v>
      </c>
      <c r="L217" s="18" t="s">
        <v>17</v>
      </c>
      <c r="M217" s="14">
        <v>54</v>
      </c>
      <c r="N217" s="18" t="str" cm="1">
        <f t="array" ref="N217">_xlfn.IFS(Cleaned_Working_Sheet!$M217&lt;=34,"Young",Cleaned_Working_Sheet!$M217&lt;=54,"Middle-aged",Cleaned_Working_Sheet!$M217&gt;54,"Old")</f>
        <v>Middle-aged</v>
      </c>
      <c r="O217" s="18" t="s">
        <v>15</v>
      </c>
    </row>
    <row r="218" spans="1:15" x14ac:dyDescent="0.25">
      <c r="A218" s="14">
        <v>25026</v>
      </c>
      <c r="B218" s="18" t="s">
        <v>36</v>
      </c>
      <c r="C218" s="18" t="s">
        <v>39</v>
      </c>
      <c r="D218" s="6">
        <v>20000</v>
      </c>
      <c r="E218" s="18" t="str" cm="1">
        <f t="array" ref="E218">_xlfn.IFS(Cleaned_Working_Sheet!$D218&lt;=50000,"Low Income",Cleaned_Working_Sheet!$D218&lt;100000,"Middle Income",TRUE,"High Income")</f>
        <v>Low Income</v>
      </c>
      <c r="F218" s="16">
        <v>2</v>
      </c>
      <c r="G218" s="18" t="s">
        <v>29</v>
      </c>
      <c r="H218" s="18" t="s">
        <v>20</v>
      </c>
      <c r="I218" s="18" t="s">
        <v>15</v>
      </c>
      <c r="J218" s="16">
        <v>3</v>
      </c>
      <c r="K218" s="18" t="s">
        <v>23</v>
      </c>
      <c r="L218" s="18" t="s">
        <v>24</v>
      </c>
      <c r="M218" s="14">
        <v>54</v>
      </c>
      <c r="N218" s="18" t="str" cm="1">
        <f t="array" ref="N218">_xlfn.IFS(Cleaned_Working_Sheet!$M218&lt;=34,"Young",Cleaned_Working_Sheet!$M218&lt;=54,"Middle-aged",Cleaned_Working_Sheet!$M218&gt;54,"Old")</f>
        <v>Middle-aged</v>
      </c>
      <c r="O218" s="18" t="s">
        <v>18</v>
      </c>
    </row>
    <row r="219" spans="1:15" x14ac:dyDescent="0.25">
      <c r="A219" s="14">
        <v>13673</v>
      </c>
      <c r="B219" s="18" t="s">
        <v>37</v>
      </c>
      <c r="C219" s="18" t="s">
        <v>38</v>
      </c>
      <c r="D219" s="6">
        <v>20000</v>
      </c>
      <c r="E219" s="18" t="str" cm="1">
        <f t="array" ref="E219">_xlfn.IFS(Cleaned_Working_Sheet!$D219&lt;=50000,"Low Income",Cleaned_Working_Sheet!$D219&lt;100000,"Middle Income",TRUE,"High Income")</f>
        <v>Low Income</v>
      </c>
      <c r="F219" s="16">
        <v>0</v>
      </c>
      <c r="G219" s="18" t="s">
        <v>29</v>
      </c>
      <c r="H219" s="18" t="s">
        <v>25</v>
      </c>
      <c r="I219" s="18" t="s">
        <v>18</v>
      </c>
      <c r="J219" s="16">
        <v>2</v>
      </c>
      <c r="K219" s="18" t="s">
        <v>16</v>
      </c>
      <c r="L219" s="18" t="s">
        <v>17</v>
      </c>
      <c r="M219" s="14">
        <v>25</v>
      </c>
      <c r="N219" s="18" t="str" cm="1">
        <f t="array" ref="N219">_xlfn.IFS(Cleaned_Working_Sheet!$M219&lt;=34,"Young",Cleaned_Working_Sheet!$M219&lt;=54,"Middle-aged",Cleaned_Working_Sheet!$M219&gt;54,"Old")</f>
        <v>Young</v>
      </c>
      <c r="O219" s="18" t="s">
        <v>18</v>
      </c>
    </row>
    <row r="220" spans="1:15" x14ac:dyDescent="0.25">
      <c r="A220" s="14">
        <v>16043</v>
      </c>
      <c r="B220" s="18" t="s">
        <v>37</v>
      </c>
      <c r="C220" s="18" t="s">
        <v>39</v>
      </c>
      <c r="D220" s="6">
        <v>10000</v>
      </c>
      <c r="E220" s="18" t="str" cm="1">
        <f t="array" ref="E220">_xlfn.IFS(Cleaned_Working_Sheet!$D220&lt;=50000,"Low Income",Cleaned_Working_Sheet!$D220&lt;100000,"Middle Income",TRUE,"High Income")</f>
        <v>Low Income</v>
      </c>
      <c r="F220" s="16">
        <v>1</v>
      </c>
      <c r="G220" s="18" t="s">
        <v>13</v>
      </c>
      <c r="H220" s="18" t="s">
        <v>25</v>
      </c>
      <c r="I220" s="18" t="s">
        <v>15</v>
      </c>
      <c r="J220" s="16">
        <v>0</v>
      </c>
      <c r="K220" s="18" t="s">
        <v>16</v>
      </c>
      <c r="L220" s="18" t="s">
        <v>17</v>
      </c>
      <c r="M220" s="14">
        <v>48</v>
      </c>
      <c r="N220" s="18" t="str" cm="1">
        <f t="array" ref="N220">_xlfn.IFS(Cleaned_Working_Sheet!$M220&lt;=34,"Young",Cleaned_Working_Sheet!$M220&lt;=54,"Middle-aged",Cleaned_Working_Sheet!$M220&gt;54,"Old")</f>
        <v>Middle-aged</v>
      </c>
      <c r="O220" s="18" t="s">
        <v>18</v>
      </c>
    </row>
    <row r="221" spans="1:15" x14ac:dyDescent="0.25">
      <c r="A221" s="14">
        <v>22399</v>
      </c>
      <c r="B221" s="18" t="s">
        <v>37</v>
      </c>
      <c r="C221" s="18" t="s">
        <v>39</v>
      </c>
      <c r="D221" s="6">
        <v>10000</v>
      </c>
      <c r="E221" s="18" t="str" cm="1">
        <f t="array" ref="E221">_xlfn.IFS(Cleaned_Working_Sheet!$D221&lt;=50000,"Low Income",Cleaned_Working_Sheet!$D221&lt;100000,"Middle Income",TRUE,"High Income")</f>
        <v>Low Income</v>
      </c>
      <c r="F221" s="16">
        <v>0</v>
      </c>
      <c r="G221" s="18" t="s">
        <v>19</v>
      </c>
      <c r="H221" s="18" t="s">
        <v>25</v>
      </c>
      <c r="I221" s="18" t="s">
        <v>15</v>
      </c>
      <c r="J221" s="16">
        <v>1</v>
      </c>
      <c r="K221" s="18" t="s">
        <v>26</v>
      </c>
      <c r="L221" s="18" t="s">
        <v>24</v>
      </c>
      <c r="M221" s="14">
        <v>26</v>
      </c>
      <c r="N221" s="18" t="str" cm="1">
        <f t="array" ref="N221">_xlfn.IFS(Cleaned_Working_Sheet!$M221&lt;=34,"Young",Cleaned_Working_Sheet!$M221&lt;=54,"Middle-aged",Cleaned_Working_Sheet!$M221&gt;54,"Old")</f>
        <v>Young</v>
      </c>
      <c r="O221" s="18" t="s">
        <v>15</v>
      </c>
    </row>
    <row r="222" spans="1:15" x14ac:dyDescent="0.25">
      <c r="A222" s="14">
        <v>27696</v>
      </c>
      <c r="B222" s="18" t="s">
        <v>36</v>
      </c>
      <c r="C222" s="18" t="s">
        <v>39</v>
      </c>
      <c r="D222" s="6">
        <v>60000</v>
      </c>
      <c r="E222" s="18" t="str" cm="1">
        <f t="array" ref="E222">_xlfn.IFS(Cleaned_Working_Sheet!$D222&lt;=50000,"Low Income",Cleaned_Working_Sheet!$D222&lt;100000,"Middle Income",TRUE,"High Income")</f>
        <v>Middle Income</v>
      </c>
      <c r="F222" s="16">
        <v>1</v>
      </c>
      <c r="G222" s="18" t="s">
        <v>13</v>
      </c>
      <c r="H222" s="18" t="s">
        <v>21</v>
      </c>
      <c r="I222" s="18" t="s">
        <v>15</v>
      </c>
      <c r="J222" s="16">
        <v>1</v>
      </c>
      <c r="K222" s="18" t="s">
        <v>23</v>
      </c>
      <c r="L222" s="18" t="s">
        <v>24</v>
      </c>
      <c r="M222" s="14">
        <v>43</v>
      </c>
      <c r="N222" s="18" t="str" cm="1">
        <f t="array" ref="N222">_xlfn.IFS(Cleaned_Working_Sheet!$M222&lt;=34,"Young",Cleaned_Working_Sheet!$M222&lt;=54,"Middle-aged",Cleaned_Working_Sheet!$M222&gt;54,"Old")</f>
        <v>Middle-aged</v>
      </c>
      <c r="O222" s="18" t="s">
        <v>15</v>
      </c>
    </row>
    <row r="223" spans="1:15" x14ac:dyDescent="0.25">
      <c r="A223" s="14">
        <v>25313</v>
      </c>
      <c r="B223" s="18" t="s">
        <v>37</v>
      </c>
      <c r="C223" s="18" t="s">
        <v>39</v>
      </c>
      <c r="D223" s="6">
        <v>10000</v>
      </c>
      <c r="E223" s="18" t="str" cm="1">
        <f t="array" ref="E223">_xlfn.IFS(Cleaned_Working_Sheet!$D223&lt;=50000,"Low Income",Cleaned_Working_Sheet!$D223&lt;100000,"Middle Income",TRUE,"High Income")</f>
        <v>Low Income</v>
      </c>
      <c r="F223" s="16">
        <v>0</v>
      </c>
      <c r="G223" s="18" t="s">
        <v>29</v>
      </c>
      <c r="H223" s="18" t="s">
        <v>25</v>
      </c>
      <c r="I223" s="18" t="s">
        <v>18</v>
      </c>
      <c r="J223" s="16">
        <v>2</v>
      </c>
      <c r="K223" s="18" t="s">
        <v>26</v>
      </c>
      <c r="L223" s="18" t="s">
        <v>17</v>
      </c>
      <c r="M223" s="14">
        <v>35</v>
      </c>
      <c r="N223" s="18" t="str" cm="1">
        <f t="array" ref="N223">_xlfn.IFS(Cleaned_Working_Sheet!$M223&lt;=34,"Young",Cleaned_Working_Sheet!$M223&lt;=54,"Middle-aged",Cleaned_Working_Sheet!$M223&gt;54,"Old")</f>
        <v>Middle-aged</v>
      </c>
      <c r="O223" s="18" t="s">
        <v>18</v>
      </c>
    </row>
    <row r="224" spans="1:15" x14ac:dyDescent="0.25">
      <c r="A224" s="14">
        <v>13813</v>
      </c>
      <c r="B224" s="18" t="s">
        <v>36</v>
      </c>
      <c r="C224" s="18" t="s">
        <v>38</v>
      </c>
      <c r="D224" s="6">
        <v>30000</v>
      </c>
      <c r="E224" s="18" t="str" cm="1">
        <f t="array" ref="E224">_xlfn.IFS(Cleaned_Working_Sheet!$D224&lt;=50000,"Low Income",Cleaned_Working_Sheet!$D224&lt;100000,"Middle Income",TRUE,"High Income")</f>
        <v>Low Income</v>
      </c>
      <c r="F224" s="16">
        <v>3</v>
      </c>
      <c r="G224" s="18" t="s">
        <v>19</v>
      </c>
      <c r="H224" s="18" t="s">
        <v>20</v>
      </c>
      <c r="I224" s="18" t="s">
        <v>18</v>
      </c>
      <c r="J224" s="16">
        <v>0</v>
      </c>
      <c r="K224" s="18" t="s">
        <v>16</v>
      </c>
      <c r="L224" s="18" t="s">
        <v>17</v>
      </c>
      <c r="M224" s="14">
        <v>42</v>
      </c>
      <c r="N224" s="18" t="str" cm="1">
        <f t="array" ref="N224">_xlfn.IFS(Cleaned_Working_Sheet!$M224&lt;=34,"Young",Cleaned_Working_Sheet!$M224&lt;=54,"Middle-aged",Cleaned_Working_Sheet!$M224&gt;54,"Old")</f>
        <v>Middle-aged</v>
      </c>
      <c r="O224" s="18" t="s">
        <v>18</v>
      </c>
    </row>
    <row r="225" spans="1:15" x14ac:dyDescent="0.25">
      <c r="A225" s="14">
        <v>18711</v>
      </c>
      <c r="B225" s="18" t="s">
        <v>37</v>
      </c>
      <c r="C225" s="18" t="s">
        <v>38</v>
      </c>
      <c r="D225" s="6">
        <v>70000</v>
      </c>
      <c r="E225" s="18" t="str" cm="1">
        <f t="array" ref="E225">_xlfn.IFS(Cleaned_Working_Sheet!$D225&lt;=50000,"Low Income",Cleaned_Working_Sheet!$D225&lt;100000,"Middle Income",TRUE,"High Income")</f>
        <v>Middle Income</v>
      </c>
      <c r="F225" s="16">
        <v>5</v>
      </c>
      <c r="G225" s="18" t="s">
        <v>13</v>
      </c>
      <c r="H225" s="18" t="s">
        <v>21</v>
      </c>
      <c r="I225" s="18" t="s">
        <v>15</v>
      </c>
      <c r="J225" s="16">
        <v>4</v>
      </c>
      <c r="K225" s="18" t="s">
        <v>43</v>
      </c>
      <c r="L225" s="18" t="s">
        <v>24</v>
      </c>
      <c r="M225" s="14">
        <v>39</v>
      </c>
      <c r="N225" s="18" t="str" cm="1">
        <f t="array" ref="N225">_xlfn.IFS(Cleaned_Working_Sheet!$M225&lt;=34,"Young",Cleaned_Working_Sheet!$M225&lt;=54,"Middle-aged",Cleaned_Working_Sheet!$M225&gt;54,"Old")</f>
        <v>Middle-aged</v>
      </c>
      <c r="O225" s="18" t="s">
        <v>18</v>
      </c>
    </row>
    <row r="226" spans="1:15" x14ac:dyDescent="0.25">
      <c r="A226" s="14">
        <v>19650</v>
      </c>
      <c r="B226" s="18" t="s">
        <v>36</v>
      </c>
      <c r="C226" s="18" t="s">
        <v>38</v>
      </c>
      <c r="D226" s="6">
        <v>30000</v>
      </c>
      <c r="E226" s="18" t="str" cm="1">
        <f t="array" ref="E226">_xlfn.IFS(Cleaned_Working_Sheet!$D226&lt;=50000,"Low Income",Cleaned_Working_Sheet!$D226&lt;100000,"Middle Income",TRUE,"High Income")</f>
        <v>Low Income</v>
      </c>
      <c r="F226" s="16">
        <v>2</v>
      </c>
      <c r="G226" s="18" t="s">
        <v>19</v>
      </c>
      <c r="H226" s="18" t="s">
        <v>20</v>
      </c>
      <c r="I226" s="18" t="s">
        <v>18</v>
      </c>
      <c r="J226" s="16">
        <v>2</v>
      </c>
      <c r="K226" s="18" t="s">
        <v>16</v>
      </c>
      <c r="L226" s="18" t="s">
        <v>24</v>
      </c>
      <c r="M226" s="14">
        <v>67</v>
      </c>
      <c r="N226" s="18" t="str" cm="1">
        <f t="array" ref="N226">_xlfn.IFS(Cleaned_Working_Sheet!$M226&lt;=34,"Young",Cleaned_Working_Sheet!$M226&lt;=54,"Middle-aged",Cleaned_Working_Sheet!$M226&gt;54,"Old")</f>
        <v>Old</v>
      </c>
      <c r="O226" s="18" t="s">
        <v>18</v>
      </c>
    </row>
    <row r="227" spans="1:15" x14ac:dyDescent="0.25">
      <c r="A227" s="14">
        <v>14135</v>
      </c>
      <c r="B227" s="18" t="s">
        <v>36</v>
      </c>
      <c r="C227" s="18" t="s">
        <v>39</v>
      </c>
      <c r="D227" s="6">
        <v>20000</v>
      </c>
      <c r="E227" s="18" t="str" cm="1">
        <f t="array" ref="E227">_xlfn.IFS(Cleaned_Working_Sheet!$D227&lt;=50000,"Low Income",Cleaned_Working_Sheet!$D227&lt;100000,"Middle Income",TRUE,"High Income")</f>
        <v>Low Income</v>
      </c>
      <c r="F227" s="16">
        <v>1</v>
      </c>
      <c r="G227" s="18" t="s">
        <v>19</v>
      </c>
      <c r="H227" s="18" t="s">
        <v>25</v>
      </c>
      <c r="I227" s="18" t="s">
        <v>15</v>
      </c>
      <c r="J227" s="16">
        <v>0</v>
      </c>
      <c r="K227" s="18" t="s">
        <v>26</v>
      </c>
      <c r="L227" s="18" t="s">
        <v>17</v>
      </c>
      <c r="M227" s="14">
        <v>35</v>
      </c>
      <c r="N227" s="18" t="str" cm="1">
        <f t="array" ref="N227">_xlfn.IFS(Cleaned_Working_Sheet!$M227&lt;=34,"Young",Cleaned_Working_Sheet!$M227&lt;=54,"Middle-aged",Cleaned_Working_Sheet!$M227&gt;54,"Old")</f>
        <v>Middle-aged</v>
      </c>
      <c r="O227" s="18" t="s">
        <v>18</v>
      </c>
    </row>
    <row r="228" spans="1:15" x14ac:dyDescent="0.25">
      <c r="A228" s="14">
        <v>12833</v>
      </c>
      <c r="B228" s="18" t="s">
        <v>37</v>
      </c>
      <c r="C228" s="18" t="s">
        <v>38</v>
      </c>
      <c r="D228" s="6">
        <v>20000</v>
      </c>
      <c r="E228" s="18" t="str" cm="1">
        <f t="array" ref="E228">_xlfn.IFS(Cleaned_Working_Sheet!$D228&lt;=50000,"Low Income",Cleaned_Working_Sheet!$D228&lt;100000,"Middle Income",TRUE,"High Income")</f>
        <v>Low Income</v>
      </c>
      <c r="F228" s="16">
        <v>3</v>
      </c>
      <c r="G228" s="18" t="s">
        <v>27</v>
      </c>
      <c r="H228" s="18" t="s">
        <v>25</v>
      </c>
      <c r="I228" s="18" t="s">
        <v>15</v>
      </c>
      <c r="J228" s="16">
        <v>1</v>
      </c>
      <c r="K228" s="18" t="s">
        <v>16</v>
      </c>
      <c r="L228" s="18" t="s">
        <v>17</v>
      </c>
      <c r="M228" s="14">
        <v>42</v>
      </c>
      <c r="N228" s="18" t="str" cm="1">
        <f t="array" ref="N228">_xlfn.IFS(Cleaned_Working_Sheet!$M228&lt;=34,"Young",Cleaned_Working_Sheet!$M228&lt;=54,"Middle-aged",Cleaned_Working_Sheet!$M228&gt;54,"Old")</f>
        <v>Middle-aged</v>
      </c>
      <c r="O228" s="18" t="s">
        <v>15</v>
      </c>
    </row>
    <row r="229" spans="1:15" x14ac:dyDescent="0.25">
      <c r="A229" s="14">
        <v>26849</v>
      </c>
      <c r="B229" s="18" t="s">
        <v>36</v>
      </c>
      <c r="C229" s="18" t="s">
        <v>39</v>
      </c>
      <c r="D229" s="6">
        <v>10000</v>
      </c>
      <c r="E229" s="18" t="str" cm="1">
        <f t="array" ref="E229">_xlfn.IFS(Cleaned_Working_Sheet!$D229&lt;=50000,"Low Income",Cleaned_Working_Sheet!$D229&lt;100000,"Middle Income",TRUE,"High Income")</f>
        <v>Low Income</v>
      </c>
      <c r="F229" s="16">
        <v>3</v>
      </c>
      <c r="G229" s="18" t="s">
        <v>29</v>
      </c>
      <c r="H229" s="18" t="s">
        <v>25</v>
      </c>
      <c r="I229" s="18" t="s">
        <v>15</v>
      </c>
      <c r="J229" s="16">
        <v>2</v>
      </c>
      <c r="K229" s="18" t="s">
        <v>16</v>
      </c>
      <c r="L229" s="18" t="s">
        <v>17</v>
      </c>
      <c r="M229" s="14">
        <v>43</v>
      </c>
      <c r="N229" s="18" t="str" cm="1">
        <f t="array" ref="N229">_xlfn.IFS(Cleaned_Working_Sheet!$M229&lt;=34,"Young",Cleaned_Working_Sheet!$M229&lt;=54,"Middle-aged",Cleaned_Working_Sheet!$M229&gt;54,"Old")</f>
        <v>Middle-aged</v>
      </c>
      <c r="O229" s="18" t="s">
        <v>18</v>
      </c>
    </row>
    <row r="230" spans="1:15" x14ac:dyDescent="0.25">
      <c r="A230" s="14">
        <v>20962</v>
      </c>
      <c r="B230" s="18" t="s">
        <v>36</v>
      </c>
      <c r="C230" s="18" t="s">
        <v>38</v>
      </c>
      <c r="D230" s="6">
        <v>20000</v>
      </c>
      <c r="E230" s="18" t="str" cm="1">
        <f t="array" ref="E230">_xlfn.IFS(Cleaned_Working_Sheet!$D230&lt;=50000,"Low Income",Cleaned_Working_Sheet!$D230&lt;100000,"Middle Income",TRUE,"High Income")</f>
        <v>Low Income</v>
      </c>
      <c r="F230" s="16">
        <v>1</v>
      </c>
      <c r="G230" s="18" t="s">
        <v>31</v>
      </c>
      <c r="H230" s="18" t="s">
        <v>20</v>
      </c>
      <c r="I230" s="18" t="s">
        <v>15</v>
      </c>
      <c r="J230" s="16">
        <v>0</v>
      </c>
      <c r="K230" s="18" t="s">
        <v>16</v>
      </c>
      <c r="L230" s="18" t="s">
        <v>17</v>
      </c>
      <c r="M230" s="14">
        <v>45</v>
      </c>
      <c r="N230" s="18" t="str" cm="1">
        <f t="array" ref="N230">_xlfn.IFS(Cleaned_Working_Sheet!$M230&lt;=34,"Young",Cleaned_Working_Sheet!$M230&lt;=54,"Middle-aged",Cleaned_Working_Sheet!$M230&gt;54,"Old")</f>
        <v>Middle-aged</v>
      </c>
      <c r="O230" s="18" t="s">
        <v>18</v>
      </c>
    </row>
    <row r="231" spans="1:15" x14ac:dyDescent="0.25">
      <c r="A231" s="14">
        <v>28915</v>
      </c>
      <c r="B231" s="18" t="s">
        <v>37</v>
      </c>
      <c r="C231" s="18" t="s">
        <v>39</v>
      </c>
      <c r="D231" s="6">
        <v>80000</v>
      </c>
      <c r="E231" s="18" t="str" cm="1">
        <f t="array" ref="E231">_xlfn.IFS(Cleaned_Working_Sheet!$D231&lt;=50000,"Low Income",Cleaned_Working_Sheet!$D231&lt;100000,"Middle Income",TRUE,"High Income")</f>
        <v>Middle Income</v>
      </c>
      <c r="F231" s="16">
        <v>5</v>
      </c>
      <c r="G231" s="18" t="s">
        <v>27</v>
      </c>
      <c r="H231" s="18" t="s">
        <v>28</v>
      </c>
      <c r="I231" s="18" t="s">
        <v>15</v>
      </c>
      <c r="J231" s="16">
        <v>3</v>
      </c>
      <c r="K231" s="18" t="s">
        <v>43</v>
      </c>
      <c r="L231" s="18" t="s">
        <v>17</v>
      </c>
      <c r="M231" s="14">
        <v>57</v>
      </c>
      <c r="N231" s="18" t="str" cm="1">
        <f t="array" ref="N231">_xlfn.IFS(Cleaned_Working_Sheet!$M231&lt;=34,"Young",Cleaned_Working_Sheet!$M231&lt;=54,"Middle-aged",Cleaned_Working_Sheet!$M231&gt;54,"Old")</f>
        <v>Old</v>
      </c>
      <c r="O231" s="18" t="s">
        <v>18</v>
      </c>
    </row>
    <row r="232" spans="1:15" x14ac:dyDescent="0.25">
      <c r="A232" s="14">
        <v>22830</v>
      </c>
      <c r="B232" s="18" t="s">
        <v>36</v>
      </c>
      <c r="C232" s="18" t="s">
        <v>39</v>
      </c>
      <c r="D232" s="6">
        <v>120000</v>
      </c>
      <c r="E232" s="18" t="str" cm="1">
        <f t="array" ref="E232">_xlfn.IFS(Cleaned_Working_Sheet!$D232&lt;=50000,"Low Income",Cleaned_Working_Sheet!$D232&lt;100000,"Middle Income",TRUE,"High Income")</f>
        <v>High Income</v>
      </c>
      <c r="F232" s="16">
        <v>4</v>
      </c>
      <c r="G232" s="18" t="s">
        <v>19</v>
      </c>
      <c r="H232" s="18" t="s">
        <v>28</v>
      </c>
      <c r="I232" s="18" t="s">
        <v>15</v>
      </c>
      <c r="J232" s="16">
        <v>3</v>
      </c>
      <c r="K232" s="18" t="s">
        <v>43</v>
      </c>
      <c r="L232" s="18" t="s">
        <v>17</v>
      </c>
      <c r="M232" s="14">
        <v>56</v>
      </c>
      <c r="N232" s="18" t="str" cm="1">
        <f t="array" ref="N232">_xlfn.IFS(Cleaned_Working_Sheet!$M232&lt;=34,"Young",Cleaned_Working_Sheet!$M232&lt;=54,"Middle-aged",Cleaned_Working_Sheet!$M232&gt;54,"Old")</f>
        <v>Old</v>
      </c>
      <c r="O232" s="18" t="s">
        <v>18</v>
      </c>
    </row>
    <row r="233" spans="1:15" x14ac:dyDescent="0.25">
      <c r="A233" s="14">
        <v>14777</v>
      </c>
      <c r="B233" s="18" t="s">
        <v>36</v>
      </c>
      <c r="C233" s="18" t="s">
        <v>38</v>
      </c>
      <c r="D233" s="6">
        <v>40000</v>
      </c>
      <c r="E233" s="18" t="str" cm="1">
        <f t="array" ref="E233">_xlfn.IFS(Cleaned_Working_Sheet!$D233&lt;=50000,"Low Income",Cleaned_Working_Sheet!$D233&lt;100000,"Middle Income",TRUE,"High Income")</f>
        <v>Low Income</v>
      </c>
      <c r="F233" s="16">
        <v>0</v>
      </c>
      <c r="G233" s="18" t="s">
        <v>13</v>
      </c>
      <c r="H233" s="18" t="s">
        <v>20</v>
      </c>
      <c r="I233" s="18" t="s">
        <v>15</v>
      </c>
      <c r="J233" s="16">
        <v>0</v>
      </c>
      <c r="K233" s="18" t="s">
        <v>16</v>
      </c>
      <c r="L233" s="18" t="s">
        <v>17</v>
      </c>
      <c r="M233" s="14">
        <v>38</v>
      </c>
      <c r="N233" s="18" t="str" cm="1">
        <f t="array" ref="N233">_xlfn.IFS(Cleaned_Working_Sheet!$M233&lt;=34,"Young",Cleaned_Working_Sheet!$M233&lt;=54,"Middle-aged",Cleaned_Working_Sheet!$M233&gt;54,"Old")</f>
        <v>Middle-aged</v>
      </c>
      <c r="O233" s="18" t="s">
        <v>15</v>
      </c>
    </row>
    <row r="234" spans="1:15" x14ac:dyDescent="0.25">
      <c r="A234" s="14">
        <v>12591</v>
      </c>
      <c r="B234" s="18" t="s">
        <v>36</v>
      </c>
      <c r="C234" s="18" t="s">
        <v>38</v>
      </c>
      <c r="D234" s="6">
        <v>30000</v>
      </c>
      <c r="E234" s="18" t="str" cm="1">
        <f t="array" ref="E234">_xlfn.IFS(Cleaned_Working_Sheet!$D234&lt;=50000,"Low Income",Cleaned_Working_Sheet!$D234&lt;100000,"Middle Income",TRUE,"High Income")</f>
        <v>Low Income</v>
      </c>
      <c r="F234" s="16">
        <v>4</v>
      </c>
      <c r="G234" s="18" t="s">
        <v>31</v>
      </c>
      <c r="H234" s="18" t="s">
        <v>20</v>
      </c>
      <c r="I234" s="18" t="s">
        <v>15</v>
      </c>
      <c r="J234" s="16">
        <v>0</v>
      </c>
      <c r="K234" s="18" t="s">
        <v>16</v>
      </c>
      <c r="L234" s="18" t="s">
        <v>17</v>
      </c>
      <c r="M234" s="14">
        <v>45</v>
      </c>
      <c r="N234" s="18" t="str" cm="1">
        <f t="array" ref="N234">_xlfn.IFS(Cleaned_Working_Sheet!$M234&lt;=34,"Young",Cleaned_Working_Sheet!$M234&lt;=54,"Middle-aged",Cleaned_Working_Sheet!$M234&gt;54,"Old")</f>
        <v>Middle-aged</v>
      </c>
      <c r="O234" s="18" t="s">
        <v>18</v>
      </c>
    </row>
    <row r="235" spans="1:15" x14ac:dyDescent="0.25">
      <c r="A235" s="14">
        <v>24174</v>
      </c>
      <c r="B235" s="18" t="s">
        <v>36</v>
      </c>
      <c r="C235" s="18" t="s">
        <v>39</v>
      </c>
      <c r="D235" s="6">
        <v>20000</v>
      </c>
      <c r="E235" s="18" t="str" cm="1">
        <f t="array" ref="E235">_xlfn.IFS(Cleaned_Working_Sheet!$D235&lt;=50000,"Low Income",Cleaned_Working_Sheet!$D235&lt;100000,"Middle Income",TRUE,"High Income")</f>
        <v>Low Income</v>
      </c>
      <c r="F235" s="16">
        <v>0</v>
      </c>
      <c r="G235" s="18" t="s">
        <v>13</v>
      </c>
      <c r="H235" s="18" t="s">
        <v>20</v>
      </c>
      <c r="I235" s="18" t="s">
        <v>15</v>
      </c>
      <c r="J235" s="16">
        <v>0</v>
      </c>
      <c r="K235" s="18" t="s">
        <v>16</v>
      </c>
      <c r="L235" s="18" t="s">
        <v>24</v>
      </c>
      <c r="M235" s="14">
        <v>27</v>
      </c>
      <c r="N235" s="18" t="str" cm="1">
        <f t="array" ref="N235">_xlfn.IFS(Cleaned_Working_Sheet!$M235&lt;=34,"Young",Cleaned_Working_Sheet!$M235&lt;=54,"Middle-aged",Cleaned_Working_Sheet!$M235&gt;54,"Old")</f>
        <v>Young</v>
      </c>
      <c r="O235" s="18" t="s">
        <v>15</v>
      </c>
    </row>
    <row r="236" spans="1:15" x14ac:dyDescent="0.25">
      <c r="A236" s="14">
        <v>24611</v>
      </c>
      <c r="B236" s="18" t="s">
        <v>37</v>
      </c>
      <c r="C236" s="18" t="s">
        <v>39</v>
      </c>
      <c r="D236" s="6">
        <v>90000</v>
      </c>
      <c r="E236" s="18" t="str" cm="1">
        <f t="array" ref="E236">_xlfn.IFS(Cleaned_Working_Sheet!$D236&lt;=50000,"Low Income",Cleaned_Working_Sheet!$D236&lt;100000,"Middle Income",TRUE,"High Income")</f>
        <v>Middle Income</v>
      </c>
      <c r="F236" s="16">
        <v>0</v>
      </c>
      <c r="G236" s="18" t="s">
        <v>13</v>
      </c>
      <c r="H236" s="18" t="s">
        <v>21</v>
      </c>
      <c r="I236" s="18" t="s">
        <v>18</v>
      </c>
      <c r="J236" s="16">
        <v>4</v>
      </c>
      <c r="K236" s="18" t="s">
        <v>43</v>
      </c>
      <c r="L236" s="18" t="s">
        <v>24</v>
      </c>
      <c r="M236" s="14">
        <v>35</v>
      </c>
      <c r="N236" s="18" t="str" cm="1">
        <f t="array" ref="N236">_xlfn.IFS(Cleaned_Working_Sheet!$M236&lt;=34,"Young",Cleaned_Working_Sheet!$M236&lt;=54,"Middle-aged",Cleaned_Working_Sheet!$M236&gt;54,"Old")</f>
        <v>Middle-aged</v>
      </c>
      <c r="O236" s="18" t="s">
        <v>15</v>
      </c>
    </row>
    <row r="237" spans="1:15" x14ac:dyDescent="0.25">
      <c r="A237" s="14">
        <v>11340</v>
      </c>
      <c r="B237" s="18" t="s">
        <v>36</v>
      </c>
      <c r="C237" s="18" t="s">
        <v>38</v>
      </c>
      <c r="D237" s="6">
        <v>10000</v>
      </c>
      <c r="E237" s="18" t="str" cm="1">
        <f t="array" ref="E237">_xlfn.IFS(Cleaned_Working_Sheet!$D237&lt;=50000,"Low Income",Cleaned_Working_Sheet!$D237&lt;100000,"Middle Income",TRUE,"High Income")</f>
        <v>Low Income</v>
      </c>
      <c r="F237" s="16">
        <v>1</v>
      </c>
      <c r="G237" s="18" t="s">
        <v>31</v>
      </c>
      <c r="H237" s="18" t="s">
        <v>20</v>
      </c>
      <c r="I237" s="18" t="s">
        <v>15</v>
      </c>
      <c r="J237" s="16">
        <v>0</v>
      </c>
      <c r="K237" s="18" t="s">
        <v>16</v>
      </c>
      <c r="L237" s="18" t="s">
        <v>17</v>
      </c>
      <c r="M237" s="14">
        <v>70</v>
      </c>
      <c r="N237" s="18" t="str" cm="1">
        <f t="array" ref="N237">_xlfn.IFS(Cleaned_Working_Sheet!$M237&lt;=34,"Young",Cleaned_Working_Sheet!$M237&lt;=54,"Middle-aged",Cleaned_Working_Sheet!$M237&gt;54,"Old")</f>
        <v>Old</v>
      </c>
      <c r="O237" s="18" t="s">
        <v>15</v>
      </c>
    </row>
    <row r="238" spans="1:15" x14ac:dyDescent="0.25">
      <c r="A238" s="14">
        <v>25693</v>
      </c>
      <c r="B238" s="18" t="s">
        <v>37</v>
      </c>
      <c r="C238" s="18" t="s">
        <v>38</v>
      </c>
      <c r="D238" s="6">
        <v>30000</v>
      </c>
      <c r="E238" s="18" t="str" cm="1">
        <f t="array" ref="E238">_xlfn.IFS(Cleaned_Working_Sheet!$D238&lt;=50000,"Low Income",Cleaned_Working_Sheet!$D238&lt;100000,"Middle Income",TRUE,"High Income")</f>
        <v>Low Income</v>
      </c>
      <c r="F238" s="16">
        <v>5</v>
      </c>
      <c r="G238" s="18" t="s">
        <v>31</v>
      </c>
      <c r="H238" s="18" t="s">
        <v>20</v>
      </c>
      <c r="I238" s="18" t="s">
        <v>15</v>
      </c>
      <c r="J238" s="16">
        <v>0</v>
      </c>
      <c r="K238" s="18" t="s">
        <v>16</v>
      </c>
      <c r="L238" s="18" t="s">
        <v>17</v>
      </c>
      <c r="M238" s="14">
        <v>44</v>
      </c>
      <c r="N238" s="18" t="str" cm="1">
        <f t="array" ref="N238">_xlfn.IFS(Cleaned_Working_Sheet!$M238&lt;=34,"Young",Cleaned_Working_Sheet!$M238&lt;=54,"Middle-aged",Cleaned_Working_Sheet!$M238&gt;54,"Old")</f>
        <v>Middle-aged</v>
      </c>
      <c r="O238" s="18" t="s">
        <v>15</v>
      </c>
    </row>
    <row r="239" spans="1:15" x14ac:dyDescent="0.25">
      <c r="A239" s="14">
        <v>25555</v>
      </c>
      <c r="B239" s="18" t="s">
        <v>36</v>
      </c>
      <c r="C239" s="18" t="s">
        <v>38</v>
      </c>
      <c r="D239" s="6">
        <v>10000</v>
      </c>
      <c r="E239" s="18" t="str" cm="1">
        <f t="array" ref="E239">_xlfn.IFS(Cleaned_Working_Sheet!$D239&lt;=50000,"Low Income",Cleaned_Working_Sheet!$D239&lt;100000,"Middle Income",TRUE,"High Income")</f>
        <v>Low Income</v>
      </c>
      <c r="F239" s="16">
        <v>0</v>
      </c>
      <c r="G239" s="18" t="s">
        <v>19</v>
      </c>
      <c r="H239" s="18" t="s">
        <v>25</v>
      </c>
      <c r="I239" s="18" t="s">
        <v>18</v>
      </c>
      <c r="J239" s="16">
        <v>1</v>
      </c>
      <c r="K239" s="18" t="s">
        <v>16</v>
      </c>
      <c r="L239" s="18" t="s">
        <v>24</v>
      </c>
      <c r="M239" s="14">
        <v>26</v>
      </c>
      <c r="N239" s="18" t="str" cm="1">
        <f t="array" ref="N239">_xlfn.IFS(Cleaned_Working_Sheet!$M239&lt;=34,"Young",Cleaned_Working_Sheet!$M239&lt;=54,"Middle-aged",Cleaned_Working_Sheet!$M239&gt;54,"Old")</f>
        <v>Young</v>
      </c>
      <c r="O239" s="18" t="s">
        <v>15</v>
      </c>
    </row>
    <row r="240" spans="1:15" x14ac:dyDescent="0.25">
      <c r="A240" s="14">
        <v>22006</v>
      </c>
      <c r="B240" s="18" t="s">
        <v>36</v>
      </c>
      <c r="C240" s="18" t="s">
        <v>39</v>
      </c>
      <c r="D240" s="6">
        <v>70000</v>
      </c>
      <c r="E240" s="18" t="str" cm="1">
        <f t="array" ref="E240">_xlfn.IFS(Cleaned_Working_Sheet!$D240&lt;=50000,"Low Income",Cleaned_Working_Sheet!$D240&lt;100000,"Middle Income",TRUE,"High Income")</f>
        <v>Middle Income</v>
      </c>
      <c r="F240" s="16">
        <v>5</v>
      </c>
      <c r="G240" s="18" t="s">
        <v>19</v>
      </c>
      <c r="H240" s="18" t="s">
        <v>14</v>
      </c>
      <c r="I240" s="18" t="s">
        <v>15</v>
      </c>
      <c r="J240" s="16">
        <v>3</v>
      </c>
      <c r="K240" s="18" t="s">
        <v>23</v>
      </c>
      <c r="L240" s="18" t="s">
        <v>24</v>
      </c>
      <c r="M240" s="14">
        <v>46</v>
      </c>
      <c r="N240" s="18" t="str" cm="1">
        <f t="array" ref="N240">_xlfn.IFS(Cleaned_Working_Sheet!$M240&lt;=34,"Young",Cleaned_Working_Sheet!$M240&lt;=54,"Middle-aged",Cleaned_Working_Sheet!$M240&gt;54,"Old")</f>
        <v>Middle-aged</v>
      </c>
      <c r="O240" s="18" t="s">
        <v>18</v>
      </c>
    </row>
    <row r="241" spans="1:15" x14ac:dyDescent="0.25">
      <c r="A241" s="14">
        <v>20060</v>
      </c>
      <c r="B241" s="18" t="s">
        <v>37</v>
      </c>
      <c r="C241" s="18" t="s">
        <v>38</v>
      </c>
      <c r="D241" s="6">
        <v>30000</v>
      </c>
      <c r="E241" s="18" t="str" cm="1">
        <f t="array" ref="E241">_xlfn.IFS(Cleaned_Working_Sheet!$D241&lt;=50000,"Low Income",Cleaned_Working_Sheet!$D241&lt;100000,"Middle Income",TRUE,"High Income")</f>
        <v>Low Income</v>
      </c>
      <c r="F241" s="16">
        <v>0</v>
      </c>
      <c r="G241" s="18" t="s">
        <v>27</v>
      </c>
      <c r="H241" s="18" t="s">
        <v>25</v>
      </c>
      <c r="I241" s="18" t="s">
        <v>18</v>
      </c>
      <c r="J241" s="16">
        <v>1</v>
      </c>
      <c r="K241" s="18" t="s">
        <v>22</v>
      </c>
      <c r="L241" s="18" t="s">
        <v>17</v>
      </c>
      <c r="M241" s="14">
        <v>34</v>
      </c>
      <c r="N241" s="18" t="str" cm="1">
        <f t="array" ref="N241">_xlfn.IFS(Cleaned_Working_Sheet!$M241&lt;=34,"Young",Cleaned_Working_Sheet!$M241&lt;=54,"Middle-aged",Cleaned_Working_Sheet!$M241&gt;54,"Old")</f>
        <v>Young</v>
      </c>
      <c r="O241" s="18" t="s">
        <v>15</v>
      </c>
    </row>
    <row r="242" spans="1:15" x14ac:dyDescent="0.25">
      <c r="A242" s="14">
        <v>17702</v>
      </c>
      <c r="B242" s="18" t="s">
        <v>36</v>
      </c>
      <c r="C242" s="18" t="s">
        <v>39</v>
      </c>
      <c r="D242" s="6">
        <v>10000</v>
      </c>
      <c r="E242" s="18" t="str" cm="1">
        <f t="array" ref="E242">_xlfn.IFS(Cleaned_Working_Sheet!$D242&lt;=50000,"Low Income",Cleaned_Working_Sheet!$D242&lt;100000,"Middle Income",TRUE,"High Income")</f>
        <v>Low Income</v>
      </c>
      <c r="F242" s="16">
        <v>1</v>
      </c>
      <c r="G242" s="18" t="s">
        <v>31</v>
      </c>
      <c r="H242" s="18" t="s">
        <v>25</v>
      </c>
      <c r="I242" s="18" t="s">
        <v>15</v>
      </c>
      <c r="J242" s="16">
        <v>0</v>
      </c>
      <c r="K242" s="18" t="s">
        <v>16</v>
      </c>
      <c r="L242" s="18" t="s">
        <v>17</v>
      </c>
      <c r="M242" s="14">
        <v>37</v>
      </c>
      <c r="N242" s="18" t="str" cm="1">
        <f t="array" ref="N242">_xlfn.IFS(Cleaned_Working_Sheet!$M242&lt;=34,"Young",Cleaned_Working_Sheet!$M242&lt;=54,"Middle-aged",Cleaned_Working_Sheet!$M242&gt;54,"Old")</f>
        <v>Middle-aged</v>
      </c>
      <c r="O242" s="18" t="s">
        <v>18</v>
      </c>
    </row>
    <row r="243" spans="1:15" x14ac:dyDescent="0.25">
      <c r="A243" s="14">
        <v>12503</v>
      </c>
      <c r="B243" s="18" t="s">
        <v>37</v>
      </c>
      <c r="C243" s="18" t="s">
        <v>38</v>
      </c>
      <c r="D243" s="6">
        <v>30000</v>
      </c>
      <c r="E243" s="18" t="str" cm="1">
        <f t="array" ref="E243">_xlfn.IFS(Cleaned_Working_Sheet!$D243&lt;=50000,"Low Income",Cleaned_Working_Sheet!$D243&lt;100000,"Middle Income",TRUE,"High Income")</f>
        <v>Low Income</v>
      </c>
      <c r="F243" s="16">
        <v>3</v>
      </c>
      <c r="G243" s="18" t="s">
        <v>19</v>
      </c>
      <c r="H243" s="18" t="s">
        <v>20</v>
      </c>
      <c r="I243" s="18" t="s">
        <v>15</v>
      </c>
      <c r="J243" s="16">
        <v>2</v>
      </c>
      <c r="K243" s="18" t="s">
        <v>16</v>
      </c>
      <c r="L243" s="18" t="s">
        <v>17</v>
      </c>
      <c r="M243" s="14">
        <v>27</v>
      </c>
      <c r="N243" s="18" t="str" cm="1">
        <f t="array" ref="N243">_xlfn.IFS(Cleaned_Working_Sheet!$M243&lt;=34,"Young",Cleaned_Working_Sheet!$M243&lt;=54,"Middle-aged",Cleaned_Working_Sheet!$M243&gt;54,"Old")</f>
        <v>Young</v>
      </c>
      <c r="O243" s="18" t="s">
        <v>18</v>
      </c>
    </row>
    <row r="244" spans="1:15" x14ac:dyDescent="0.25">
      <c r="A244" s="14">
        <v>23908</v>
      </c>
      <c r="B244" s="18" t="s">
        <v>37</v>
      </c>
      <c r="C244" s="18" t="s">
        <v>39</v>
      </c>
      <c r="D244" s="6">
        <v>30000</v>
      </c>
      <c r="E244" s="18" t="str" cm="1">
        <f t="array" ref="E244">_xlfn.IFS(Cleaned_Working_Sheet!$D244&lt;=50000,"Low Income",Cleaned_Working_Sheet!$D244&lt;100000,"Middle Income",TRUE,"High Income")</f>
        <v>Low Income</v>
      </c>
      <c r="F244" s="16">
        <v>1</v>
      </c>
      <c r="G244" s="18" t="s">
        <v>13</v>
      </c>
      <c r="H244" s="18" t="s">
        <v>20</v>
      </c>
      <c r="I244" s="18" t="s">
        <v>18</v>
      </c>
      <c r="J244" s="16">
        <v>1</v>
      </c>
      <c r="K244" s="18" t="s">
        <v>16</v>
      </c>
      <c r="L244" s="18" t="s">
        <v>17</v>
      </c>
      <c r="M244" s="14">
        <v>39</v>
      </c>
      <c r="N244" s="18" t="str" cm="1">
        <f t="array" ref="N244">_xlfn.IFS(Cleaned_Working_Sheet!$M244&lt;=34,"Young",Cleaned_Working_Sheet!$M244&lt;=54,"Middle-aged",Cleaned_Working_Sheet!$M244&gt;54,"Old")</f>
        <v>Middle-aged</v>
      </c>
      <c r="O244" s="18" t="s">
        <v>15</v>
      </c>
    </row>
    <row r="245" spans="1:15" x14ac:dyDescent="0.25">
      <c r="A245" s="14">
        <v>22527</v>
      </c>
      <c r="B245" s="18" t="s">
        <v>37</v>
      </c>
      <c r="C245" s="18" t="s">
        <v>38</v>
      </c>
      <c r="D245" s="6">
        <v>20000</v>
      </c>
      <c r="E245" s="18" t="str" cm="1">
        <f t="array" ref="E245">_xlfn.IFS(Cleaned_Working_Sheet!$D245&lt;=50000,"Low Income",Cleaned_Working_Sheet!$D245&lt;100000,"Middle Income",TRUE,"High Income")</f>
        <v>Low Income</v>
      </c>
      <c r="F245" s="16">
        <v>0</v>
      </c>
      <c r="G245" s="18" t="s">
        <v>27</v>
      </c>
      <c r="H245" s="18" t="s">
        <v>25</v>
      </c>
      <c r="I245" s="18" t="s">
        <v>18</v>
      </c>
      <c r="J245" s="16">
        <v>1</v>
      </c>
      <c r="K245" s="18" t="s">
        <v>22</v>
      </c>
      <c r="L245" s="18" t="s">
        <v>17</v>
      </c>
      <c r="M245" s="14">
        <v>29</v>
      </c>
      <c r="N245" s="18" t="str" cm="1">
        <f t="array" ref="N245">_xlfn.IFS(Cleaned_Working_Sheet!$M245&lt;=34,"Young",Cleaned_Working_Sheet!$M245&lt;=54,"Middle-aged",Cleaned_Working_Sheet!$M245&gt;54,"Old")</f>
        <v>Young</v>
      </c>
      <c r="O245" s="18" t="s">
        <v>18</v>
      </c>
    </row>
    <row r="246" spans="1:15" x14ac:dyDescent="0.25">
      <c r="A246" s="14">
        <v>19057</v>
      </c>
      <c r="B246" s="18" t="s">
        <v>36</v>
      </c>
      <c r="C246" s="18" t="s">
        <v>38</v>
      </c>
      <c r="D246" s="6">
        <v>120000</v>
      </c>
      <c r="E246" s="18" t="str" cm="1">
        <f t="array" ref="E246">_xlfn.IFS(Cleaned_Working_Sheet!$D246&lt;=50000,"Low Income",Cleaned_Working_Sheet!$D246&lt;100000,"Middle Income",TRUE,"High Income")</f>
        <v>High Income</v>
      </c>
      <c r="F246" s="16">
        <v>3</v>
      </c>
      <c r="G246" s="18" t="s">
        <v>13</v>
      </c>
      <c r="H246" s="18" t="s">
        <v>28</v>
      </c>
      <c r="I246" s="18" t="s">
        <v>18</v>
      </c>
      <c r="J246" s="16">
        <v>2</v>
      </c>
      <c r="K246" s="18" t="s">
        <v>43</v>
      </c>
      <c r="L246" s="18" t="s">
        <v>17</v>
      </c>
      <c r="M246" s="14">
        <v>52</v>
      </c>
      <c r="N246" s="18" t="str" cm="1">
        <f t="array" ref="N246">_xlfn.IFS(Cleaned_Working_Sheet!$M246&lt;=34,"Young",Cleaned_Working_Sheet!$M246&lt;=54,"Middle-aged",Cleaned_Working_Sheet!$M246&gt;54,"Old")</f>
        <v>Middle-aged</v>
      </c>
      <c r="O246" s="18" t="s">
        <v>15</v>
      </c>
    </row>
    <row r="247" spans="1:15" x14ac:dyDescent="0.25">
      <c r="A247" s="14">
        <v>18494</v>
      </c>
      <c r="B247" s="18" t="s">
        <v>36</v>
      </c>
      <c r="C247" s="18" t="s">
        <v>39</v>
      </c>
      <c r="D247" s="6">
        <v>110000</v>
      </c>
      <c r="E247" s="18" t="str" cm="1">
        <f t="array" ref="E247">_xlfn.IFS(Cleaned_Working_Sheet!$D247&lt;=50000,"Low Income",Cleaned_Working_Sheet!$D247&lt;100000,"Middle Income",TRUE,"High Income")</f>
        <v>High Income</v>
      </c>
      <c r="F247" s="16">
        <v>5</v>
      </c>
      <c r="G247" s="18" t="s">
        <v>13</v>
      </c>
      <c r="H247" s="18" t="s">
        <v>28</v>
      </c>
      <c r="I247" s="18" t="s">
        <v>15</v>
      </c>
      <c r="J247" s="16">
        <v>4</v>
      </c>
      <c r="K247" s="18" t="s">
        <v>22</v>
      </c>
      <c r="L247" s="18" t="s">
        <v>24</v>
      </c>
      <c r="M247" s="14">
        <v>48</v>
      </c>
      <c r="N247" s="18" t="str" cm="1">
        <f t="array" ref="N247">_xlfn.IFS(Cleaned_Working_Sheet!$M247&lt;=34,"Young",Cleaned_Working_Sheet!$M247&lt;=54,"Middle-aged",Cleaned_Working_Sheet!$M247&gt;54,"Old")</f>
        <v>Middle-aged</v>
      </c>
      <c r="O247" s="18" t="s">
        <v>15</v>
      </c>
    </row>
    <row r="248" spans="1:15" x14ac:dyDescent="0.25">
      <c r="A248" s="14">
        <v>11249</v>
      </c>
      <c r="B248" s="18" t="s">
        <v>36</v>
      </c>
      <c r="C248" s="18" t="s">
        <v>38</v>
      </c>
      <c r="D248" s="6">
        <v>130000</v>
      </c>
      <c r="E248" s="18" t="str" cm="1">
        <f t="array" ref="E248">_xlfn.IFS(Cleaned_Working_Sheet!$D248&lt;=50000,"Low Income",Cleaned_Working_Sheet!$D248&lt;100000,"Middle Income",TRUE,"High Income")</f>
        <v>High Income</v>
      </c>
      <c r="F248" s="16">
        <v>3</v>
      </c>
      <c r="G248" s="18" t="s">
        <v>19</v>
      </c>
      <c r="H248" s="18" t="s">
        <v>21</v>
      </c>
      <c r="I248" s="18" t="s">
        <v>15</v>
      </c>
      <c r="J248" s="16">
        <v>3</v>
      </c>
      <c r="K248" s="18" t="s">
        <v>16</v>
      </c>
      <c r="L248" s="18" t="s">
        <v>17</v>
      </c>
      <c r="M248" s="14">
        <v>51</v>
      </c>
      <c r="N248" s="18" t="str" cm="1">
        <f t="array" ref="N248">_xlfn.IFS(Cleaned_Working_Sheet!$M248&lt;=34,"Young",Cleaned_Working_Sheet!$M248&lt;=54,"Middle-aged",Cleaned_Working_Sheet!$M248&gt;54,"Old")</f>
        <v>Middle-aged</v>
      </c>
      <c r="O248" s="18" t="s">
        <v>15</v>
      </c>
    </row>
    <row r="249" spans="1:15" x14ac:dyDescent="0.25">
      <c r="A249" s="14">
        <v>21568</v>
      </c>
      <c r="B249" s="18" t="s">
        <v>36</v>
      </c>
      <c r="C249" s="18" t="s">
        <v>38</v>
      </c>
      <c r="D249" s="6">
        <v>100000</v>
      </c>
      <c r="E249" s="18" t="str" cm="1">
        <f t="array" ref="E249">_xlfn.IFS(Cleaned_Working_Sheet!$D249&lt;=50000,"Low Income",Cleaned_Working_Sheet!$D249&lt;100000,"Middle Income",TRUE,"High Income")</f>
        <v>High Income</v>
      </c>
      <c r="F249" s="16">
        <v>0</v>
      </c>
      <c r="G249" s="18" t="s">
        <v>27</v>
      </c>
      <c r="H249" s="18" t="s">
        <v>28</v>
      </c>
      <c r="I249" s="18" t="s">
        <v>15</v>
      </c>
      <c r="J249" s="16">
        <v>4</v>
      </c>
      <c r="K249" s="18" t="s">
        <v>43</v>
      </c>
      <c r="L249" s="18" t="s">
        <v>24</v>
      </c>
      <c r="M249" s="14">
        <v>34</v>
      </c>
      <c r="N249" s="18" t="str" cm="1">
        <f t="array" ref="N249">_xlfn.IFS(Cleaned_Working_Sheet!$M249&lt;=34,"Young",Cleaned_Working_Sheet!$M249&lt;=54,"Middle-aged",Cleaned_Working_Sheet!$M249&gt;54,"Old")</f>
        <v>Young</v>
      </c>
      <c r="O249" s="18" t="s">
        <v>15</v>
      </c>
    </row>
    <row r="250" spans="1:15" x14ac:dyDescent="0.25">
      <c r="A250" s="14">
        <v>13981</v>
      </c>
      <c r="B250" s="18" t="s">
        <v>36</v>
      </c>
      <c r="C250" s="18" t="s">
        <v>38</v>
      </c>
      <c r="D250" s="6">
        <v>10000</v>
      </c>
      <c r="E250" s="18" t="str" cm="1">
        <f t="array" ref="E250">_xlfn.IFS(Cleaned_Working_Sheet!$D250&lt;=50000,"Low Income",Cleaned_Working_Sheet!$D250&lt;100000,"Middle Income",TRUE,"High Income")</f>
        <v>Low Income</v>
      </c>
      <c r="F250" s="16">
        <v>5</v>
      </c>
      <c r="G250" s="18" t="s">
        <v>27</v>
      </c>
      <c r="H250" s="18" t="s">
        <v>14</v>
      </c>
      <c r="I250" s="18" t="s">
        <v>18</v>
      </c>
      <c r="J250" s="16">
        <v>3</v>
      </c>
      <c r="K250" s="18" t="s">
        <v>26</v>
      </c>
      <c r="L250" s="18" t="s">
        <v>24</v>
      </c>
      <c r="M250" s="14">
        <v>62</v>
      </c>
      <c r="N250" s="18" t="str" cm="1">
        <f t="array" ref="N250">_xlfn.IFS(Cleaned_Working_Sheet!$M250&lt;=34,"Young",Cleaned_Working_Sheet!$M250&lt;=54,"Middle-aged",Cleaned_Working_Sheet!$M250&gt;54,"Old")</f>
        <v>Old</v>
      </c>
      <c r="O250" s="18" t="s">
        <v>18</v>
      </c>
    </row>
    <row r="251" spans="1:15" x14ac:dyDescent="0.25">
      <c r="A251" s="14">
        <v>23432</v>
      </c>
      <c r="B251" s="18" t="s">
        <v>37</v>
      </c>
      <c r="C251" s="18" t="s">
        <v>39</v>
      </c>
      <c r="D251" s="6">
        <v>70000</v>
      </c>
      <c r="E251" s="18" t="str" cm="1">
        <f t="array" ref="E251">_xlfn.IFS(Cleaned_Working_Sheet!$D251&lt;=50000,"Low Income",Cleaned_Working_Sheet!$D251&lt;100000,"Middle Income",TRUE,"High Income")</f>
        <v>Middle Income</v>
      </c>
      <c r="F251" s="16">
        <v>0</v>
      </c>
      <c r="G251" s="18" t="s">
        <v>13</v>
      </c>
      <c r="H251" s="18" t="s">
        <v>21</v>
      </c>
      <c r="I251" s="18" t="s">
        <v>15</v>
      </c>
      <c r="J251" s="16">
        <v>1</v>
      </c>
      <c r="K251" s="18" t="s">
        <v>23</v>
      </c>
      <c r="L251" s="18" t="s">
        <v>24</v>
      </c>
      <c r="M251" s="14">
        <v>37</v>
      </c>
      <c r="N251" s="18" t="str" cm="1">
        <f t="array" ref="N251">_xlfn.IFS(Cleaned_Working_Sheet!$M251&lt;=34,"Young",Cleaned_Working_Sheet!$M251&lt;=54,"Middle-aged",Cleaned_Working_Sheet!$M251&gt;54,"Old")</f>
        <v>Middle-aged</v>
      </c>
      <c r="O251" s="18" t="s">
        <v>15</v>
      </c>
    </row>
    <row r="252" spans="1:15" x14ac:dyDescent="0.25">
      <c r="A252" s="14">
        <v>22931</v>
      </c>
      <c r="B252" s="18" t="s">
        <v>36</v>
      </c>
      <c r="C252" s="18" t="s">
        <v>39</v>
      </c>
      <c r="D252" s="6">
        <v>100000</v>
      </c>
      <c r="E252" s="18" t="str" cm="1">
        <f t="array" ref="E252">_xlfn.IFS(Cleaned_Working_Sheet!$D252&lt;=50000,"Low Income",Cleaned_Working_Sheet!$D252&lt;100000,"Middle Income",TRUE,"High Income")</f>
        <v>High Income</v>
      </c>
      <c r="F252" s="16">
        <v>5</v>
      </c>
      <c r="G252" s="18" t="s">
        <v>31</v>
      </c>
      <c r="H252" s="18" t="s">
        <v>28</v>
      </c>
      <c r="I252" s="18" t="s">
        <v>18</v>
      </c>
      <c r="J252" s="16">
        <v>1</v>
      </c>
      <c r="K252" s="18" t="s">
        <v>26</v>
      </c>
      <c r="L252" s="18" t="s">
        <v>24</v>
      </c>
      <c r="M252" s="14">
        <v>78</v>
      </c>
      <c r="N252" s="18" t="str" cm="1">
        <f t="array" ref="N252">_xlfn.IFS(Cleaned_Working_Sheet!$M252&lt;=34,"Young",Cleaned_Working_Sheet!$M252&lt;=54,"Middle-aged",Cleaned_Working_Sheet!$M252&gt;54,"Old")</f>
        <v>Old</v>
      </c>
      <c r="O252" s="18" t="s">
        <v>15</v>
      </c>
    </row>
    <row r="253" spans="1:15" x14ac:dyDescent="0.25">
      <c r="A253" s="14">
        <v>18172</v>
      </c>
      <c r="B253" s="18" t="s">
        <v>36</v>
      </c>
      <c r="C253" s="18" t="s">
        <v>39</v>
      </c>
      <c r="D253" s="6">
        <v>130000</v>
      </c>
      <c r="E253" s="18" t="str" cm="1">
        <f t="array" ref="E253">_xlfn.IFS(Cleaned_Working_Sheet!$D253&lt;=50000,"Low Income",Cleaned_Working_Sheet!$D253&lt;100000,"Middle Income",TRUE,"High Income")</f>
        <v>High Income</v>
      </c>
      <c r="F253" s="16">
        <v>4</v>
      </c>
      <c r="G253" s="18" t="s">
        <v>27</v>
      </c>
      <c r="H253" s="18" t="s">
        <v>21</v>
      </c>
      <c r="I253" s="18" t="s">
        <v>15</v>
      </c>
      <c r="J253" s="16">
        <v>3</v>
      </c>
      <c r="K253" s="18" t="s">
        <v>16</v>
      </c>
      <c r="L253" s="18" t="s">
        <v>17</v>
      </c>
      <c r="M253" s="14">
        <v>55</v>
      </c>
      <c r="N253" s="18" t="str" cm="1">
        <f t="array" ref="N253">_xlfn.IFS(Cleaned_Working_Sheet!$M253&lt;=34,"Young",Cleaned_Working_Sheet!$M253&lt;=54,"Middle-aged",Cleaned_Working_Sheet!$M253&gt;54,"Old")</f>
        <v>Old</v>
      </c>
      <c r="O253" s="18" t="s">
        <v>18</v>
      </c>
    </row>
    <row r="254" spans="1:15" x14ac:dyDescent="0.25">
      <c r="A254" s="14">
        <v>12666</v>
      </c>
      <c r="B254" s="18" t="s">
        <v>37</v>
      </c>
      <c r="C254" s="18" t="s">
        <v>39</v>
      </c>
      <c r="D254" s="6">
        <v>60000</v>
      </c>
      <c r="E254" s="18" t="str" cm="1">
        <f t="array" ref="E254">_xlfn.IFS(Cleaned_Working_Sheet!$D254&lt;=50000,"Low Income",Cleaned_Working_Sheet!$D254&lt;100000,"Middle Income",TRUE,"High Income")</f>
        <v>Middle Income</v>
      </c>
      <c r="F254" s="16">
        <v>0</v>
      </c>
      <c r="G254" s="18" t="s">
        <v>13</v>
      </c>
      <c r="H254" s="18" t="s">
        <v>21</v>
      </c>
      <c r="I254" s="18" t="s">
        <v>18</v>
      </c>
      <c r="J254" s="16">
        <v>4</v>
      </c>
      <c r="K254" s="18" t="s">
        <v>22</v>
      </c>
      <c r="L254" s="18" t="s">
        <v>24</v>
      </c>
      <c r="M254" s="14">
        <v>31</v>
      </c>
      <c r="N254" s="18" t="str" cm="1">
        <f t="array" ref="N254">_xlfn.IFS(Cleaned_Working_Sheet!$M254&lt;=34,"Young",Cleaned_Working_Sheet!$M254&lt;=54,"Middle-aged",Cleaned_Working_Sheet!$M254&gt;54,"Old")</f>
        <v>Young</v>
      </c>
      <c r="O254" s="18" t="s">
        <v>18</v>
      </c>
    </row>
    <row r="255" spans="1:15" x14ac:dyDescent="0.25">
      <c r="A255" s="14">
        <v>20598</v>
      </c>
      <c r="B255" s="18" t="s">
        <v>36</v>
      </c>
      <c r="C255" s="18" t="s">
        <v>39</v>
      </c>
      <c r="D255" s="6">
        <v>100000</v>
      </c>
      <c r="E255" s="18" t="str" cm="1">
        <f t="array" ref="E255">_xlfn.IFS(Cleaned_Working_Sheet!$D255&lt;=50000,"Low Income",Cleaned_Working_Sheet!$D255&lt;100000,"Middle Income",TRUE,"High Income")</f>
        <v>High Income</v>
      </c>
      <c r="F255" s="16">
        <v>3</v>
      </c>
      <c r="G255" s="18" t="s">
        <v>29</v>
      </c>
      <c r="H255" s="18" t="s">
        <v>21</v>
      </c>
      <c r="I255" s="18" t="s">
        <v>15</v>
      </c>
      <c r="J255" s="16">
        <v>0</v>
      </c>
      <c r="K255" s="18" t="s">
        <v>43</v>
      </c>
      <c r="L255" s="18" t="s">
        <v>17</v>
      </c>
      <c r="M255" s="14">
        <v>59</v>
      </c>
      <c r="N255" s="18" t="str" cm="1">
        <f t="array" ref="N255">_xlfn.IFS(Cleaned_Working_Sheet!$M255&lt;=34,"Young",Cleaned_Working_Sheet!$M255&lt;=54,"Middle-aged",Cleaned_Working_Sheet!$M255&gt;54,"Old")</f>
        <v>Old</v>
      </c>
      <c r="O255" s="18" t="s">
        <v>15</v>
      </c>
    </row>
    <row r="256" spans="1:15" x14ac:dyDescent="0.25">
      <c r="A256" s="14">
        <v>21375</v>
      </c>
      <c r="B256" s="18" t="s">
        <v>37</v>
      </c>
      <c r="C256" s="18" t="s">
        <v>39</v>
      </c>
      <c r="D256" s="6">
        <v>20000</v>
      </c>
      <c r="E256" s="18" t="str" cm="1">
        <f t="array" ref="E256">_xlfn.IFS(Cleaned_Working_Sheet!$D256&lt;=50000,"Low Income",Cleaned_Working_Sheet!$D256&lt;100000,"Middle Income",TRUE,"High Income")</f>
        <v>Low Income</v>
      </c>
      <c r="F256" s="16">
        <v>2</v>
      </c>
      <c r="G256" s="18" t="s">
        <v>29</v>
      </c>
      <c r="H256" s="18" t="s">
        <v>20</v>
      </c>
      <c r="I256" s="18" t="s">
        <v>15</v>
      </c>
      <c r="J256" s="16">
        <v>2</v>
      </c>
      <c r="K256" s="18" t="s">
        <v>23</v>
      </c>
      <c r="L256" s="18" t="s">
        <v>24</v>
      </c>
      <c r="M256" s="14">
        <v>57</v>
      </c>
      <c r="N256" s="18" t="str" cm="1">
        <f t="array" ref="N256">_xlfn.IFS(Cleaned_Working_Sheet!$M256&lt;=34,"Young",Cleaned_Working_Sheet!$M256&lt;=54,"Middle-aged",Cleaned_Working_Sheet!$M256&gt;54,"Old")</f>
        <v>Old</v>
      </c>
      <c r="O256" s="18" t="s">
        <v>18</v>
      </c>
    </row>
    <row r="257" spans="1:15" x14ac:dyDescent="0.25">
      <c r="A257" s="14">
        <v>20839</v>
      </c>
      <c r="B257" s="18" t="s">
        <v>37</v>
      </c>
      <c r="C257" s="18" t="s">
        <v>38</v>
      </c>
      <c r="D257" s="6">
        <v>30000</v>
      </c>
      <c r="E257" s="18" t="str" cm="1">
        <f t="array" ref="E257">_xlfn.IFS(Cleaned_Working_Sheet!$D257&lt;=50000,"Low Income",Cleaned_Working_Sheet!$D257&lt;100000,"Middle Income",TRUE,"High Income")</f>
        <v>Low Income</v>
      </c>
      <c r="F257" s="16">
        <v>3</v>
      </c>
      <c r="G257" s="18" t="s">
        <v>31</v>
      </c>
      <c r="H257" s="18" t="s">
        <v>20</v>
      </c>
      <c r="I257" s="18" t="s">
        <v>15</v>
      </c>
      <c r="J257" s="16">
        <v>0</v>
      </c>
      <c r="K257" s="18" t="s">
        <v>16</v>
      </c>
      <c r="L257" s="18" t="s">
        <v>17</v>
      </c>
      <c r="M257" s="14">
        <v>47</v>
      </c>
      <c r="N257" s="18" t="str" cm="1">
        <f t="array" ref="N257">_xlfn.IFS(Cleaned_Working_Sheet!$M257&lt;=34,"Young",Cleaned_Working_Sheet!$M257&lt;=54,"Middle-aged",Cleaned_Working_Sheet!$M257&gt;54,"Old")</f>
        <v>Middle-aged</v>
      </c>
      <c r="O257" s="18" t="s">
        <v>15</v>
      </c>
    </row>
    <row r="258" spans="1:15" x14ac:dyDescent="0.25">
      <c r="A258" s="14">
        <v>21738</v>
      </c>
      <c r="B258" s="18" t="s">
        <v>36</v>
      </c>
      <c r="C258" s="18" t="s">
        <v>39</v>
      </c>
      <c r="D258" s="6">
        <v>20000</v>
      </c>
      <c r="E258" s="18" t="str" cm="1">
        <f t="array" ref="E258">_xlfn.IFS(Cleaned_Working_Sheet!$D258&lt;=50000,"Low Income",Cleaned_Working_Sheet!$D258&lt;100000,"Middle Income",TRUE,"High Income")</f>
        <v>Low Income</v>
      </c>
      <c r="F258" s="16">
        <v>1</v>
      </c>
      <c r="G258" s="18" t="s">
        <v>31</v>
      </c>
      <c r="H258" s="18" t="s">
        <v>20</v>
      </c>
      <c r="I258" s="18" t="s">
        <v>15</v>
      </c>
      <c r="J258" s="16">
        <v>0</v>
      </c>
      <c r="K258" s="18" t="s">
        <v>16</v>
      </c>
      <c r="L258" s="18" t="s">
        <v>17</v>
      </c>
      <c r="M258" s="14">
        <v>43</v>
      </c>
      <c r="N258" s="18" t="str" cm="1">
        <f t="array" ref="N258">_xlfn.IFS(Cleaned_Working_Sheet!$M258&lt;=34,"Young",Cleaned_Working_Sheet!$M258&lt;=54,"Middle-aged",Cleaned_Working_Sheet!$M258&gt;54,"Old")</f>
        <v>Middle-aged</v>
      </c>
      <c r="O258" s="18" t="s">
        <v>18</v>
      </c>
    </row>
    <row r="259" spans="1:15" x14ac:dyDescent="0.25">
      <c r="A259" s="14">
        <v>14164</v>
      </c>
      <c r="B259" s="18" t="s">
        <v>37</v>
      </c>
      <c r="C259" s="18" t="s">
        <v>38</v>
      </c>
      <c r="D259" s="6">
        <v>50000</v>
      </c>
      <c r="E259" s="18" t="str" cm="1">
        <f t="array" ref="E259">_xlfn.IFS(Cleaned_Working_Sheet!$D259&lt;=50000,"Low Income",Cleaned_Working_Sheet!$D259&lt;100000,"Middle Income",TRUE,"High Income")</f>
        <v>Low Income</v>
      </c>
      <c r="F259" s="16">
        <v>0</v>
      </c>
      <c r="G259" s="18" t="s">
        <v>31</v>
      </c>
      <c r="H259" s="18" t="s">
        <v>14</v>
      </c>
      <c r="I259" s="18" t="s">
        <v>15</v>
      </c>
      <c r="J259" s="16">
        <v>0</v>
      </c>
      <c r="K259" s="18" t="s">
        <v>16</v>
      </c>
      <c r="L259" s="18" t="s">
        <v>17</v>
      </c>
      <c r="M259" s="14">
        <v>36</v>
      </c>
      <c r="N259" s="18" t="str" cm="1">
        <f t="array" ref="N259">_xlfn.IFS(Cleaned_Working_Sheet!$M259&lt;=34,"Young",Cleaned_Working_Sheet!$M259&lt;=54,"Middle-aged",Cleaned_Working_Sheet!$M259&gt;54,"Old")</f>
        <v>Middle-aged</v>
      </c>
      <c r="O259" s="18" t="s">
        <v>15</v>
      </c>
    </row>
    <row r="260" spans="1:15" x14ac:dyDescent="0.25">
      <c r="A260" s="14">
        <v>14193</v>
      </c>
      <c r="B260" s="18" t="s">
        <v>37</v>
      </c>
      <c r="C260" s="18" t="s">
        <v>38</v>
      </c>
      <c r="D260" s="6">
        <v>100000</v>
      </c>
      <c r="E260" s="18" t="str" cm="1">
        <f t="array" ref="E260">_xlfn.IFS(Cleaned_Working_Sheet!$D260&lt;=50000,"Low Income",Cleaned_Working_Sheet!$D260&lt;100000,"Middle Income",TRUE,"High Income")</f>
        <v>High Income</v>
      </c>
      <c r="F260" s="16">
        <v>3</v>
      </c>
      <c r="G260" s="18" t="s">
        <v>19</v>
      </c>
      <c r="H260" s="18" t="s">
        <v>28</v>
      </c>
      <c r="I260" s="18" t="s">
        <v>15</v>
      </c>
      <c r="J260" s="16">
        <v>4</v>
      </c>
      <c r="K260" s="18" t="s">
        <v>43</v>
      </c>
      <c r="L260" s="18" t="s">
        <v>17</v>
      </c>
      <c r="M260" s="14">
        <v>56</v>
      </c>
      <c r="N260" s="18" t="str" cm="1">
        <f t="array" ref="N260">_xlfn.IFS(Cleaned_Working_Sheet!$M260&lt;=34,"Young",Cleaned_Working_Sheet!$M260&lt;=54,"Middle-aged",Cleaned_Working_Sheet!$M260&gt;54,"Old")</f>
        <v>Old</v>
      </c>
      <c r="O260" s="18" t="s">
        <v>18</v>
      </c>
    </row>
    <row r="261" spans="1:15" x14ac:dyDescent="0.25">
      <c r="A261" s="14">
        <v>12705</v>
      </c>
      <c r="B261" s="18" t="s">
        <v>36</v>
      </c>
      <c r="C261" s="18" t="s">
        <v>39</v>
      </c>
      <c r="D261" s="6">
        <v>150000</v>
      </c>
      <c r="E261" s="18" t="str" cm="1">
        <f t="array" ref="E261">_xlfn.IFS(Cleaned_Working_Sheet!$D261&lt;=50000,"Low Income",Cleaned_Working_Sheet!$D261&lt;100000,"Middle Income",TRUE,"High Income")</f>
        <v>High Income</v>
      </c>
      <c r="F261" s="16">
        <v>0</v>
      </c>
      <c r="G261" s="18" t="s">
        <v>13</v>
      </c>
      <c r="H261" s="18" t="s">
        <v>28</v>
      </c>
      <c r="I261" s="18" t="s">
        <v>15</v>
      </c>
      <c r="J261" s="16">
        <v>4</v>
      </c>
      <c r="K261" s="18" t="s">
        <v>16</v>
      </c>
      <c r="L261" s="18" t="s">
        <v>24</v>
      </c>
      <c r="M261" s="14">
        <v>37</v>
      </c>
      <c r="N261" s="18" t="str" cm="1">
        <f t="array" ref="N261">_xlfn.IFS(Cleaned_Working_Sheet!$M261&lt;=34,"Young",Cleaned_Working_Sheet!$M261&lt;=54,"Middle-aged",Cleaned_Working_Sheet!$M261&gt;54,"Old")</f>
        <v>Middle-aged</v>
      </c>
      <c r="O261" s="18" t="s">
        <v>15</v>
      </c>
    </row>
    <row r="262" spans="1:15" x14ac:dyDescent="0.25">
      <c r="A262" s="14">
        <v>22672</v>
      </c>
      <c r="B262" s="18" t="s">
        <v>37</v>
      </c>
      <c r="C262" s="18" t="s">
        <v>38</v>
      </c>
      <c r="D262" s="6">
        <v>30000</v>
      </c>
      <c r="E262" s="18" t="str" cm="1">
        <f t="array" ref="E262">_xlfn.IFS(Cleaned_Working_Sheet!$D262&lt;=50000,"Low Income",Cleaned_Working_Sheet!$D262&lt;100000,"Middle Income",TRUE,"High Income")</f>
        <v>Low Income</v>
      </c>
      <c r="F262" s="16">
        <v>2</v>
      </c>
      <c r="G262" s="18" t="s">
        <v>19</v>
      </c>
      <c r="H262" s="18" t="s">
        <v>20</v>
      </c>
      <c r="I262" s="18" t="s">
        <v>15</v>
      </c>
      <c r="J262" s="16">
        <v>0</v>
      </c>
      <c r="K262" s="18" t="s">
        <v>16</v>
      </c>
      <c r="L262" s="18" t="s">
        <v>17</v>
      </c>
      <c r="M262" s="14">
        <v>43</v>
      </c>
      <c r="N262" s="18" t="str" cm="1">
        <f t="array" ref="N262">_xlfn.IFS(Cleaned_Working_Sheet!$M262&lt;=34,"Young",Cleaned_Working_Sheet!$M262&lt;=54,"Middle-aged",Cleaned_Working_Sheet!$M262&gt;54,"Old")</f>
        <v>Middle-aged</v>
      </c>
      <c r="O262" s="18" t="s">
        <v>18</v>
      </c>
    </row>
    <row r="263" spans="1:15" x14ac:dyDescent="0.25">
      <c r="A263" s="14">
        <v>26219</v>
      </c>
      <c r="B263" s="18" t="s">
        <v>36</v>
      </c>
      <c r="C263" s="18" t="s">
        <v>38</v>
      </c>
      <c r="D263" s="6">
        <v>40000</v>
      </c>
      <c r="E263" s="18" t="str" cm="1">
        <f t="array" ref="E263">_xlfn.IFS(Cleaned_Working_Sheet!$D263&lt;=50000,"Low Income",Cleaned_Working_Sheet!$D263&lt;100000,"Middle Income",TRUE,"High Income")</f>
        <v>Low Income</v>
      </c>
      <c r="F263" s="16">
        <v>1</v>
      </c>
      <c r="G263" s="18" t="s">
        <v>13</v>
      </c>
      <c r="H263" s="18" t="s">
        <v>14</v>
      </c>
      <c r="I263" s="18" t="s">
        <v>15</v>
      </c>
      <c r="J263" s="16">
        <v>1</v>
      </c>
      <c r="K263" s="18" t="s">
        <v>26</v>
      </c>
      <c r="L263" s="18" t="s">
        <v>17</v>
      </c>
      <c r="M263" s="14">
        <v>33</v>
      </c>
      <c r="N263" s="18" t="str" cm="1">
        <f t="array" ref="N263">_xlfn.IFS(Cleaned_Working_Sheet!$M263&lt;=34,"Young",Cleaned_Working_Sheet!$M263&lt;=54,"Middle-aged",Cleaned_Working_Sheet!$M263&gt;54,"Old")</f>
        <v>Young</v>
      </c>
      <c r="O263" s="18" t="s">
        <v>15</v>
      </c>
    </row>
    <row r="264" spans="1:15" x14ac:dyDescent="0.25">
      <c r="A264" s="14">
        <v>28468</v>
      </c>
      <c r="B264" s="18" t="s">
        <v>36</v>
      </c>
      <c r="C264" s="18" t="s">
        <v>38</v>
      </c>
      <c r="D264" s="6">
        <v>10000</v>
      </c>
      <c r="E264" s="18" t="str" cm="1">
        <f t="array" ref="E264">_xlfn.IFS(Cleaned_Working_Sheet!$D264&lt;=50000,"Low Income",Cleaned_Working_Sheet!$D264&lt;100000,"Middle Income",TRUE,"High Income")</f>
        <v>Low Income</v>
      </c>
      <c r="F264" s="16">
        <v>2</v>
      </c>
      <c r="G264" s="18" t="s">
        <v>19</v>
      </c>
      <c r="H264" s="18" t="s">
        <v>25</v>
      </c>
      <c r="I264" s="18" t="s">
        <v>15</v>
      </c>
      <c r="J264" s="16">
        <v>0</v>
      </c>
      <c r="K264" s="18" t="s">
        <v>26</v>
      </c>
      <c r="L264" s="18" t="s">
        <v>17</v>
      </c>
      <c r="M264" s="14">
        <v>51</v>
      </c>
      <c r="N264" s="18" t="str" cm="1">
        <f t="array" ref="N264">_xlfn.IFS(Cleaned_Working_Sheet!$M264&lt;=34,"Young",Cleaned_Working_Sheet!$M264&lt;=54,"Middle-aged",Cleaned_Working_Sheet!$M264&gt;54,"Old")</f>
        <v>Middle-aged</v>
      </c>
      <c r="O264" s="18" t="s">
        <v>18</v>
      </c>
    </row>
    <row r="265" spans="1:15" x14ac:dyDescent="0.25">
      <c r="A265" s="14">
        <v>23419</v>
      </c>
      <c r="B265" s="18" t="s">
        <v>37</v>
      </c>
      <c r="C265" s="18" t="s">
        <v>38</v>
      </c>
      <c r="D265" s="6">
        <v>70000</v>
      </c>
      <c r="E265" s="18" t="str" cm="1">
        <f t="array" ref="E265">_xlfn.IFS(Cleaned_Working_Sheet!$D265&lt;=50000,"Low Income",Cleaned_Working_Sheet!$D265&lt;100000,"Middle Income",TRUE,"High Income")</f>
        <v>Middle Income</v>
      </c>
      <c r="F265" s="16">
        <v>5</v>
      </c>
      <c r="G265" s="18" t="s">
        <v>13</v>
      </c>
      <c r="H265" s="18" t="s">
        <v>21</v>
      </c>
      <c r="I265" s="18" t="s">
        <v>15</v>
      </c>
      <c r="J265" s="16">
        <v>3</v>
      </c>
      <c r="K265" s="18" t="s">
        <v>43</v>
      </c>
      <c r="L265" s="18" t="s">
        <v>24</v>
      </c>
      <c r="M265" s="14">
        <v>39</v>
      </c>
      <c r="N265" s="18" t="str" cm="1">
        <f t="array" ref="N265">_xlfn.IFS(Cleaned_Working_Sheet!$M265&lt;=34,"Young",Cleaned_Working_Sheet!$M265&lt;=54,"Middle-aged",Cleaned_Working_Sheet!$M265&gt;54,"Old")</f>
        <v>Middle-aged</v>
      </c>
      <c r="O265" s="18" t="s">
        <v>18</v>
      </c>
    </row>
    <row r="266" spans="1:15" x14ac:dyDescent="0.25">
      <c r="A266" s="14">
        <v>17964</v>
      </c>
      <c r="B266" s="18" t="s">
        <v>36</v>
      </c>
      <c r="C266" s="18" t="s">
        <v>39</v>
      </c>
      <c r="D266" s="6">
        <v>40000</v>
      </c>
      <c r="E266" s="18" t="str" cm="1">
        <f t="array" ref="E266">_xlfn.IFS(Cleaned_Working_Sheet!$D266&lt;=50000,"Low Income",Cleaned_Working_Sheet!$D266&lt;100000,"Middle Income",TRUE,"High Income")</f>
        <v>Low Income</v>
      </c>
      <c r="F266" s="16">
        <v>0</v>
      </c>
      <c r="G266" s="18" t="s">
        <v>31</v>
      </c>
      <c r="H266" s="18" t="s">
        <v>20</v>
      </c>
      <c r="I266" s="18" t="s">
        <v>15</v>
      </c>
      <c r="J266" s="16">
        <v>0</v>
      </c>
      <c r="K266" s="18" t="s">
        <v>16</v>
      </c>
      <c r="L266" s="18" t="s">
        <v>17</v>
      </c>
      <c r="M266" s="14">
        <v>37</v>
      </c>
      <c r="N266" s="18" t="str" cm="1">
        <f t="array" ref="N266">_xlfn.IFS(Cleaned_Working_Sheet!$M266&lt;=34,"Young",Cleaned_Working_Sheet!$M266&lt;=54,"Middle-aged",Cleaned_Working_Sheet!$M266&gt;54,"Old")</f>
        <v>Middle-aged</v>
      </c>
      <c r="O266" s="18" t="s">
        <v>15</v>
      </c>
    </row>
    <row r="267" spans="1:15" x14ac:dyDescent="0.25">
      <c r="A267" s="14">
        <v>20919</v>
      </c>
      <c r="B267" s="18" t="s">
        <v>37</v>
      </c>
      <c r="C267" s="18" t="s">
        <v>38</v>
      </c>
      <c r="D267" s="6">
        <v>30000</v>
      </c>
      <c r="E267" s="18" t="str" cm="1">
        <f t="array" ref="E267">_xlfn.IFS(Cleaned_Working_Sheet!$D267&lt;=50000,"Low Income",Cleaned_Working_Sheet!$D267&lt;100000,"Middle Income",TRUE,"High Income")</f>
        <v>Low Income</v>
      </c>
      <c r="F267" s="16">
        <v>2</v>
      </c>
      <c r="G267" s="18" t="s">
        <v>19</v>
      </c>
      <c r="H267" s="18" t="s">
        <v>20</v>
      </c>
      <c r="I267" s="18" t="s">
        <v>15</v>
      </c>
      <c r="J267" s="16">
        <v>2</v>
      </c>
      <c r="K267" s="18" t="s">
        <v>16</v>
      </c>
      <c r="L267" s="18" t="s">
        <v>17</v>
      </c>
      <c r="M267" s="14">
        <v>42</v>
      </c>
      <c r="N267" s="18" t="str" cm="1">
        <f t="array" ref="N267">_xlfn.IFS(Cleaned_Working_Sheet!$M267&lt;=34,"Young",Cleaned_Working_Sheet!$M267&lt;=54,"Middle-aged",Cleaned_Working_Sheet!$M267&gt;54,"Old")</f>
        <v>Middle-aged</v>
      </c>
      <c r="O267" s="18" t="s">
        <v>18</v>
      </c>
    </row>
    <row r="268" spans="1:15" x14ac:dyDescent="0.25">
      <c r="A268" s="14">
        <v>20927</v>
      </c>
      <c r="B268" s="18" t="s">
        <v>37</v>
      </c>
      <c r="C268" s="18" t="s">
        <v>38</v>
      </c>
      <c r="D268" s="6">
        <v>20000</v>
      </c>
      <c r="E268" s="18" t="str" cm="1">
        <f t="array" ref="E268">_xlfn.IFS(Cleaned_Working_Sheet!$D268&lt;=50000,"Low Income",Cleaned_Working_Sheet!$D268&lt;100000,"Middle Income",TRUE,"High Income")</f>
        <v>Low Income</v>
      </c>
      <c r="F268" s="16">
        <v>5</v>
      </c>
      <c r="G268" s="18" t="s">
        <v>27</v>
      </c>
      <c r="H268" s="18" t="s">
        <v>25</v>
      </c>
      <c r="I268" s="18" t="s">
        <v>15</v>
      </c>
      <c r="J268" s="16">
        <v>2</v>
      </c>
      <c r="K268" s="18" t="s">
        <v>16</v>
      </c>
      <c r="L268" s="18" t="s">
        <v>17</v>
      </c>
      <c r="M268" s="14">
        <v>27</v>
      </c>
      <c r="N268" s="18" t="str" cm="1">
        <f t="array" ref="N268">_xlfn.IFS(Cleaned_Working_Sheet!$M268&lt;=34,"Young",Cleaned_Working_Sheet!$M268&lt;=54,"Middle-aged",Cleaned_Working_Sheet!$M268&gt;54,"Old")</f>
        <v>Young</v>
      </c>
      <c r="O268" s="18" t="s">
        <v>18</v>
      </c>
    </row>
    <row r="269" spans="1:15" x14ac:dyDescent="0.25">
      <c r="A269" s="14">
        <v>13133</v>
      </c>
      <c r="B269" s="18" t="s">
        <v>37</v>
      </c>
      <c r="C269" s="18" t="s">
        <v>39</v>
      </c>
      <c r="D269" s="6">
        <v>100000</v>
      </c>
      <c r="E269" s="18" t="str" cm="1">
        <f t="array" ref="E269">_xlfn.IFS(Cleaned_Working_Sheet!$D269&lt;=50000,"Low Income",Cleaned_Working_Sheet!$D269&lt;100000,"Middle Income",TRUE,"High Income")</f>
        <v>High Income</v>
      </c>
      <c r="F269" s="16">
        <v>5</v>
      </c>
      <c r="G269" s="18" t="s">
        <v>13</v>
      </c>
      <c r="H269" s="18" t="s">
        <v>21</v>
      </c>
      <c r="I269" s="18" t="s">
        <v>15</v>
      </c>
      <c r="J269" s="16">
        <v>1</v>
      </c>
      <c r="K269" s="18" t="s">
        <v>23</v>
      </c>
      <c r="L269" s="18" t="s">
        <v>24</v>
      </c>
      <c r="M269" s="14">
        <v>47</v>
      </c>
      <c r="N269" s="18" t="str" cm="1">
        <f t="array" ref="N269">_xlfn.IFS(Cleaned_Working_Sheet!$M269&lt;=34,"Young",Cleaned_Working_Sheet!$M269&lt;=54,"Middle-aged",Cleaned_Working_Sheet!$M269&gt;54,"Old")</f>
        <v>Middle-aged</v>
      </c>
      <c r="O269" s="18" t="s">
        <v>15</v>
      </c>
    </row>
    <row r="270" spans="1:15" x14ac:dyDescent="0.25">
      <c r="A270" s="14">
        <v>19626</v>
      </c>
      <c r="B270" s="18" t="s">
        <v>36</v>
      </c>
      <c r="C270" s="18" t="s">
        <v>39</v>
      </c>
      <c r="D270" s="6">
        <v>70000</v>
      </c>
      <c r="E270" s="18" t="str" cm="1">
        <f t="array" ref="E270">_xlfn.IFS(Cleaned_Working_Sheet!$D270&lt;=50000,"Low Income",Cleaned_Working_Sheet!$D270&lt;100000,"Middle Income",TRUE,"High Income")</f>
        <v>Middle Income</v>
      </c>
      <c r="F270" s="16">
        <v>5</v>
      </c>
      <c r="G270" s="18" t="s">
        <v>19</v>
      </c>
      <c r="H270" s="18" t="s">
        <v>14</v>
      </c>
      <c r="I270" s="18" t="s">
        <v>15</v>
      </c>
      <c r="J270" s="16">
        <v>3</v>
      </c>
      <c r="K270" s="18" t="s">
        <v>23</v>
      </c>
      <c r="L270" s="18" t="s">
        <v>24</v>
      </c>
      <c r="M270" s="14">
        <v>45</v>
      </c>
      <c r="N270" s="18" t="str" cm="1">
        <f t="array" ref="N270">_xlfn.IFS(Cleaned_Working_Sheet!$M270&lt;=34,"Young",Cleaned_Working_Sheet!$M270&lt;=54,"Middle-aged",Cleaned_Working_Sheet!$M270&gt;54,"Old")</f>
        <v>Middle-aged</v>
      </c>
      <c r="O270" s="18" t="s">
        <v>18</v>
      </c>
    </row>
    <row r="271" spans="1:15" x14ac:dyDescent="0.25">
      <c r="A271" s="14">
        <v>21039</v>
      </c>
      <c r="B271" s="18" t="s">
        <v>37</v>
      </c>
      <c r="C271" s="18" t="s">
        <v>38</v>
      </c>
      <c r="D271" s="6">
        <v>50000</v>
      </c>
      <c r="E271" s="18" t="str" cm="1">
        <f t="array" ref="E271">_xlfn.IFS(Cleaned_Working_Sheet!$D271&lt;=50000,"Low Income",Cleaned_Working_Sheet!$D271&lt;100000,"Middle Income",TRUE,"High Income")</f>
        <v>Low Income</v>
      </c>
      <c r="F271" s="16">
        <v>0</v>
      </c>
      <c r="G271" s="18" t="s">
        <v>31</v>
      </c>
      <c r="H271" s="18" t="s">
        <v>14</v>
      </c>
      <c r="I271" s="18" t="s">
        <v>18</v>
      </c>
      <c r="J271" s="16">
        <v>0</v>
      </c>
      <c r="K271" s="18" t="s">
        <v>16</v>
      </c>
      <c r="L271" s="18" t="s">
        <v>17</v>
      </c>
      <c r="M271" s="14">
        <v>37</v>
      </c>
      <c r="N271" s="18" t="str" cm="1">
        <f t="array" ref="N271">_xlfn.IFS(Cleaned_Working_Sheet!$M271&lt;=34,"Young",Cleaned_Working_Sheet!$M271&lt;=54,"Middle-aged",Cleaned_Working_Sheet!$M271&gt;54,"Old")</f>
        <v>Middle-aged</v>
      </c>
      <c r="O271" s="18" t="s">
        <v>15</v>
      </c>
    </row>
    <row r="272" spans="1:15" x14ac:dyDescent="0.25">
      <c r="A272" s="14">
        <v>12231</v>
      </c>
      <c r="B272" s="18" t="s">
        <v>37</v>
      </c>
      <c r="C272" s="18" t="s">
        <v>38</v>
      </c>
      <c r="D272" s="6">
        <v>10000</v>
      </c>
      <c r="E272" s="18" t="str" cm="1">
        <f t="array" ref="E272">_xlfn.IFS(Cleaned_Working_Sheet!$D272&lt;=50000,"Low Income",Cleaned_Working_Sheet!$D272&lt;100000,"Middle Income",TRUE,"High Income")</f>
        <v>Low Income</v>
      </c>
      <c r="F272" s="16">
        <v>2</v>
      </c>
      <c r="G272" s="18" t="s">
        <v>19</v>
      </c>
      <c r="H272" s="18" t="s">
        <v>25</v>
      </c>
      <c r="I272" s="18" t="s">
        <v>15</v>
      </c>
      <c r="J272" s="16">
        <v>0</v>
      </c>
      <c r="K272" s="18" t="s">
        <v>16</v>
      </c>
      <c r="L272" s="18" t="s">
        <v>17</v>
      </c>
      <c r="M272" s="14">
        <v>51</v>
      </c>
      <c r="N272" s="18" t="str" cm="1">
        <f t="array" ref="N272">_xlfn.IFS(Cleaned_Working_Sheet!$M272&lt;=34,"Young",Cleaned_Working_Sheet!$M272&lt;=54,"Middle-aged",Cleaned_Working_Sheet!$M272&gt;54,"Old")</f>
        <v>Middle-aged</v>
      </c>
      <c r="O272" s="18" t="s">
        <v>15</v>
      </c>
    </row>
    <row r="273" spans="1:15" x14ac:dyDescent="0.25">
      <c r="A273" s="14">
        <v>25665</v>
      </c>
      <c r="B273" s="18" t="s">
        <v>37</v>
      </c>
      <c r="C273" s="18" t="s">
        <v>38</v>
      </c>
      <c r="D273" s="6">
        <v>20000</v>
      </c>
      <c r="E273" s="18" t="str" cm="1">
        <f t="array" ref="E273">_xlfn.IFS(Cleaned_Working_Sheet!$D273&lt;=50000,"Low Income",Cleaned_Working_Sheet!$D273&lt;100000,"Middle Income",TRUE,"High Income")</f>
        <v>Low Income</v>
      </c>
      <c r="F273" s="16">
        <v>0</v>
      </c>
      <c r="G273" s="18" t="s">
        <v>27</v>
      </c>
      <c r="H273" s="18" t="s">
        <v>25</v>
      </c>
      <c r="I273" s="18" t="s">
        <v>18</v>
      </c>
      <c r="J273" s="16">
        <v>1</v>
      </c>
      <c r="K273" s="18" t="s">
        <v>26</v>
      </c>
      <c r="L273" s="18" t="s">
        <v>17</v>
      </c>
      <c r="M273" s="14">
        <v>28</v>
      </c>
      <c r="N273" s="18" t="str" cm="1">
        <f t="array" ref="N273">_xlfn.IFS(Cleaned_Working_Sheet!$M273&lt;=34,"Young",Cleaned_Working_Sheet!$M273&lt;=54,"Middle-aged",Cleaned_Working_Sheet!$M273&gt;54,"Old")</f>
        <v>Young</v>
      </c>
      <c r="O273" s="18" t="s">
        <v>18</v>
      </c>
    </row>
    <row r="274" spans="1:15" x14ac:dyDescent="0.25">
      <c r="A274" s="14">
        <v>24061</v>
      </c>
      <c r="B274" s="18" t="s">
        <v>36</v>
      </c>
      <c r="C274" s="18" t="s">
        <v>39</v>
      </c>
      <c r="D274" s="6">
        <v>10000</v>
      </c>
      <c r="E274" s="18" t="str" cm="1">
        <f t="array" ref="E274">_xlfn.IFS(Cleaned_Working_Sheet!$D274&lt;=50000,"Low Income",Cleaned_Working_Sheet!$D274&lt;100000,"Middle Income",TRUE,"High Income")</f>
        <v>Low Income</v>
      </c>
      <c r="F274" s="16">
        <v>4</v>
      </c>
      <c r="G274" s="18" t="s">
        <v>29</v>
      </c>
      <c r="H274" s="18" t="s">
        <v>25</v>
      </c>
      <c r="I274" s="18" t="s">
        <v>15</v>
      </c>
      <c r="J274" s="16">
        <v>1</v>
      </c>
      <c r="K274" s="18" t="s">
        <v>16</v>
      </c>
      <c r="L274" s="18" t="s">
        <v>17</v>
      </c>
      <c r="M274" s="14">
        <v>40</v>
      </c>
      <c r="N274" s="18" t="str" cm="1">
        <f t="array" ref="N274">_xlfn.IFS(Cleaned_Working_Sheet!$M274&lt;=34,"Young",Cleaned_Working_Sheet!$M274&lt;=54,"Middle-aged",Cleaned_Working_Sheet!$M274&gt;54,"Old")</f>
        <v>Middle-aged</v>
      </c>
      <c r="O274" s="18" t="s">
        <v>15</v>
      </c>
    </row>
    <row r="275" spans="1:15" x14ac:dyDescent="0.25">
      <c r="A275" s="14">
        <v>26879</v>
      </c>
      <c r="B275" s="18" t="s">
        <v>37</v>
      </c>
      <c r="C275" s="18" t="s">
        <v>38</v>
      </c>
      <c r="D275" s="6">
        <v>20000</v>
      </c>
      <c r="E275" s="18" t="str" cm="1">
        <f t="array" ref="E275">_xlfn.IFS(Cleaned_Working_Sheet!$D275&lt;=50000,"Low Income",Cleaned_Working_Sheet!$D275&lt;100000,"Middle Income",TRUE,"High Income")</f>
        <v>Low Income</v>
      </c>
      <c r="F275" s="16">
        <v>0</v>
      </c>
      <c r="G275" s="18" t="s">
        <v>27</v>
      </c>
      <c r="H275" s="18" t="s">
        <v>25</v>
      </c>
      <c r="I275" s="18" t="s">
        <v>18</v>
      </c>
      <c r="J275" s="16">
        <v>1</v>
      </c>
      <c r="K275" s="18" t="s">
        <v>22</v>
      </c>
      <c r="L275" s="18" t="s">
        <v>17</v>
      </c>
      <c r="M275" s="14">
        <v>30</v>
      </c>
      <c r="N275" s="18" t="str" cm="1">
        <f t="array" ref="N275">_xlfn.IFS(Cleaned_Working_Sheet!$M275&lt;=34,"Young",Cleaned_Working_Sheet!$M275&lt;=54,"Middle-aged",Cleaned_Working_Sheet!$M275&gt;54,"Old")</f>
        <v>Young</v>
      </c>
      <c r="O275" s="18" t="s">
        <v>18</v>
      </c>
    </row>
    <row r="276" spans="1:15" x14ac:dyDescent="0.25">
      <c r="A276" s="14">
        <v>12284</v>
      </c>
      <c r="B276" s="18" t="s">
        <v>36</v>
      </c>
      <c r="C276" s="18" t="s">
        <v>38</v>
      </c>
      <c r="D276" s="6">
        <v>30000</v>
      </c>
      <c r="E276" s="18" t="str" cm="1">
        <f t="array" ref="E276">_xlfn.IFS(Cleaned_Working_Sheet!$D276&lt;=50000,"Low Income",Cleaned_Working_Sheet!$D276&lt;100000,"Middle Income",TRUE,"High Income")</f>
        <v>Low Income</v>
      </c>
      <c r="F276" s="16">
        <v>0</v>
      </c>
      <c r="G276" s="18" t="s">
        <v>13</v>
      </c>
      <c r="H276" s="18" t="s">
        <v>20</v>
      </c>
      <c r="I276" s="18" t="s">
        <v>18</v>
      </c>
      <c r="J276" s="16">
        <v>0</v>
      </c>
      <c r="K276" s="18" t="s">
        <v>16</v>
      </c>
      <c r="L276" s="18" t="s">
        <v>17</v>
      </c>
      <c r="M276" s="14">
        <v>36</v>
      </c>
      <c r="N276" s="18" t="str" cm="1">
        <f t="array" ref="N276">_xlfn.IFS(Cleaned_Working_Sheet!$M276&lt;=34,"Young",Cleaned_Working_Sheet!$M276&lt;=54,"Middle-aged",Cleaned_Working_Sheet!$M276&gt;54,"Old")</f>
        <v>Middle-aged</v>
      </c>
      <c r="O276" s="18" t="s">
        <v>15</v>
      </c>
    </row>
    <row r="277" spans="1:15" x14ac:dyDescent="0.25">
      <c r="A277" s="14">
        <v>26654</v>
      </c>
      <c r="B277" s="18" t="s">
        <v>36</v>
      </c>
      <c r="C277" s="18" t="s">
        <v>38</v>
      </c>
      <c r="D277" s="6">
        <v>90000</v>
      </c>
      <c r="E277" s="18" t="str" cm="1">
        <f t="array" ref="E277">_xlfn.IFS(Cleaned_Working_Sheet!$D277&lt;=50000,"Low Income",Cleaned_Working_Sheet!$D277&lt;100000,"Middle Income",TRUE,"High Income")</f>
        <v>Middle Income</v>
      </c>
      <c r="F277" s="16">
        <v>1</v>
      </c>
      <c r="G277" s="18" t="s">
        <v>31</v>
      </c>
      <c r="H277" s="18" t="s">
        <v>28</v>
      </c>
      <c r="I277" s="18" t="s">
        <v>15</v>
      </c>
      <c r="J277" s="16">
        <v>0</v>
      </c>
      <c r="K277" s="18" t="s">
        <v>16</v>
      </c>
      <c r="L277" s="18" t="s">
        <v>24</v>
      </c>
      <c r="M277" s="14">
        <v>37</v>
      </c>
      <c r="N277" s="18" t="str" cm="1">
        <f t="array" ref="N277">_xlfn.IFS(Cleaned_Working_Sheet!$M277&lt;=34,"Young",Cleaned_Working_Sheet!$M277&lt;=54,"Middle-aged",Cleaned_Working_Sheet!$M277&gt;54,"Old")</f>
        <v>Middle-aged</v>
      </c>
      <c r="O277" s="18" t="s">
        <v>15</v>
      </c>
    </row>
    <row r="278" spans="1:15" x14ac:dyDescent="0.25">
      <c r="A278" s="14">
        <v>14545</v>
      </c>
      <c r="B278" s="18" t="s">
        <v>36</v>
      </c>
      <c r="C278" s="18" t="s">
        <v>38</v>
      </c>
      <c r="D278" s="6">
        <v>10000</v>
      </c>
      <c r="E278" s="18" t="str" cm="1">
        <f t="array" ref="E278">_xlfn.IFS(Cleaned_Working_Sheet!$D278&lt;=50000,"Low Income",Cleaned_Working_Sheet!$D278&lt;100000,"Middle Income",TRUE,"High Income")</f>
        <v>Low Income</v>
      </c>
      <c r="F278" s="16">
        <v>2</v>
      </c>
      <c r="G278" s="18" t="s">
        <v>19</v>
      </c>
      <c r="H278" s="18" t="s">
        <v>25</v>
      </c>
      <c r="I278" s="18" t="s">
        <v>15</v>
      </c>
      <c r="J278" s="16">
        <v>0</v>
      </c>
      <c r="K278" s="18" t="s">
        <v>26</v>
      </c>
      <c r="L278" s="18" t="s">
        <v>17</v>
      </c>
      <c r="M278" s="14">
        <v>49</v>
      </c>
      <c r="N278" s="18" t="str" cm="1">
        <f t="array" ref="N278">_xlfn.IFS(Cleaned_Working_Sheet!$M278&lt;=34,"Young",Cleaned_Working_Sheet!$M278&lt;=54,"Middle-aged",Cleaned_Working_Sheet!$M278&gt;54,"Old")</f>
        <v>Middle-aged</v>
      </c>
      <c r="O278" s="18" t="s">
        <v>18</v>
      </c>
    </row>
    <row r="279" spans="1:15" x14ac:dyDescent="0.25">
      <c r="A279" s="14">
        <v>24201</v>
      </c>
      <c r="B279" s="18" t="s">
        <v>36</v>
      </c>
      <c r="C279" s="18" t="s">
        <v>38</v>
      </c>
      <c r="D279" s="6">
        <v>10000</v>
      </c>
      <c r="E279" s="18" t="str" cm="1">
        <f t="array" ref="E279">_xlfn.IFS(Cleaned_Working_Sheet!$D279&lt;=50000,"Low Income",Cleaned_Working_Sheet!$D279&lt;100000,"Middle Income",TRUE,"High Income")</f>
        <v>Low Income</v>
      </c>
      <c r="F279" s="16">
        <v>2</v>
      </c>
      <c r="G279" s="18" t="s">
        <v>27</v>
      </c>
      <c r="H279" s="18" t="s">
        <v>25</v>
      </c>
      <c r="I279" s="18" t="s">
        <v>15</v>
      </c>
      <c r="J279" s="16">
        <v>0</v>
      </c>
      <c r="K279" s="18" t="s">
        <v>16</v>
      </c>
      <c r="L279" s="18" t="s">
        <v>17</v>
      </c>
      <c r="M279" s="14">
        <v>37</v>
      </c>
      <c r="N279" s="18" t="str" cm="1">
        <f t="array" ref="N279">_xlfn.IFS(Cleaned_Working_Sheet!$M279&lt;=34,"Young",Cleaned_Working_Sheet!$M279&lt;=54,"Middle-aged",Cleaned_Working_Sheet!$M279&gt;54,"Old")</f>
        <v>Middle-aged</v>
      </c>
      <c r="O279" s="18" t="s">
        <v>15</v>
      </c>
    </row>
    <row r="280" spans="1:15" x14ac:dyDescent="0.25">
      <c r="A280" s="14">
        <v>20625</v>
      </c>
      <c r="B280" s="18" t="s">
        <v>36</v>
      </c>
      <c r="C280" s="18" t="s">
        <v>39</v>
      </c>
      <c r="D280" s="6">
        <v>100000</v>
      </c>
      <c r="E280" s="18" t="str" cm="1">
        <f t="array" ref="E280">_xlfn.IFS(Cleaned_Working_Sheet!$D280&lt;=50000,"Low Income",Cleaned_Working_Sheet!$D280&lt;100000,"Middle Income",TRUE,"High Income")</f>
        <v>High Income</v>
      </c>
      <c r="F280" s="16">
        <v>0</v>
      </c>
      <c r="G280" s="18" t="s">
        <v>27</v>
      </c>
      <c r="H280" s="18" t="s">
        <v>28</v>
      </c>
      <c r="I280" s="18" t="s">
        <v>15</v>
      </c>
      <c r="J280" s="16">
        <v>3</v>
      </c>
      <c r="K280" s="18" t="s">
        <v>43</v>
      </c>
      <c r="L280" s="18" t="s">
        <v>24</v>
      </c>
      <c r="M280" s="14">
        <v>35</v>
      </c>
      <c r="N280" s="18" t="str" cm="1">
        <f t="array" ref="N280">_xlfn.IFS(Cleaned_Working_Sheet!$M280&lt;=34,"Young",Cleaned_Working_Sheet!$M280&lt;=54,"Middle-aged",Cleaned_Working_Sheet!$M280&gt;54,"Old")</f>
        <v>Middle-aged</v>
      </c>
      <c r="O280" s="18" t="s">
        <v>15</v>
      </c>
    </row>
    <row r="281" spans="1:15" x14ac:dyDescent="0.25">
      <c r="A281" s="14">
        <v>16390</v>
      </c>
      <c r="B281" s="18" t="s">
        <v>37</v>
      </c>
      <c r="C281" s="18" t="s">
        <v>39</v>
      </c>
      <c r="D281" s="6">
        <v>30000</v>
      </c>
      <c r="E281" s="18" t="str" cm="1">
        <f t="array" ref="E281">_xlfn.IFS(Cleaned_Working_Sheet!$D281&lt;=50000,"Low Income",Cleaned_Working_Sheet!$D281&lt;100000,"Middle Income",TRUE,"High Income")</f>
        <v>Low Income</v>
      </c>
      <c r="F281" s="16">
        <v>1</v>
      </c>
      <c r="G281" s="18" t="s">
        <v>13</v>
      </c>
      <c r="H281" s="18" t="s">
        <v>20</v>
      </c>
      <c r="I281" s="18" t="s">
        <v>18</v>
      </c>
      <c r="J281" s="16">
        <v>0</v>
      </c>
      <c r="K281" s="18" t="s">
        <v>16</v>
      </c>
      <c r="L281" s="18" t="s">
        <v>17</v>
      </c>
      <c r="M281" s="14">
        <v>38</v>
      </c>
      <c r="N281" s="18" t="str" cm="1">
        <f t="array" ref="N281">_xlfn.IFS(Cleaned_Working_Sheet!$M281&lt;=34,"Young",Cleaned_Working_Sheet!$M281&lt;=54,"Middle-aged",Cleaned_Working_Sheet!$M281&gt;54,"Old")</f>
        <v>Middle-aged</v>
      </c>
      <c r="O281" s="18" t="s">
        <v>15</v>
      </c>
    </row>
    <row r="282" spans="1:15" x14ac:dyDescent="0.25">
      <c r="A282" s="14">
        <v>14804</v>
      </c>
      <c r="B282" s="18" t="s">
        <v>37</v>
      </c>
      <c r="C282" s="18" t="s">
        <v>38</v>
      </c>
      <c r="D282" s="6">
        <v>10000</v>
      </c>
      <c r="E282" s="18" t="str" cm="1">
        <f t="array" ref="E282">_xlfn.IFS(Cleaned_Working_Sheet!$D282&lt;=50000,"Low Income",Cleaned_Working_Sheet!$D282&lt;100000,"Middle Income",TRUE,"High Income")</f>
        <v>Low Income</v>
      </c>
      <c r="F282" s="16">
        <v>3</v>
      </c>
      <c r="G282" s="18" t="s">
        <v>29</v>
      </c>
      <c r="H282" s="18" t="s">
        <v>25</v>
      </c>
      <c r="I282" s="18" t="s">
        <v>15</v>
      </c>
      <c r="J282" s="16">
        <v>2</v>
      </c>
      <c r="K282" s="18" t="s">
        <v>16</v>
      </c>
      <c r="L282" s="18" t="s">
        <v>17</v>
      </c>
      <c r="M282" s="14">
        <v>43</v>
      </c>
      <c r="N282" s="18" t="str" cm="1">
        <f t="array" ref="N282">_xlfn.IFS(Cleaned_Working_Sheet!$M282&lt;=34,"Young",Cleaned_Working_Sheet!$M282&lt;=54,"Middle-aged",Cleaned_Working_Sheet!$M282&gt;54,"Old")</f>
        <v>Middle-aged</v>
      </c>
      <c r="O282" s="18" t="s">
        <v>18</v>
      </c>
    </row>
    <row r="283" spans="1:15" x14ac:dyDescent="0.25">
      <c r="A283" s="14">
        <v>12629</v>
      </c>
      <c r="B283" s="18" t="s">
        <v>37</v>
      </c>
      <c r="C283" s="18" t="s">
        <v>39</v>
      </c>
      <c r="D283" s="6">
        <v>20000</v>
      </c>
      <c r="E283" s="18" t="str" cm="1">
        <f t="array" ref="E283">_xlfn.IFS(Cleaned_Working_Sheet!$D283&lt;=50000,"Low Income",Cleaned_Working_Sheet!$D283&lt;100000,"Middle Income",TRUE,"High Income")</f>
        <v>Low Income</v>
      </c>
      <c r="F283" s="16">
        <v>1</v>
      </c>
      <c r="G283" s="18" t="s">
        <v>19</v>
      </c>
      <c r="H283" s="18" t="s">
        <v>25</v>
      </c>
      <c r="I283" s="18" t="s">
        <v>18</v>
      </c>
      <c r="J283" s="16">
        <v>0</v>
      </c>
      <c r="K283" s="18" t="s">
        <v>16</v>
      </c>
      <c r="L283" s="18" t="s">
        <v>17</v>
      </c>
      <c r="M283" s="14">
        <v>37</v>
      </c>
      <c r="N283" s="18" t="str" cm="1">
        <f t="array" ref="N283">_xlfn.IFS(Cleaned_Working_Sheet!$M283&lt;=34,"Young",Cleaned_Working_Sheet!$M283&lt;=54,"Middle-aged",Cleaned_Working_Sheet!$M283&gt;54,"Old")</f>
        <v>Middle-aged</v>
      </c>
      <c r="O283" s="18" t="s">
        <v>18</v>
      </c>
    </row>
    <row r="284" spans="1:15" x14ac:dyDescent="0.25">
      <c r="A284" s="14">
        <v>14696</v>
      </c>
      <c r="B284" s="18" t="s">
        <v>37</v>
      </c>
      <c r="C284" s="18" t="s">
        <v>39</v>
      </c>
      <c r="D284" s="6">
        <v>10000</v>
      </c>
      <c r="E284" s="18" t="str" cm="1">
        <f t="array" ref="E284">_xlfn.IFS(Cleaned_Working_Sheet!$D284&lt;=50000,"Low Income",Cleaned_Working_Sheet!$D284&lt;100000,"Middle Income",TRUE,"High Income")</f>
        <v>Low Income</v>
      </c>
      <c r="F284" s="16">
        <v>0</v>
      </c>
      <c r="G284" s="18" t="s">
        <v>29</v>
      </c>
      <c r="H284" s="18" t="s">
        <v>25</v>
      </c>
      <c r="I284" s="18" t="s">
        <v>18</v>
      </c>
      <c r="J284" s="16">
        <v>2</v>
      </c>
      <c r="K284" s="18" t="s">
        <v>16</v>
      </c>
      <c r="L284" s="18" t="s">
        <v>17</v>
      </c>
      <c r="M284" s="14">
        <v>34</v>
      </c>
      <c r="N284" s="18" t="str" cm="1">
        <f t="array" ref="N284">_xlfn.IFS(Cleaned_Working_Sheet!$M284&lt;=34,"Young",Cleaned_Working_Sheet!$M284&lt;=54,"Middle-aged",Cleaned_Working_Sheet!$M284&gt;54,"Old")</f>
        <v>Young</v>
      </c>
      <c r="O284" s="18" t="s">
        <v>18</v>
      </c>
    </row>
    <row r="285" spans="1:15" x14ac:dyDescent="0.25">
      <c r="A285" s="14">
        <v>22005</v>
      </c>
      <c r="B285" s="18" t="s">
        <v>36</v>
      </c>
      <c r="C285" s="18" t="s">
        <v>38</v>
      </c>
      <c r="D285" s="6">
        <v>70000</v>
      </c>
      <c r="E285" s="18" t="str" cm="1">
        <f t="array" ref="E285">_xlfn.IFS(Cleaned_Working_Sheet!$D285&lt;=50000,"Low Income",Cleaned_Working_Sheet!$D285&lt;100000,"Middle Income",TRUE,"High Income")</f>
        <v>Middle Income</v>
      </c>
      <c r="F285" s="16">
        <v>5</v>
      </c>
      <c r="G285" s="18" t="s">
        <v>19</v>
      </c>
      <c r="H285" s="18" t="s">
        <v>14</v>
      </c>
      <c r="I285" s="18" t="s">
        <v>18</v>
      </c>
      <c r="J285" s="16">
        <v>3</v>
      </c>
      <c r="K285" s="18" t="s">
        <v>23</v>
      </c>
      <c r="L285" s="18" t="s">
        <v>24</v>
      </c>
      <c r="M285" s="14">
        <v>46</v>
      </c>
      <c r="N285" s="18" t="str" cm="1">
        <f t="array" ref="N285">_xlfn.IFS(Cleaned_Working_Sheet!$M285&lt;=34,"Young",Cleaned_Working_Sheet!$M285&lt;=54,"Middle-aged",Cleaned_Working_Sheet!$M285&gt;54,"Old")</f>
        <v>Middle-aged</v>
      </c>
      <c r="O285" s="18" t="s">
        <v>18</v>
      </c>
    </row>
    <row r="286" spans="1:15" x14ac:dyDescent="0.25">
      <c r="A286" s="14">
        <v>14544</v>
      </c>
      <c r="B286" s="18" t="s">
        <v>37</v>
      </c>
      <c r="C286" s="18" t="s">
        <v>39</v>
      </c>
      <c r="D286" s="6">
        <v>10000</v>
      </c>
      <c r="E286" s="18" t="str" cm="1">
        <f t="array" ref="E286">_xlfn.IFS(Cleaned_Working_Sheet!$D286&lt;=50000,"Low Income",Cleaned_Working_Sheet!$D286&lt;100000,"Middle Income",TRUE,"High Income")</f>
        <v>Low Income</v>
      </c>
      <c r="F286" s="16">
        <v>1</v>
      </c>
      <c r="G286" s="18" t="s">
        <v>19</v>
      </c>
      <c r="H286" s="18" t="s">
        <v>25</v>
      </c>
      <c r="I286" s="18" t="s">
        <v>15</v>
      </c>
      <c r="J286" s="16">
        <v>0</v>
      </c>
      <c r="K286" s="18" t="s">
        <v>16</v>
      </c>
      <c r="L286" s="18" t="s">
        <v>17</v>
      </c>
      <c r="M286" s="14">
        <v>49</v>
      </c>
      <c r="N286" s="18" t="str" cm="1">
        <f t="array" ref="N286">_xlfn.IFS(Cleaned_Working_Sheet!$M286&lt;=34,"Young",Cleaned_Working_Sheet!$M286&lt;=54,"Middle-aged",Cleaned_Working_Sheet!$M286&gt;54,"Old")</f>
        <v>Middle-aged</v>
      </c>
      <c r="O286" s="18" t="s">
        <v>18</v>
      </c>
    </row>
    <row r="287" spans="1:15" x14ac:dyDescent="0.25">
      <c r="A287" s="14">
        <v>14312</v>
      </c>
      <c r="B287" s="18" t="s">
        <v>36</v>
      </c>
      <c r="C287" s="18" t="s">
        <v>38</v>
      </c>
      <c r="D287" s="6">
        <v>60000</v>
      </c>
      <c r="E287" s="18" t="str" cm="1">
        <f t="array" ref="E287">_xlfn.IFS(Cleaned_Working_Sheet!$D287&lt;=50000,"Low Income",Cleaned_Working_Sheet!$D287&lt;100000,"Middle Income",TRUE,"High Income")</f>
        <v>Middle Income</v>
      </c>
      <c r="F287" s="16">
        <v>1</v>
      </c>
      <c r="G287" s="18" t="s">
        <v>19</v>
      </c>
      <c r="H287" s="18" t="s">
        <v>14</v>
      </c>
      <c r="I287" s="18" t="s">
        <v>15</v>
      </c>
      <c r="J287" s="16">
        <v>1</v>
      </c>
      <c r="K287" s="18" t="s">
        <v>23</v>
      </c>
      <c r="L287" s="18" t="s">
        <v>24</v>
      </c>
      <c r="M287" s="14">
        <v>45</v>
      </c>
      <c r="N287" s="18" t="str" cm="1">
        <f t="array" ref="N287">_xlfn.IFS(Cleaned_Working_Sheet!$M287&lt;=34,"Young",Cleaned_Working_Sheet!$M287&lt;=54,"Middle-aged",Cleaned_Working_Sheet!$M287&gt;54,"Old")</f>
        <v>Middle-aged</v>
      </c>
      <c r="O287" s="18" t="s">
        <v>18</v>
      </c>
    </row>
    <row r="288" spans="1:15" x14ac:dyDescent="0.25">
      <c r="A288" s="14">
        <v>29120</v>
      </c>
      <c r="B288" s="18" t="s">
        <v>37</v>
      </c>
      <c r="C288" s="18" t="s">
        <v>38</v>
      </c>
      <c r="D288" s="6">
        <v>100000</v>
      </c>
      <c r="E288" s="18" t="str" cm="1">
        <f t="array" ref="E288">_xlfn.IFS(Cleaned_Working_Sheet!$D288&lt;=50000,"Low Income",Cleaned_Working_Sheet!$D288&lt;100000,"Middle Income",TRUE,"High Income")</f>
        <v>High Income</v>
      </c>
      <c r="F288" s="16">
        <v>1</v>
      </c>
      <c r="G288" s="18" t="s">
        <v>13</v>
      </c>
      <c r="H288" s="18" t="s">
        <v>28</v>
      </c>
      <c r="I288" s="18" t="s">
        <v>15</v>
      </c>
      <c r="J288" s="16">
        <v>4</v>
      </c>
      <c r="K288" s="18" t="s">
        <v>22</v>
      </c>
      <c r="L288" s="18" t="s">
        <v>24</v>
      </c>
      <c r="M288" s="14">
        <v>48</v>
      </c>
      <c r="N288" s="18" t="str" cm="1">
        <f t="array" ref="N288">_xlfn.IFS(Cleaned_Working_Sheet!$M288&lt;=34,"Young",Cleaned_Working_Sheet!$M288&lt;=54,"Middle-aged",Cleaned_Working_Sheet!$M288&gt;54,"Old")</f>
        <v>Middle-aged</v>
      </c>
      <c r="O288" s="18" t="s">
        <v>18</v>
      </c>
    </row>
    <row r="289" spans="1:15" x14ac:dyDescent="0.25">
      <c r="A289" s="14">
        <v>24187</v>
      </c>
      <c r="B289" s="18" t="s">
        <v>37</v>
      </c>
      <c r="C289" s="18" t="s">
        <v>38</v>
      </c>
      <c r="D289" s="6">
        <v>30000</v>
      </c>
      <c r="E289" s="18" t="str" cm="1">
        <f t="array" ref="E289">_xlfn.IFS(Cleaned_Working_Sheet!$D289&lt;=50000,"Low Income",Cleaned_Working_Sheet!$D289&lt;100000,"Middle Income",TRUE,"High Income")</f>
        <v>Low Income</v>
      </c>
      <c r="F289" s="16">
        <v>3</v>
      </c>
      <c r="G289" s="18" t="s">
        <v>31</v>
      </c>
      <c r="H289" s="18" t="s">
        <v>20</v>
      </c>
      <c r="I289" s="18" t="s">
        <v>18</v>
      </c>
      <c r="J289" s="16">
        <v>0</v>
      </c>
      <c r="K289" s="18" t="s">
        <v>16</v>
      </c>
      <c r="L289" s="18" t="s">
        <v>17</v>
      </c>
      <c r="M289" s="14">
        <v>46</v>
      </c>
      <c r="N289" s="18" t="str" cm="1">
        <f t="array" ref="N289">_xlfn.IFS(Cleaned_Working_Sheet!$M289&lt;=34,"Young",Cleaned_Working_Sheet!$M289&lt;=54,"Middle-aged",Cleaned_Working_Sheet!$M289&gt;54,"Old")</f>
        <v>Middle-aged</v>
      </c>
      <c r="O289" s="18" t="s">
        <v>15</v>
      </c>
    </row>
    <row r="290" spans="1:15" x14ac:dyDescent="0.25">
      <c r="A290" s="14">
        <v>15758</v>
      </c>
      <c r="B290" s="18" t="s">
        <v>36</v>
      </c>
      <c r="C290" s="18" t="s">
        <v>39</v>
      </c>
      <c r="D290" s="6">
        <v>130000</v>
      </c>
      <c r="E290" s="18" t="str" cm="1">
        <f t="array" ref="E290">_xlfn.IFS(Cleaned_Working_Sheet!$D290&lt;=50000,"Low Income",Cleaned_Working_Sheet!$D290&lt;100000,"Middle Income",TRUE,"High Income")</f>
        <v>High Income</v>
      </c>
      <c r="F290" s="16">
        <v>0</v>
      </c>
      <c r="G290" s="18" t="s">
        <v>31</v>
      </c>
      <c r="H290" s="18" t="s">
        <v>28</v>
      </c>
      <c r="I290" s="18" t="s">
        <v>15</v>
      </c>
      <c r="J290" s="16">
        <v>0</v>
      </c>
      <c r="K290" s="18" t="s">
        <v>23</v>
      </c>
      <c r="L290" s="18" t="s">
        <v>24</v>
      </c>
      <c r="M290" s="14">
        <v>48</v>
      </c>
      <c r="N290" s="18" t="str" cm="1">
        <f t="array" ref="N290">_xlfn.IFS(Cleaned_Working_Sheet!$M290&lt;=34,"Young",Cleaned_Working_Sheet!$M290&lt;=54,"Middle-aged",Cleaned_Working_Sheet!$M290&gt;54,"Old")</f>
        <v>Middle-aged</v>
      </c>
      <c r="O290" s="18" t="s">
        <v>18</v>
      </c>
    </row>
    <row r="291" spans="1:15" x14ac:dyDescent="0.25">
      <c r="A291" s="14">
        <v>29094</v>
      </c>
      <c r="B291" s="18" t="s">
        <v>36</v>
      </c>
      <c r="C291" s="18" t="s">
        <v>39</v>
      </c>
      <c r="D291" s="6">
        <v>30000</v>
      </c>
      <c r="E291" s="18" t="str" cm="1">
        <f t="array" ref="E291">_xlfn.IFS(Cleaned_Working_Sheet!$D291&lt;=50000,"Low Income",Cleaned_Working_Sheet!$D291&lt;100000,"Middle Income",TRUE,"High Income")</f>
        <v>Low Income</v>
      </c>
      <c r="F291" s="16">
        <v>3</v>
      </c>
      <c r="G291" s="18" t="s">
        <v>27</v>
      </c>
      <c r="H291" s="18" t="s">
        <v>14</v>
      </c>
      <c r="I291" s="18" t="s">
        <v>15</v>
      </c>
      <c r="J291" s="16">
        <v>2</v>
      </c>
      <c r="K291" s="18" t="s">
        <v>23</v>
      </c>
      <c r="L291" s="18" t="s">
        <v>24</v>
      </c>
      <c r="M291" s="14">
        <v>54</v>
      </c>
      <c r="N291" s="18" t="str" cm="1">
        <f t="array" ref="N291">_xlfn.IFS(Cleaned_Working_Sheet!$M291&lt;=34,"Young",Cleaned_Working_Sheet!$M291&lt;=54,"Middle-aged",Cleaned_Working_Sheet!$M291&gt;54,"Old")</f>
        <v>Middle-aged</v>
      </c>
      <c r="O291" s="18" t="s">
        <v>15</v>
      </c>
    </row>
    <row r="292" spans="1:15" x14ac:dyDescent="0.25">
      <c r="A292" s="14">
        <v>28319</v>
      </c>
      <c r="B292" s="18" t="s">
        <v>37</v>
      </c>
      <c r="C292" s="18" t="s">
        <v>38</v>
      </c>
      <c r="D292" s="6">
        <v>60000</v>
      </c>
      <c r="E292" s="18" t="str" cm="1">
        <f t="array" ref="E292">_xlfn.IFS(Cleaned_Working_Sheet!$D292&lt;=50000,"Low Income",Cleaned_Working_Sheet!$D292&lt;100000,"Middle Income",TRUE,"High Income")</f>
        <v>Middle Income</v>
      </c>
      <c r="F292" s="16">
        <v>1</v>
      </c>
      <c r="G292" s="18" t="s">
        <v>19</v>
      </c>
      <c r="H292" s="18" t="s">
        <v>14</v>
      </c>
      <c r="I292" s="18" t="s">
        <v>18</v>
      </c>
      <c r="J292" s="16">
        <v>1</v>
      </c>
      <c r="K292" s="18" t="s">
        <v>16</v>
      </c>
      <c r="L292" s="18" t="s">
        <v>24</v>
      </c>
      <c r="M292" s="14">
        <v>46</v>
      </c>
      <c r="N292" s="18" t="str" cm="1">
        <f t="array" ref="N292">_xlfn.IFS(Cleaned_Working_Sheet!$M292&lt;=34,"Young",Cleaned_Working_Sheet!$M292&lt;=54,"Middle-aged",Cleaned_Working_Sheet!$M292&gt;54,"Old")</f>
        <v>Middle-aged</v>
      </c>
      <c r="O292" s="18" t="s">
        <v>15</v>
      </c>
    </row>
    <row r="293" spans="1:15" x14ac:dyDescent="0.25">
      <c r="A293" s="14">
        <v>16406</v>
      </c>
      <c r="B293" s="18" t="s">
        <v>36</v>
      </c>
      <c r="C293" s="18" t="s">
        <v>39</v>
      </c>
      <c r="D293" s="6">
        <v>40000</v>
      </c>
      <c r="E293" s="18" t="str" cm="1">
        <f t="array" ref="E293">_xlfn.IFS(Cleaned_Working_Sheet!$D293&lt;=50000,"Low Income",Cleaned_Working_Sheet!$D293&lt;100000,"Middle Income",TRUE,"High Income")</f>
        <v>Low Income</v>
      </c>
      <c r="F293" s="16">
        <v>0</v>
      </c>
      <c r="G293" s="18" t="s">
        <v>13</v>
      </c>
      <c r="H293" s="18" t="s">
        <v>20</v>
      </c>
      <c r="I293" s="18" t="s">
        <v>18</v>
      </c>
      <c r="J293" s="16">
        <v>0</v>
      </c>
      <c r="K293" s="18" t="s">
        <v>16</v>
      </c>
      <c r="L293" s="18" t="s">
        <v>17</v>
      </c>
      <c r="M293" s="14">
        <v>38</v>
      </c>
      <c r="N293" s="18" t="str" cm="1">
        <f t="array" ref="N293">_xlfn.IFS(Cleaned_Working_Sheet!$M293&lt;=34,"Young",Cleaned_Working_Sheet!$M293&lt;=54,"Middle-aged",Cleaned_Working_Sheet!$M293&gt;54,"Old")</f>
        <v>Middle-aged</v>
      </c>
      <c r="O293" s="18" t="s">
        <v>15</v>
      </c>
    </row>
    <row r="294" spans="1:15" x14ac:dyDescent="0.25">
      <c r="A294" s="14">
        <v>20923</v>
      </c>
      <c r="B294" s="18" t="s">
        <v>36</v>
      </c>
      <c r="C294" s="18" t="s">
        <v>38</v>
      </c>
      <c r="D294" s="6">
        <v>40000</v>
      </c>
      <c r="E294" s="18" t="str" cm="1">
        <f t="array" ref="E294">_xlfn.IFS(Cleaned_Working_Sheet!$D294&lt;=50000,"Low Income",Cleaned_Working_Sheet!$D294&lt;100000,"Middle Income",TRUE,"High Income")</f>
        <v>Low Income</v>
      </c>
      <c r="F294" s="16">
        <v>1</v>
      </c>
      <c r="G294" s="18" t="s">
        <v>13</v>
      </c>
      <c r="H294" s="18" t="s">
        <v>14</v>
      </c>
      <c r="I294" s="18" t="s">
        <v>15</v>
      </c>
      <c r="J294" s="16">
        <v>0</v>
      </c>
      <c r="K294" s="18" t="s">
        <v>16</v>
      </c>
      <c r="L294" s="18" t="s">
        <v>17</v>
      </c>
      <c r="M294" s="14">
        <v>42</v>
      </c>
      <c r="N294" s="18" t="str" cm="1">
        <f t="array" ref="N294">_xlfn.IFS(Cleaned_Working_Sheet!$M294&lt;=34,"Young",Cleaned_Working_Sheet!$M294&lt;=54,"Middle-aged",Cleaned_Working_Sheet!$M294&gt;54,"Old")</f>
        <v>Middle-aged</v>
      </c>
      <c r="O294" s="18" t="s">
        <v>15</v>
      </c>
    </row>
    <row r="295" spans="1:15" x14ac:dyDescent="0.25">
      <c r="A295" s="14">
        <v>11378</v>
      </c>
      <c r="B295" s="18" t="s">
        <v>37</v>
      </c>
      <c r="C295" s="18" t="s">
        <v>38</v>
      </c>
      <c r="D295" s="6">
        <v>10000</v>
      </c>
      <c r="E295" s="18" t="str" cm="1">
        <f t="array" ref="E295">_xlfn.IFS(Cleaned_Working_Sheet!$D295&lt;=50000,"Low Income",Cleaned_Working_Sheet!$D295&lt;100000,"Middle Income",TRUE,"High Income")</f>
        <v>Low Income</v>
      </c>
      <c r="F295" s="16">
        <v>1</v>
      </c>
      <c r="G295" s="18" t="s">
        <v>27</v>
      </c>
      <c r="H295" s="18" t="s">
        <v>25</v>
      </c>
      <c r="I295" s="18" t="s">
        <v>18</v>
      </c>
      <c r="J295" s="16">
        <v>1</v>
      </c>
      <c r="K295" s="18" t="s">
        <v>22</v>
      </c>
      <c r="L295" s="18" t="s">
        <v>17</v>
      </c>
      <c r="M295" s="14">
        <v>46</v>
      </c>
      <c r="N295" s="18" t="str" cm="1">
        <f t="array" ref="N295">_xlfn.IFS(Cleaned_Working_Sheet!$M295&lt;=34,"Young",Cleaned_Working_Sheet!$M295&lt;=54,"Middle-aged",Cleaned_Working_Sheet!$M295&gt;54,"Old")</f>
        <v>Middle-aged</v>
      </c>
      <c r="O295" s="18" t="s">
        <v>15</v>
      </c>
    </row>
    <row r="296" spans="1:15" x14ac:dyDescent="0.25">
      <c r="A296" s="14">
        <v>20851</v>
      </c>
      <c r="B296" s="18" t="s">
        <v>37</v>
      </c>
      <c r="C296" s="18" t="s">
        <v>39</v>
      </c>
      <c r="D296" s="6">
        <v>20000</v>
      </c>
      <c r="E296" s="18" t="str" cm="1">
        <f t="array" ref="E296">_xlfn.IFS(Cleaned_Working_Sheet!$D296&lt;=50000,"Low Income",Cleaned_Working_Sheet!$D296&lt;100000,"Middle Income",TRUE,"High Income")</f>
        <v>Low Income</v>
      </c>
      <c r="F296" s="16">
        <v>0</v>
      </c>
      <c r="G296" s="18" t="s">
        <v>19</v>
      </c>
      <c r="H296" s="18" t="s">
        <v>25</v>
      </c>
      <c r="I296" s="18" t="s">
        <v>18</v>
      </c>
      <c r="J296" s="16">
        <v>1</v>
      </c>
      <c r="K296" s="18" t="s">
        <v>22</v>
      </c>
      <c r="L296" s="18" t="s">
        <v>17</v>
      </c>
      <c r="M296" s="14">
        <v>36</v>
      </c>
      <c r="N296" s="18" t="str" cm="1">
        <f t="array" ref="N296">_xlfn.IFS(Cleaned_Working_Sheet!$M296&lt;=34,"Young",Cleaned_Working_Sheet!$M296&lt;=54,"Middle-aged",Cleaned_Working_Sheet!$M296&gt;54,"Old")</f>
        <v>Middle-aged</v>
      </c>
      <c r="O296" s="18" t="s">
        <v>15</v>
      </c>
    </row>
    <row r="297" spans="1:15" x14ac:dyDescent="0.25">
      <c r="A297" s="14">
        <v>21557</v>
      </c>
      <c r="B297" s="18" t="s">
        <v>37</v>
      </c>
      <c r="C297" s="18" t="s">
        <v>38</v>
      </c>
      <c r="D297" s="6">
        <v>110000</v>
      </c>
      <c r="E297" s="18" t="str" cm="1">
        <f t="array" ref="E297">_xlfn.IFS(Cleaned_Working_Sheet!$D297&lt;=50000,"Low Income",Cleaned_Working_Sheet!$D297&lt;100000,"Middle Income",TRUE,"High Income")</f>
        <v>High Income</v>
      </c>
      <c r="F297" s="16">
        <v>0</v>
      </c>
      <c r="G297" s="18" t="s">
        <v>19</v>
      </c>
      <c r="H297" s="18" t="s">
        <v>28</v>
      </c>
      <c r="I297" s="18" t="s">
        <v>15</v>
      </c>
      <c r="J297" s="16">
        <v>3</v>
      </c>
      <c r="K297" s="18" t="s">
        <v>43</v>
      </c>
      <c r="L297" s="18" t="s">
        <v>24</v>
      </c>
      <c r="M297" s="14">
        <v>32</v>
      </c>
      <c r="N297" s="18" t="str" cm="1">
        <f t="array" ref="N297">_xlfn.IFS(Cleaned_Working_Sheet!$M297&lt;=34,"Young",Cleaned_Working_Sheet!$M297&lt;=54,"Middle-aged",Cleaned_Working_Sheet!$M297&gt;54,"Old")</f>
        <v>Young</v>
      </c>
      <c r="O297" s="18" t="s">
        <v>15</v>
      </c>
    </row>
    <row r="298" spans="1:15" x14ac:dyDescent="0.25">
      <c r="A298" s="14">
        <v>26663</v>
      </c>
      <c r="B298" s="18" t="s">
        <v>37</v>
      </c>
      <c r="C298" s="18" t="s">
        <v>38</v>
      </c>
      <c r="D298" s="6">
        <v>60000</v>
      </c>
      <c r="E298" s="18" t="str" cm="1">
        <f t="array" ref="E298">_xlfn.IFS(Cleaned_Working_Sheet!$D298&lt;=50000,"Low Income",Cleaned_Working_Sheet!$D298&lt;100000,"Middle Income",TRUE,"High Income")</f>
        <v>Middle Income</v>
      </c>
      <c r="F298" s="16">
        <v>2</v>
      </c>
      <c r="G298" s="18" t="s">
        <v>13</v>
      </c>
      <c r="H298" s="18" t="s">
        <v>21</v>
      </c>
      <c r="I298" s="18" t="s">
        <v>18</v>
      </c>
      <c r="J298" s="16">
        <v>1</v>
      </c>
      <c r="K298" s="18" t="s">
        <v>16</v>
      </c>
      <c r="L298" s="18" t="s">
        <v>24</v>
      </c>
      <c r="M298" s="14">
        <v>39</v>
      </c>
      <c r="N298" s="18" t="str" cm="1">
        <f t="array" ref="N298">_xlfn.IFS(Cleaned_Working_Sheet!$M298&lt;=34,"Young",Cleaned_Working_Sheet!$M298&lt;=54,"Middle-aged",Cleaned_Working_Sheet!$M298&gt;54,"Old")</f>
        <v>Middle-aged</v>
      </c>
      <c r="O298" s="18" t="s">
        <v>15</v>
      </c>
    </row>
    <row r="299" spans="1:15" x14ac:dyDescent="0.25">
      <c r="A299" s="14">
        <v>11896</v>
      </c>
      <c r="B299" s="18" t="s">
        <v>36</v>
      </c>
      <c r="C299" s="18" t="s">
        <v>39</v>
      </c>
      <c r="D299" s="6">
        <v>100000</v>
      </c>
      <c r="E299" s="18" t="str" cm="1">
        <f t="array" ref="E299">_xlfn.IFS(Cleaned_Working_Sheet!$D299&lt;=50000,"Low Income",Cleaned_Working_Sheet!$D299&lt;100000,"Middle Income",TRUE,"High Income")</f>
        <v>High Income</v>
      </c>
      <c r="F299" s="16">
        <v>1</v>
      </c>
      <c r="G299" s="18" t="s">
        <v>31</v>
      </c>
      <c r="H299" s="18" t="s">
        <v>28</v>
      </c>
      <c r="I299" s="18" t="s">
        <v>15</v>
      </c>
      <c r="J299" s="16">
        <v>0</v>
      </c>
      <c r="K299" s="18" t="s">
        <v>22</v>
      </c>
      <c r="L299" s="18" t="s">
        <v>24</v>
      </c>
      <c r="M299" s="14">
        <v>36</v>
      </c>
      <c r="N299" s="18" t="str" cm="1">
        <f t="array" ref="N299">_xlfn.IFS(Cleaned_Working_Sheet!$M299&lt;=34,"Young",Cleaned_Working_Sheet!$M299&lt;=54,"Middle-aged",Cleaned_Working_Sheet!$M299&gt;54,"Old")</f>
        <v>Middle-aged</v>
      </c>
      <c r="O299" s="18" t="s">
        <v>15</v>
      </c>
    </row>
    <row r="300" spans="1:15" x14ac:dyDescent="0.25">
      <c r="A300" s="14">
        <v>14189</v>
      </c>
      <c r="B300" s="18" t="s">
        <v>36</v>
      </c>
      <c r="C300" s="18" t="s">
        <v>38</v>
      </c>
      <c r="D300" s="6">
        <v>90000</v>
      </c>
      <c r="E300" s="18" t="str" cm="1">
        <f t="array" ref="E300">_xlfn.IFS(Cleaned_Working_Sheet!$D300&lt;=50000,"Low Income",Cleaned_Working_Sheet!$D300&lt;100000,"Middle Income",TRUE,"High Income")</f>
        <v>Middle Income</v>
      </c>
      <c r="F300" s="16">
        <v>4</v>
      </c>
      <c r="G300" s="18" t="s">
        <v>27</v>
      </c>
      <c r="H300" s="18" t="s">
        <v>21</v>
      </c>
      <c r="I300" s="18" t="s">
        <v>18</v>
      </c>
      <c r="J300" s="16">
        <v>2</v>
      </c>
      <c r="K300" s="18" t="s">
        <v>22</v>
      </c>
      <c r="L300" s="18" t="s">
        <v>17</v>
      </c>
      <c r="M300" s="14">
        <v>54</v>
      </c>
      <c r="N300" s="18" t="str" cm="1">
        <f t="array" ref="N300">_xlfn.IFS(Cleaned_Working_Sheet!$M300&lt;=34,"Young",Cleaned_Working_Sheet!$M300&lt;=54,"Middle-aged",Cleaned_Working_Sheet!$M300&gt;54,"Old")</f>
        <v>Middle-aged</v>
      </c>
      <c r="O300" s="18" t="s">
        <v>15</v>
      </c>
    </row>
    <row r="301" spans="1:15" x14ac:dyDescent="0.25">
      <c r="A301" s="14">
        <v>13136</v>
      </c>
      <c r="B301" s="18" t="s">
        <v>36</v>
      </c>
      <c r="C301" s="18" t="s">
        <v>38</v>
      </c>
      <c r="D301" s="6">
        <v>30000</v>
      </c>
      <c r="E301" s="18" t="str" cm="1">
        <f t="array" ref="E301">_xlfn.IFS(Cleaned_Working_Sheet!$D301&lt;=50000,"Low Income",Cleaned_Working_Sheet!$D301&lt;100000,"Middle Income",TRUE,"High Income")</f>
        <v>Low Income</v>
      </c>
      <c r="F301" s="16">
        <v>2</v>
      </c>
      <c r="G301" s="18" t="s">
        <v>19</v>
      </c>
      <c r="H301" s="18" t="s">
        <v>20</v>
      </c>
      <c r="I301" s="18" t="s">
        <v>18</v>
      </c>
      <c r="J301" s="16">
        <v>2</v>
      </c>
      <c r="K301" s="18" t="s">
        <v>23</v>
      </c>
      <c r="L301" s="18" t="s">
        <v>24</v>
      </c>
      <c r="M301" s="14">
        <v>69</v>
      </c>
      <c r="N301" s="18" t="str" cm="1">
        <f t="array" ref="N301">_xlfn.IFS(Cleaned_Working_Sheet!$M301&lt;=34,"Young",Cleaned_Working_Sheet!$M301&lt;=54,"Middle-aged",Cleaned_Working_Sheet!$M301&gt;54,"Old")</f>
        <v>Old</v>
      </c>
      <c r="O301" s="18" t="s">
        <v>18</v>
      </c>
    </row>
    <row r="302" spans="1:15" x14ac:dyDescent="0.25">
      <c r="A302" s="14">
        <v>25906</v>
      </c>
      <c r="B302" s="18" t="s">
        <v>37</v>
      </c>
      <c r="C302" s="18" t="s">
        <v>38</v>
      </c>
      <c r="D302" s="6">
        <v>10000</v>
      </c>
      <c r="E302" s="18" t="str" cm="1">
        <f t="array" ref="E302">_xlfn.IFS(Cleaned_Working_Sheet!$D302&lt;=50000,"Low Income",Cleaned_Working_Sheet!$D302&lt;100000,"Middle Income",TRUE,"High Income")</f>
        <v>Low Income</v>
      </c>
      <c r="F302" s="16">
        <v>5</v>
      </c>
      <c r="G302" s="18" t="s">
        <v>27</v>
      </c>
      <c r="H302" s="18" t="s">
        <v>14</v>
      </c>
      <c r="I302" s="18" t="s">
        <v>18</v>
      </c>
      <c r="J302" s="16">
        <v>2</v>
      </c>
      <c r="K302" s="18" t="s">
        <v>26</v>
      </c>
      <c r="L302" s="18" t="s">
        <v>24</v>
      </c>
      <c r="M302" s="14">
        <v>62</v>
      </c>
      <c r="N302" s="18" t="str" cm="1">
        <f t="array" ref="N302">_xlfn.IFS(Cleaned_Working_Sheet!$M302&lt;=34,"Young",Cleaned_Working_Sheet!$M302&lt;=54,"Middle-aged",Cleaned_Working_Sheet!$M302&gt;54,"Old")</f>
        <v>Old</v>
      </c>
      <c r="O302" s="18" t="s">
        <v>18</v>
      </c>
    </row>
    <row r="303" spans="1:15" x14ac:dyDescent="0.25">
      <c r="A303" s="14">
        <v>17926</v>
      </c>
      <c r="B303" s="18" t="s">
        <v>37</v>
      </c>
      <c r="C303" s="18" t="s">
        <v>38</v>
      </c>
      <c r="D303" s="6">
        <v>40000</v>
      </c>
      <c r="E303" s="18" t="str" cm="1">
        <f t="array" ref="E303">_xlfn.IFS(Cleaned_Working_Sheet!$D303&lt;=50000,"Low Income",Cleaned_Working_Sheet!$D303&lt;100000,"Middle Income",TRUE,"High Income")</f>
        <v>Low Income</v>
      </c>
      <c r="F303" s="16">
        <v>0</v>
      </c>
      <c r="G303" s="18" t="s">
        <v>13</v>
      </c>
      <c r="H303" s="18" t="s">
        <v>20</v>
      </c>
      <c r="I303" s="18" t="s">
        <v>18</v>
      </c>
      <c r="J303" s="16">
        <v>0</v>
      </c>
      <c r="K303" s="18" t="s">
        <v>16</v>
      </c>
      <c r="L303" s="18" t="s">
        <v>24</v>
      </c>
      <c r="M303" s="14">
        <v>28</v>
      </c>
      <c r="N303" s="18" t="str" cm="1">
        <f t="array" ref="N303">_xlfn.IFS(Cleaned_Working_Sheet!$M303&lt;=34,"Young",Cleaned_Working_Sheet!$M303&lt;=54,"Middle-aged",Cleaned_Working_Sheet!$M303&gt;54,"Old")</f>
        <v>Young</v>
      </c>
      <c r="O303" s="18" t="s">
        <v>15</v>
      </c>
    </row>
    <row r="304" spans="1:15" x14ac:dyDescent="0.25">
      <c r="A304" s="14">
        <v>26928</v>
      </c>
      <c r="B304" s="18" t="s">
        <v>37</v>
      </c>
      <c r="C304" s="18" t="s">
        <v>39</v>
      </c>
      <c r="D304" s="6">
        <v>30000</v>
      </c>
      <c r="E304" s="18" t="str" cm="1">
        <f t="array" ref="E304">_xlfn.IFS(Cleaned_Working_Sheet!$D304&lt;=50000,"Low Income",Cleaned_Working_Sheet!$D304&lt;100000,"Middle Income",TRUE,"High Income")</f>
        <v>Low Income</v>
      </c>
      <c r="F304" s="16">
        <v>1</v>
      </c>
      <c r="G304" s="18" t="s">
        <v>13</v>
      </c>
      <c r="H304" s="18" t="s">
        <v>20</v>
      </c>
      <c r="I304" s="18" t="s">
        <v>15</v>
      </c>
      <c r="J304" s="16">
        <v>0</v>
      </c>
      <c r="K304" s="18" t="s">
        <v>16</v>
      </c>
      <c r="L304" s="18" t="s">
        <v>17</v>
      </c>
      <c r="M304" s="14">
        <v>62</v>
      </c>
      <c r="N304" s="18" t="str" cm="1">
        <f t="array" ref="N304">_xlfn.IFS(Cleaned_Working_Sheet!$M304&lt;=34,"Young",Cleaned_Working_Sheet!$M304&lt;=54,"Middle-aged",Cleaned_Working_Sheet!$M304&gt;54,"Old")</f>
        <v>Old</v>
      </c>
      <c r="O304" s="18" t="s">
        <v>15</v>
      </c>
    </row>
    <row r="305" spans="1:15" x14ac:dyDescent="0.25">
      <c r="A305" s="14">
        <v>20897</v>
      </c>
      <c r="B305" s="18" t="s">
        <v>36</v>
      </c>
      <c r="C305" s="18" t="s">
        <v>38</v>
      </c>
      <c r="D305" s="6">
        <v>30000</v>
      </c>
      <c r="E305" s="18" t="str" cm="1">
        <f t="array" ref="E305">_xlfn.IFS(Cleaned_Working_Sheet!$D305&lt;=50000,"Low Income",Cleaned_Working_Sheet!$D305&lt;100000,"Middle Income",TRUE,"High Income")</f>
        <v>Low Income</v>
      </c>
      <c r="F305" s="16">
        <v>1</v>
      </c>
      <c r="G305" s="18" t="s">
        <v>13</v>
      </c>
      <c r="H305" s="18" t="s">
        <v>14</v>
      </c>
      <c r="I305" s="18" t="s">
        <v>15</v>
      </c>
      <c r="J305" s="16">
        <v>2</v>
      </c>
      <c r="K305" s="18" t="s">
        <v>16</v>
      </c>
      <c r="L305" s="18" t="s">
        <v>17</v>
      </c>
      <c r="M305" s="14">
        <v>40</v>
      </c>
      <c r="N305" s="18" t="str" cm="1">
        <f t="array" ref="N305">_xlfn.IFS(Cleaned_Working_Sheet!$M305&lt;=34,"Young",Cleaned_Working_Sheet!$M305&lt;=54,"Middle-aged",Cleaned_Working_Sheet!$M305&gt;54,"Old")</f>
        <v>Middle-aged</v>
      </c>
      <c r="O305" s="18" t="s">
        <v>18</v>
      </c>
    </row>
    <row r="306" spans="1:15" x14ac:dyDescent="0.25">
      <c r="A306" s="14">
        <v>28207</v>
      </c>
      <c r="B306" s="18" t="s">
        <v>36</v>
      </c>
      <c r="C306" s="18" t="s">
        <v>39</v>
      </c>
      <c r="D306" s="6">
        <v>80000</v>
      </c>
      <c r="E306" s="18" t="str" cm="1">
        <f t="array" ref="E306">_xlfn.IFS(Cleaned_Working_Sheet!$D306&lt;=50000,"Low Income",Cleaned_Working_Sheet!$D306&lt;100000,"Middle Income",TRUE,"High Income")</f>
        <v>Middle Income</v>
      </c>
      <c r="F306" s="16">
        <v>4</v>
      </c>
      <c r="G306" s="18" t="s">
        <v>31</v>
      </c>
      <c r="H306" s="18" t="s">
        <v>28</v>
      </c>
      <c r="I306" s="18" t="s">
        <v>15</v>
      </c>
      <c r="J306" s="16">
        <v>1</v>
      </c>
      <c r="K306" s="18" t="s">
        <v>16</v>
      </c>
      <c r="L306" s="18" t="s">
        <v>24</v>
      </c>
      <c r="M306" s="14">
        <v>36</v>
      </c>
      <c r="N306" s="18" t="str" cm="1">
        <f t="array" ref="N306">_xlfn.IFS(Cleaned_Working_Sheet!$M306&lt;=34,"Young",Cleaned_Working_Sheet!$M306&lt;=54,"Middle-aged",Cleaned_Working_Sheet!$M306&gt;54,"Old")</f>
        <v>Middle-aged</v>
      </c>
      <c r="O306" s="18" t="s">
        <v>15</v>
      </c>
    </row>
    <row r="307" spans="1:15" x14ac:dyDescent="0.25">
      <c r="A307" s="14">
        <v>25923</v>
      </c>
      <c r="B307" s="18" t="s">
        <v>37</v>
      </c>
      <c r="C307" s="18" t="s">
        <v>39</v>
      </c>
      <c r="D307" s="6">
        <v>10000</v>
      </c>
      <c r="E307" s="18" t="str" cm="1">
        <f t="array" ref="E307">_xlfn.IFS(Cleaned_Working_Sheet!$D307&lt;=50000,"Low Income",Cleaned_Working_Sheet!$D307&lt;100000,"Middle Income",TRUE,"High Income")</f>
        <v>Low Income</v>
      </c>
      <c r="F307" s="16">
        <v>2</v>
      </c>
      <c r="G307" s="18" t="s">
        <v>29</v>
      </c>
      <c r="H307" s="18" t="s">
        <v>20</v>
      </c>
      <c r="I307" s="18" t="s">
        <v>15</v>
      </c>
      <c r="J307" s="16">
        <v>2</v>
      </c>
      <c r="K307" s="18" t="s">
        <v>23</v>
      </c>
      <c r="L307" s="18" t="s">
        <v>24</v>
      </c>
      <c r="M307" s="14">
        <v>58</v>
      </c>
      <c r="N307" s="18" t="str" cm="1">
        <f t="array" ref="N307">_xlfn.IFS(Cleaned_Working_Sheet!$M307&lt;=34,"Young",Cleaned_Working_Sheet!$M307&lt;=54,"Middle-aged",Cleaned_Working_Sheet!$M307&gt;54,"Old")</f>
        <v>Old</v>
      </c>
      <c r="O307" s="18" t="s">
        <v>18</v>
      </c>
    </row>
    <row r="308" spans="1:15" x14ac:dyDescent="0.25">
      <c r="A308" s="14">
        <v>11000</v>
      </c>
      <c r="B308" s="18" t="s">
        <v>36</v>
      </c>
      <c r="C308" s="18" t="s">
        <v>39</v>
      </c>
      <c r="D308" s="6">
        <v>90000</v>
      </c>
      <c r="E308" s="18" t="str" cm="1">
        <f t="array" ref="E308">_xlfn.IFS(Cleaned_Working_Sheet!$D308&lt;=50000,"Low Income",Cleaned_Working_Sheet!$D308&lt;100000,"Middle Income",TRUE,"High Income")</f>
        <v>Middle Income</v>
      </c>
      <c r="F308" s="16">
        <v>2</v>
      </c>
      <c r="G308" s="18" t="s">
        <v>13</v>
      </c>
      <c r="H308" s="18" t="s">
        <v>21</v>
      </c>
      <c r="I308" s="18" t="s">
        <v>15</v>
      </c>
      <c r="J308" s="16">
        <v>0</v>
      </c>
      <c r="K308" s="18" t="s">
        <v>26</v>
      </c>
      <c r="L308" s="18" t="s">
        <v>24</v>
      </c>
      <c r="M308" s="14">
        <v>40</v>
      </c>
      <c r="N308" s="18" t="str" cm="1">
        <f t="array" ref="N308">_xlfn.IFS(Cleaned_Working_Sheet!$M308&lt;=34,"Young",Cleaned_Working_Sheet!$M308&lt;=54,"Middle-aged",Cleaned_Working_Sheet!$M308&gt;54,"Old")</f>
        <v>Middle-aged</v>
      </c>
      <c r="O308" s="18" t="s">
        <v>15</v>
      </c>
    </row>
    <row r="309" spans="1:15" x14ac:dyDescent="0.25">
      <c r="A309" s="14">
        <v>20974</v>
      </c>
      <c r="B309" s="18" t="s">
        <v>36</v>
      </c>
      <c r="C309" s="18" t="s">
        <v>39</v>
      </c>
      <c r="D309" s="6">
        <v>10000</v>
      </c>
      <c r="E309" s="18" t="str" cm="1">
        <f t="array" ref="E309">_xlfn.IFS(Cleaned_Working_Sheet!$D309&lt;=50000,"Low Income",Cleaned_Working_Sheet!$D309&lt;100000,"Middle Income",TRUE,"High Income")</f>
        <v>Low Income</v>
      </c>
      <c r="F309" s="16">
        <v>2</v>
      </c>
      <c r="G309" s="18" t="s">
        <v>13</v>
      </c>
      <c r="H309" s="18" t="s">
        <v>20</v>
      </c>
      <c r="I309" s="18" t="s">
        <v>15</v>
      </c>
      <c r="J309" s="16">
        <v>1</v>
      </c>
      <c r="K309" s="18" t="s">
        <v>16</v>
      </c>
      <c r="L309" s="18" t="s">
        <v>17</v>
      </c>
      <c r="M309" s="14">
        <v>66</v>
      </c>
      <c r="N309" s="18" t="str" cm="1">
        <f t="array" ref="N309">_xlfn.IFS(Cleaned_Working_Sheet!$M309&lt;=34,"Young",Cleaned_Working_Sheet!$M309&lt;=54,"Middle-aged",Cleaned_Working_Sheet!$M309&gt;54,"Old")</f>
        <v>Old</v>
      </c>
      <c r="O309" s="18" t="s">
        <v>18</v>
      </c>
    </row>
    <row r="310" spans="1:15" x14ac:dyDescent="0.25">
      <c r="A310" s="14">
        <v>28758</v>
      </c>
      <c r="B310" s="18" t="s">
        <v>36</v>
      </c>
      <c r="C310" s="18" t="s">
        <v>39</v>
      </c>
      <c r="D310" s="6">
        <v>40000</v>
      </c>
      <c r="E310" s="18" t="str" cm="1">
        <f t="array" ref="E310">_xlfn.IFS(Cleaned_Working_Sheet!$D310&lt;=50000,"Low Income",Cleaned_Working_Sheet!$D310&lt;100000,"Middle Income",TRUE,"High Income")</f>
        <v>Low Income</v>
      </c>
      <c r="F310" s="16">
        <v>2</v>
      </c>
      <c r="G310" s="18" t="s">
        <v>19</v>
      </c>
      <c r="H310" s="18" t="s">
        <v>20</v>
      </c>
      <c r="I310" s="18" t="s">
        <v>15</v>
      </c>
      <c r="J310" s="16">
        <v>1</v>
      </c>
      <c r="K310" s="18" t="s">
        <v>26</v>
      </c>
      <c r="L310" s="18" t="s">
        <v>17</v>
      </c>
      <c r="M310" s="14">
        <v>35</v>
      </c>
      <c r="N310" s="18" t="str" cm="1">
        <f t="array" ref="N310">_xlfn.IFS(Cleaned_Working_Sheet!$M310&lt;=34,"Young",Cleaned_Working_Sheet!$M310&lt;=54,"Middle-aged",Cleaned_Working_Sheet!$M310&gt;54,"Old")</f>
        <v>Middle-aged</v>
      </c>
      <c r="O310" s="18" t="s">
        <v>15</v>
      </c>
    </row>
    <row r="311" spans="1:15" x14ac:dyDescent="0.25">
      <c r="A311" s="14">
        <v>11381</v>
      </c>
      <c r="B311" s="18" t="s">
        <v>36</v>
      </c>
      <c r="C311" s="18" t="s">
        <v>38</v>
      </c>
      <c r="D311" s="6">
        <v>20000</v>
      </c>
      <c r="E311" s="18" t="str" cm="1">
        <f t="array" ref="E311">_xlfn.IFS(Cleaned_Working_Sheet!$D311&lt;=50000,"Low Income",Cleaned_Working_Sheet!$D311&lt;100000,"Middle Income",TRUE,"High Income")</f>
        <v>Low Income</v>
      </c>
      <c r="F311" s="16">
        <v>2</v>
      </c>
      <c r="G311" s="18" t="s">
        <v>19</v>
      </c>
      <c r="H311" s="18" t="s">
        <v>25</v>
      </c>
      <c r="I311" s="18" t="s">
        <v>15</v>
      </c>
      <c r="J311" s="16">
        <v>1</v>
      </c>
      <c r="K311" s="18" t="s">
        <v>22</v>
      </c>
      <c r="L311" s="18" t="s">
        <v>17</v>
      </c>
      <c r="M311" s="14">
        <v>47</v>
      </c>
      <c r="N311" s="18" t="str" cm="1">
        <f t="array" ref="N311">_xlfn.IFS(Cleaned_Working_Sheet!$M311&lt;=34,"Young",Cleaned_Working_Sheet!$M311&lt;=54,"Middle-aged",Cleaned_Working_Sheet!$M311&gt;54,"Old")</f>
        <v>Middle-aged</v>
      </c>
      <c r="O311" s="18" t="s">
        <v>15</v>
      </c>
    </row>
    <row r="312" spans="1:15" x14ac:dyDescent="0.25">
      <c r="A312" s="14">
        <v>17522</v>
      </c>
      <c r="B312" s="18" t="s">
        <v>36</v>
      </c>
      <c r="C312" s="18" t="s">
        <v>39</v>
      </c>
      <c r="D312" s="6">
        <v>120000</v>
      </c>
      <c r="E312" s="18" t="str" cm="1">
        <f t="array" ref="E312">_xlfn.IFS(Cleaned_Working_Sheet!$D312&lt;=50000,"Low Income",Cleaned_Working_Sheet!$D312&lt;100000,"Middle Income",TRUE,"High Income")</f>
        <v>High Income</v>
      </c>
      <c r="F312" s="16">
        <v>4</v>
      </c>
      <c r="G312" s="18" t="s">
        <v>13</v>
      </c>
      <c r="H312" s="18" t="s">
        <v>28</v>
      </c>
      <c r="I312" s="18" t="s">
        <v>15</v>
      </c>
      <c r="J312" s="16">
        <v>1</v>
      </c>
      <c r="K312" s="18" t="s">
        <v>22</v>
      </c>
      <c r="L312" s="18" t="s">
        <v>24</v>
      </c>
      <c r="M312" s="14">
        <v>47</v>
      </c>
      <c r="N312" s="18" t="str" cm="1">
        <f t="array" ref="N312">_xlfn.IFS(Cleaned_Working_Sheet!$M312&lt;=34,"Young",Cleaned_Working_Sheet!$M312&lt;=54,"Middle-aged",Cleaned_Working_Sheet!$M312&gt;54,"Old")</f>
        <v>Middle-aged</v>
      </c>
      <c r="O312" s="18" t="s">
        <v>18</v>
      </c>
    </row>
    <row r="313" spans="1:15" x14ac:dyDescent="0.25">
      <c r="A313" s="14">
        <v>21207</v>
      </c>
      <c r="B313" s="18" t="s">
        <v>36</v>
      </c>
      <c r="C313" s="18" t="s">
        <v>39</v>
      </c>
      <c r="D313" s="6">
        <v>60000</v>
      </c>
      <c r="E313" s="18" t="str" cm="1">
        <f t="array" ref="E313">_xlfn.IFS(Cleaned_Working_Sheet!$D313&lt;=50000,"Low Income",Cleaned_Working_Sheet!$D313&lt;100000,"Middle Income",TRUE,"High Income")</f>
        <v>Middle Income</v>
      </c>
      <c r="F313" s="16">
        <v>1</v>
      </c>
      <c r="G313" s="18" t="s">
        <v>19</v>
      </c>
      <c r="H313" s="18" t="s">
        <v>14</v>
      </c>
      <c r="I313" s="18" t="s">
        <v>15</v>
      </c>
      <c r="J313" s="16">
        <v>1</v>
      </c>
      <c r="K313" s="18" t="s">
        <v>23</v>
      </c>
      <c r="L313" s="18" t="s">
        <v>24</v>
      </c>
      <c r="M313" s="14">
        <v>46</v>
      </c>
      <c r="N313" s="18" t="str" cm="1">
        <f t="array" ref="N313">_xlfn.IFS(Cleaned_Working_Sheet!$M313&lt;=34,"Young",Cleaned_Working_Sheet!$M313&lt;=54,"Middle-aged",Cleaned_Working_Sheet!$M313&gt;54,"Old")</f>
        <v>Middle-aged</v>
      </c>
      <c r="O313" s="18" t="s">
        <v>18</v>
      </c>
    </row>
    <row r="314" spans="1:15" x14ac:dyDescent="0.25">
      <c r="A314" s="14">
        <v>28102</v>
      </c>
      <c r="B314" s="18" t="s">
        <v>36</v>
      </c>
      <c r="C314" s="18" t="s">
        <v>39</v>
      </c>
      <c r="D314" s="6">
        <v>20000</v>
      </c>
      <c r="E314" s="18" t="str" cm="1">
        <f t="array" ref="E314">_xlfn.IFS(Cleaned_Working_Sheet!$D314&lt;=50000,"Low Income",Cleaned_Working_Sheet!$D314&lt;100000,"Middle Income",TRUE,"High Income")</f>
        <v>Low Income</v>
      </c>
      <c r="F314" s="16">
        <v>4</v>
      </c>
      <c r="G314" s="18" t="s">
        <v>27</v>
      </c>
      <c r="H314" s="18" t="s">
        <v>14</v>
      </c>
      <c r="I314" s="18" t="s">
        <v>15</v>
      </c>
      <c r="J314" s="16">
        <v>2</v>
      </c>
      <c r="K314" s="18" t="s">
        <v>23</v>
      </c>
      <c r="L314" s="18" t="s">
        <v>24</v>
      </c>
      <c r="M314" s="14">
        <v>58</v>
      </c>
      <c r="N314" s="18" t="str" cm="1">
        <f t="array" ref="N314">_xlfn.IFS(Cleaned_Working_Sheet!$M314&lt;=34,"Young",Cleaned_Working_Sheet!$M314&lt;=54,"Middle-aged",Cleaned_Working_Sheet!$M314&gt;54,"Old")</f>
        <v>Old</v>
      </c>
      <c r="O314" s="18" t="s">
        <v>15</v>
      </c>
    </row>
    <row r="315" spans="1:15" x14ac:dyDescent="0.25">
      <c r="A315" s="14">
        <v>23105</v>
      </c>
      <c r="B315" s="18" t="s">
        <v>37</v>
      </c>
      <c r="C315" s="18" t="s">
        <v>39</v>
      </c>
      <c r="D315" s="6">
        <v>40000</v>
      </c>
      <c r="E315" s="18" t="str" cm="1">
        <f t="array" ref="E315">_xlfn.IFS(Cleaned_Working_Sheet!$D315&lt;=50000,"Low Income",Cleaned_Working_Sheet!$D315&lt;100000,"Middle Income",TRUE,"High Income")</f>
        <v>Low Income</v>
      </c>
      <c r="F315" s="16">
        <v>3</v>
      </c>
      <c r="G315" s="18" t="s">
        <v>29</v>
      </c>
      <c r="H315" s="18" t="s">
        <v>20</v>
      </c>
      <c r="I315" s="18" t="s">
        <v>18</v>
      </c>
      <c r="J315" s="16">
        <v>2</v>
      </c>
      <c r="K315" s="18" t="s">
        <v>23</v>
      </c>
      <c r="L315" s="18" t="s">
        <v>24</v>
      </c>
      <c r="M315" s="14">
        <v>52</v>
      </c>
      <c r="N315" s="18" t="str" cm="1">
        <f t="array" ref="N315">_xlfn.IFS(Cleaned_Working_Sheet!$M315&lt;=34,"Young",Cleaned_Working_Sheet!$M315&lt;=54,"Middle-aged",Cleaned_Working_Sheet!$M315&gt;54,"Old")</f>
        <v>Middle-aged</v>
      </c>
      <c r="O315" s="18" t="s">
        <v>15</v>
      </c>
    </row>
    <row r="316" spans="1:15" x14ac:dyDescent="0.25">
      <c r="A316" s="14">
        <v>18740</v>
      </c>
      <c r="B316" s="18" t="s">
        <v>36</v>
      </c>
      <c r="C316" s="18" t="s">
        <v>39</v>
      </c>
      <c r="D316" s="6">
        <v>80000</v>
      </c>
      <c r="E316" s="18" t="str" cm="1">
        <f t="array" ref="E316">_xlfn.IFS(Cleaned_Working_Sheet!$D316&lt;=50000,"Low Income",Cleaned_Working_Sheet!$D316&lt;100000,"Middle Income",TRUE,"High Income")</f>
        <v>Middle Income</v>
      </c>
      <c r="F316" s="16">
        <v>5</v>
      </c>
      <c r="G316" s="18" t="s">
        <v>13</v>
      </c>
      <c r="H316" s="18" t="s">
        <v>21</v>
      </c>
      <c r="I316" s="18" t="s">
        <v>18</v>
      </c>
      <c r="J316" s="16">
        <v>1</v>
      </c>
      <c r="K316" s="18" t="s">
        <v>16</v>
      </c>
      <c r="L316" s="18" t="s">
        <v>24</v>
      </c>
      <c r="M316" s="14">
        <v>47</v>
      </c>
      <c r="N316" s="18" t="str" cm="1">
        <f t="array" ref="N316">_xlfn.IFS(Cleaned_Working_Sheet!$M316&lt;=34,"Young",Cleaned_Working_Sheet!$M316&lt;=54,"Middle-aged",Cleaned_Working_Sheet!$M316&gt;54,"Old")</f>
        <v>Middle-aged</v>
      </c>
      <c r="O316" s="18" t="s">
        <v>15</v>
      </c>
    </row>
    <row r="317" spans="1:15" x14ac:dyDescent="0.25">
      <c r="A317" s="14">
        <v>21213</v>
      </c>
      <c r="B317" s="18" t="s">
        <v>37</v>
      </c>
      <c r="C317" s="18" t="s">
        <v>39</v>
      </c>
      <c r="D317" s="6">
        <v>70000</v>
      </c>
      <c r="E317" s="18" t="str" cm="1">
        <f t="array" ref="E317">_xlfn.IFS(Cleaned_Working_Sheet!$D317&lt;=50000,"Low Income",Cleaned_Working_Sheet!$D317&lt;100000,"Middle Income",TRUE,"High Income")</f>
        <v>Middle Income</v>
      </c>
      <c r="F317" s="16">
        <v>0</v>
      </c>
      <c r="G317" s="18" t="s">
        <v>13</v>
      </c>
      <c r="H317" s="18" t="s">
        <v>21</v>
      </c>
      <c r="I317" s="18" t="s">
        <v>18</v>
      </c>
      <c r="J317" s="16">
        <v>1</v>
      </c>
      <c r="K317" s="18" t="s">
        <v>23</v>
      </c>
      <c r="L317" s="18" t="s">
        <v>24</v>
      </c>
      <c r="M317" s="14">
        <v>41</v>
      </c>
      <c r="N317" s="18" t="str" cm="1">
        <f t="array" ref="N317">_xlfn.IFS(Cleaned_Working_Sheet!$M317&lt;=34,"Young",Cleaned_Working_Sheet!$M317&lt;=54,"Middle-aged",Cleaned_Working_Sheet!$M317&gt;54,"Old")</f>
        <v>Middle-aged</v>
      </c>
      <c r="O317" s="18" t="s">
        <v>18</v>
      </c>
    </row>
    <row r="318" spans="1:15" x14ac:dyDescent="0.25">
      <c r="A318" s="14">
        <v>17352</v>
      </c>
      <c r="B318" s="18" t="s">
        <v>36</v>
      </c>
      <c r="C318" s="18" t="s">
        <v>39</v>
      </c>
      <c r="D318" s="6">
        <v>50000</v>
      </c>
      <c r="E318" s="18" t="str" cm="1">
        <f t="array" ref="E318">_xlfn.IFS(Cleaned_Working_Sheet!$D318&lt;=50000,"Low Income",Cleaned_Working_Sheet!$D318&lt;100000,"Middle Income",TRUE,"High Income")</f>
        <v>Low Income</v>
      </c>
      <c r="F318" s="16">
        <v>2</v>
      </c>
      <c r="G318" s="18" t="s">
        <v>31</v>
      </c>
      <c r="H318" s="18" t="s">
        <v>28</v>
      </c>
      <c r="I318" s="18" t="s">
        <v>15</v>
      </c>
      <c r="J318" s="16">
        <v>1</v>
      </c>
      <c r="K318" s="18" t="s">
        <v>23</v>
      </c>
      <c r="L318" s="18" t="s">
        <v>24</v>
      </c>
      <c r="M318" s="14">
        <v>64</v>
      </c>
      <c r="N318" s="18" t="str" cm="1">
        <f t="array" ref="N318">_xlfn.IFS(Cleaned_Working_Sheet!$M318&lt;=34,"Young",Cleaned_Working_Sheet!$M318&lt;=54,"Middle-aged",Cleaned_Working_Sheet!$M318&gt;54,"Old")</f>
        <v>Old</v>
      </c>
      <c r="O318" s="18" t="s">
        <v>15</v>
      </c>
    </row>
    <row r="319" spans="1:15" x14ac:dyDescent="0.25">
      <c r="A319" s="14">
        <v>14154</v>
      </c>
      <c r="B319" s="18" t="s">
        <v>36</v>
      </c>
      <c r="C319" s="18" t="s">
        <v>39</v>
      </c>
      <c r="D319" s="6">
        <v>30000</v>
      </c>
      <c r="E319" s="18" t="str" cm="1">
        <f t="array" ref="E319">_xlfn.IFS(Cleaned_Working_Sheet!$D319&lt;=50000,"Low Income",Cleaned_Working_Sheet!$D319&lt;100000,"Middle Income",TRUE,"High Income")</f>
        <v>Low Income</v>
      </c>
      <c r="F319" s="16">
        <v>0</v>
      </c>
      <c r="G319" s="18" t="s">
        <v>13</v>
      </c>
      <c r="H319" s="18" t="s">
        <v>20</v>
      </c>
      <c r="I319" s="18" t="s">
        <v>15</v>
      </c>
      <c r="J319" s="16">
        <v>0</v>
      </c>
      <c r="K319" s="18" t="s">
        <v>16</v>
      </c>
      <c r="L319" s="18" t="s">
        <v>17</v>
      </c>
      <c r="M319" s="14">
        <v>35</v>
      </c>
      <c r="N319" s="18" t="str" cm="1">
        <f t="array" ref="N319">_xlfn.IFS(Cleaned_Working_Sheet!$M319&lt;=34,"Young",Cleaned_Working_Sheet!$M319&lt;=54,"Middle-aged",Cleaned_Working_Sheet!$M319&gt;54,"Old")</f>
        <v>Middle-aged</v>
      </c>
      <c r="O319" s="18" t="s">
        <v>15</v>
      </c>
    </row>
    <row r="320" spans="1:15" x14ac:dyDescent="0.25">
      <c r="A320" s="14">
        <v>19066</v>
      </c>
      <c r="B320" s="18" t="s">
        <v>36</v>
      </c>
      <c r="C320" s="18" t="s">
        <v>39</v>
      </c>
      <c r="D320" s="6">
        <v>130000</v>
      </c>
      <c r="E320" s="18" t="str" cm="1">
        <f t="array" ref="E320">_xlfn.IFS(Cleaned_Working_Sheet!$D320&lt;=50000,"Low Income",Cleaned_Working_Sheet!$D320&lt;100000,"Middle Income",TRUE,"High Income")</f>
        <v>High Income</v>
      </c>
      <c r="F320" s="16">
        <v>4</v>
      </c>
      <c r="G320" s="18" t="s">
        <v>19</v>
      </c>
      <c r="H320" s="18" t="s">
        <v>21</v>
      </c>
      <c r="I320" s="18" t="s">
        <v>18</v>
      </c>
      <c r="J320" s="16">
        <v>3</v>
      </c>
      <c r="K320" s="18" t="s">
        <v>43</v>
      </c>
      <c r="L320" s="18" t="s">
        <v>17</v>
      </c>
      <c r="M320" s="14">
        <v>54</v>
      </c>
      <c r="N320" s="18" t="str" cm="1">
        <f t="array" ref="N320">_xlfn.IFS(Cleaned_Working_Sheet!$M320&lt;=34,"Young",Cleaned_Working_Sheet!$M320&lt;=54,"Middle-aged",Cleaned_Working_Sheet!$M320&gt;54,"Old")</f>
        <v>Middle-aged</v>
      </c>
      <c r="O320" s="18" t="s">
        <v>18</v>
      </c>
    </row>
    <row r="321" spans="1:15" x14ac:dyDescent="0.25">
      <c r="A321" s="14">
        <v>11386</v>
      </c>
      <c r="B321" s="18" t="s">
        <v>36</v>
      </c>
      <c r="C321" s="18" t="s">
        <v>38</v>
      </c>
      <c r="D321" s="6">
        <v>30000</v>
      </c>
      <c r="E321" s="18" t="str" cm="1">
        <f t="array" ref="E321">_xlfn.IFS(Cleaned_Working_Sheet!$D321&lt;=50000,"Low Income",Cleaned_Working_Sheet!$D321&lt;100000,"Middle Income",TRUE,"High Income")</f>
        <v>Low Income</v>
      </c>
      <c r="F321" s="16">
        <v>3</v>
      </c>
      <c r="G321" s="18" t="s">
        <v>13</v>
      </c>
      <c r="H321" s="18" t="s">
        <v>20</v>
      </c>
      <c r="I321" s="18" t="s">
        <v>15</v>
      </c>
      <c r="J321" s="16">
        <v>0</v>
      </c>
      <c r="K321" s="18" t="s">
        <v>16</v>
      </c>
      <c r="L321" s="18" t="s">
        <v>17</v>
      </c>
      <c r="M321" s="14">
        <v>45</v>
      </c>
      <c r="N321" s="18" t="str" cm="1">
        <f t="array" ref="N321">_xlfn.IFS(Cleaned_Working_Sheet!$M321&lt;=34,"Young",Cleaned_Working_Sheet!$M321&lt;=54,"Middle-aged",Cleaned_Working_Sheet!$M321&gt;54,"Old")</f>
        <v>Middle-aged</v>
      </c>
      <c r="O321" s="18" t="s">
        <v>18</v>
      </c>
    </row>
    <row r="322" spans="1:15" x14ac:dyDescent="0.25">
      <c r="A322" s="14">
        <v>20228</v>
      </c>
      <c r="B322" s="18" t="s">
        <v>36</v>
      </c>
      <c r="C322" s="18" t="s">
        <v>39</v>
      </c>
      <c r="D322" s="6">
        <v>100000</v>
      </c>
      <c r="E322" s="18" t="str" cm="1">
        <f t="array" ref="E322">_xlfn.IFS(Cleaned_Working_Sheet!$D322&lt;=50000,"Low Income",Cleaned_Working_Sheet!$D322&lt;100000,"Middle Income",TRUE,"High Income")</f>
        <v>High Income</v>
      </c>
      <c r="F322" s="16">
        <v>0</v>
      </c>
      <c r="G322" s="18" t="s">
        <v>31</v>
      </c>
      <c r="H322" s="18" t="s">
        <v>28</v>
      </c>
      <c r="I322" s="18" t="s">
        <v>15</v>
      </c>
      <c r="J322" s="16">
        <v>0</v>
      </c>
      <c r="K322" s="18" t="s">
        <v>22</v>
      </c>
      <c r="L322" s="18" t="s">
        <v>24</v>
      </c>
      <c r="M322" s="14">
        <v>40</v>
      </c>
      <c r="N322" s="18" t="str" cm="1">
        <f t="array" ref="N322">_xlfn.IFS(Cleaned_Working_Sheet!$M322&lt;=34,"Young",Cleaned_Working_Sheet!$M322&lt;=54,"Middle-aged",Cleaned_Working_Sheet!$M322&gt;54,"Old")</f>
        <v>Middle-aged</v>
      </c>
      <c r="O322" s="18" t="s">
        <v>15</v>
      </c>
    </row>
    <row r="323" spans="1:15" x14ac:dyDescent="0.25">
      <c r="A323" s="14">
        <v>16675</v>
      </c>
      <c r="B323" s="18" t="s">
        <v>37</v>
      </c>
      <c r="C323" s="18" t="s">
        <v>38</v>
      </c>
      <c r="D323" s="6">
        <v>160000</v>
      </c>
      <c r="E323" s="18" t="str" cm="1">
        <f t="array" ref="E323">_xlfn.IFS(Cleaned_Working_Sheet!$D323&lt;=50000,"Low Income",Cleaned_Working_Sheet!$D323&lt;100000,"Middle Income",TRUE,"High Income")</f>
        <v>High Income</v>
      </c>
      <c r="F323" s="16">
        <v>0</v>
      </c>
      <c r="G323" s="18" t="s">
        <v>31</v>
      </c>
      <c r="H323" s="18" t="s">
        <v>28</v>
      </c>
      <c r="I323" s="18" t="s">
        <v>18</v>
      </c>
      <c r="J323" s="16">
        <v>3</v>
      </c>
      <c r="K323" s="18" t="s">
        <v>16</v>
      </c>
      <c r="L323" s="18" t="s">
        <v>24</v>
      </c>
      <c r="M323" s="14">
        <v>47</v>
      </c>
      <c r="N323" s="18" t="str" cm="1">
        <f t="array" ref="N323">_xlfn.IFS(Cleaned_Working_Sheet!$M323&lt;=34,"Young",Cleaned_Working_Sheet!$M323&lt;=54,"Middle-aged",Cleaned_Working_Sheet!$M323&gt;54,"Old")</f>
        <v>Middle-aged</v>
      </c>
      <c r="O323" s="18" t="s">
        <v>15</v>
      </c>
    </row>
    <row r="324" spans="1:15" x14ac:dyDescent="0.25">
      <c r="A324" s="14">
        <v>16410</v>
      </c>
      <c r="B324" s="18" t="s">
        <v>37</v>
      </c>
      <c r="C324" s="18" t="s">
        <v>38</v>
      </c>
      <c r="D324" s="6">
        <v>10000</v>
      </c>
      <c r="E324" s="18" t="str" cm="1">
        <f t="array" ref="E324">_xlfn.IFS(Cleaned_Working_Sheet!$D324&lt;=50000,"Low Income",Cleaned_Working_Sheet!$D324&lt;100000,"Middle Income",TRUE,"High Income")</f>
        <v>Low Income</v>
      </c>
      <c r="F324" s="16">
        <v>4</v>
      </c>
      <c r="G324" s="18" t="s">
        <v>29</v>
      </c>
      <c r="H324" s="18" t="s">
        <v>25</v>
      </c>
      <c r="I324" s="18" t="s">
        <v>15</v>
      </c>
      <c r="J324" s="16">
        <v>2</v>
      </c>
      <c r="K324" s="18" t="s">
        <v>16</v>
      </c>
      <c r="L324" s="18" t="s">
        <v>17</v>
      </c>
      <c r="M324" s="14">
        <v>41</v>
      </c>
      <c r="N324" s="18" t="str" cm="1">
        <f t="array" ref="N324">_xlfn.IFS(Cleaned_Working_Sheet!$M324&lt;=34,"Young",Cleaned_Working_Sheet!$M324&lt;=54,"Middle-aged",Cleaned_Working_Sheet!$M324&gt;54,"Old")</f>
        <v>Middle-aged</v>
      </c>
      <c r="O324" s="18" t="s">
        <v>15</v>
      </c>
    </row>
    <row r="325" spans="1:15" x14ac:dyDescent="0.25">
      <c r="A325" s="14">
        <v>27760</v>
      </c>
      <c r="B325" s="18" t="s">
        <v>37</v>
      </c>
      <c r="C325" s="18" t="s">
        <v>38</v>
      </c>
      <c r="D325" s="6">
        <v>40000</v>
      </c>
      <c r="E325" s="18" t="str" cm="1">
        <f t="array" ref="E325">_xlfn.IFS(Cleaned_Working_Sheet!$D325&lt;=50000,"Low Income",Cleaned_Working_Sheet!$D325&lt;100000,"Middle Income",TRUE,"High Income")</f>
        <v>Low Income</v>
      </c>
      <c r="F325" s="16">
        <v>0</v>
      </c>
      <c r="G325" s="18" t="s">
        <v>31</v>
      </c>
      <c r="H325" s="18" t="s">
        <v>20</v>
      </c>
      <c r="I325" s="18" t="s">
        <v>18</v>
      </c>
      <c r="J325" s="16">
        <v>0</v>
      </c>
      <c r="K325" s="18" t="s">
        <v>16</v>
      </c>
      <c r="L325" s="18" t="s">
        <v>17</v>
      </c>
      <c r="M325" s="14">
        <v>37</v>
      </c>
      <c r="N325" s="18" t="str" cm="1">
        <f t="array" ref="N325">_xlfn.IFS(Cleaned_Working_Sheet!$M325&lt;=34,"Young",Cleaned_Working_Sheet!$M325&lt;=54,"Middle-aged",Cleaned_Working_Sheet!$M325&gt;54,"Old")</f>
        <v>Middle-aged</v>
      </c>
      <c r="O325" s="18" t="s">
        <v>15</v>
      </c>
    </row>
    <row r="326" spans="1:15" x14ac:dyDescent="0.25">
      <c r="A326" s="14">
        <v>22930</v>
      </c>
      <c r="B326" s="18" t="s">
        <v>36</v>
      </c>
      <c r="C326" s="18" t="s">
        <v>39</v>
      </c>
      <c r="D326" s="6">
        <v>90000</v>
      </c>
      <c r="E326" s="18" t="str" cm="1">
        <f t="array" ref="E326">_xlfn.IFS(Cleaned_Working_Sheet!$D326&lt;=50000,"Low Income",Cleaned_Working_Sheet!$D326&lt;100000,"Middle Income",TRUE,"High Income")</f>
        <v>Middle Income</v>
      </c>
      <c r="F326" s="16">
        <v>4</v>
      </c>
      <c r="G326" s="18" t="s">
        <v>13</v>
      </c>
      <c r="H326" s="18" t="s">
        <v>21</v>
      </c>
      <c r="I326" s="18" t="s">
        <v>15</v>
      </c>
      <c r="J326" s="16">
        <v>0</v>
      </c>
      <c r="K326" s="18" t="s">
        <v>26</v>
      </c>
      <c r="L326" s="18" t="s">
        <v>24</v>
      </c>
      <c r="M326" s="14">
        <v>38</v>
      </c>
      <c r="N326" s="18" t="str" cm="1">
        <f t="array" ref="N326">_xlfn.IFS(Cleaned_Working_Sheet!$M326&lt;=34,"Young",Cleaned_Working_Sheet!$M326&lt;=54,"Middle-aged",Cleaned_Working_Sheet!$M326&gt;54,"Old")</f>
        <v>Middle-aged</v>
      </c>
      <c r="O326" s="18" t="s">
        <v>15</v>
      </c>
    </row>
    <row r="327" spans="1:15" x14ac:dyDescent="0.25">
      <c r="A327" s="14">
        <v>23780</v>
      </c>
      <c r="B327" s="18" t="s">
        <v>37</v>
      </c>
      <c r="C327" s="18" t="s">
        <v>39</v>
      </c>
      <c r="D327" s="6">
        <v>40000</v>
      </c>
      <c r="E327" s="18" t="str" cm="1">
        <f t="array" ref="E327">_xlfn.IFS(Cleaned_Working_Sheet!$D327&lt;=50000,"Low Income",Cleaned_Working_Sheet!$D327&lt;100000,"Middle Income",TRUE,"High Income")</f>
        <v>Low Income</v>
      </c>
      <c r="F327" s="16">
        <v>2</v>
      </c>
      <c r="G327" s="18" t="s">
        <v>19</v>
      </c>
      <c r="H327" s="18" t="s">
        <v>20</v>
      </c>
      <c r="I327" s="18" t="s">
        <v>18</v>
      </c>
      <c r="J327" s="16">
        <v>2</v>
      </c>
      <c r="K327" s="18" t="s">
        <v>16</v>
      </c>
      <c r="L327" s="18" t="s">
        <v>17</v>
      </c>
      <c r="M327" s="14">
        <v>36</v>
      </c>
      <c r="N327" s="18" t="str" cm="1">
        <f t="array" ref="N327">_xlfn.IFS(Cleaned_Working_Sheet!$M327&lt;=34,"Young",Cleaned_Working_Sheet!$M327&lt;=54,"Middle-aged",Cleaned_Working_Sheet!$M327&gt;54,"Old")</f>
        <v>Middle-aged</v>
      </c>
      <c r="O327" s="18" t="s">
        <v>15</v>
      </c>
    </row>
    <row r="328" spans="1:15" x14ac:dyDescent="0.25">
      <c r="A328" s="14">
        <v>20994</v>
      </c>
      <c r="B328" s="18" t="s">
        <v>36</v>
      </c>
      <c r="C328" s="18" t="s">
        <v>38</v>
      </c>
      <c r="D328" s="6">
        <v>20000</v>
      </c>
      <c r="E328" s="18" t="str" cm="1">
        <f t="array" ref="E328">_xlfn.IFS(Cleaned_Working_Sheet!$D328&lt;=50000,"Low Income",Cleaned_Working_Sheet!$D328&lt;100000,"Middle Income",TRUE,"High Income")</f>
        <v>Low Income</v>
      </c>
      <c r="F328" s="16">
        <v>0</v>
      </c>
      <c r="G328" s="18" t="s">
        <v>13</v>
      </c>
      <c r="H328" s="18" t="s">
        <v>20</v>
      </c>
      <c r="I328" s="18" t="s">
        <v>18</v>
      </c>
      <c r="J328" s="16">
        <v>0</v>
      </c>
      <c r="K328" s="18" t="s">
        <v>16</v>
      </c>
      <c r="L328" s="18" t="s">
        <v>24</v>
      </c>
      <c r="M328" s="14">
        <v>26</v>
      </c>
      <c r="N328" s="18" t="str" cm="1">
        <f t="array" ref="N328">_xlfn.IFS(Cleaned_Working_Sheet!$M328&lt;=34,"Young",Cleaned_Working_Sheet!$M328&lt;=54,"Middle-aged",Cleaned_Working_Sheet!$M328&gt;54,"Old")</f>
        <v>Young</v>
      </c>
      <c r="O328" s="18" t="s">
        <v>15</v>
      </c>
    </row>
    <row r="329" spans="1:15" x14ac:dyDescent="0.25">
      <c r="A329" s="14">
        <v>28379</v>
      </c>
      <c r="B329" s="18" t="s">
        <v>36</v>
      </c>
      <c r="C329" s="18" t="s">
        <v>39</v>
      </c>
      <c r="D329" s="6">
        <v>30000</v>
      </c>
      <c r="E329" s="18" t="str" cm="1">
        <f t="array" ref="E329">_xlfn.IFS(Cleaned_Working_Sheet!$D329&lt;=50000,"Low Income",Cleaned_Working_Sheet!$D329&lt;100000,"Middle Income",TRUE,"High Income")</f>
        <v>Low Income</v>
      </c>
      <c r="F329" s="16">
        <v>1</v>
      </c>
      <c r="G329" s="18" t="s">
        <v>13</v>
      </c>
      <c r="H329" s="18" t="s">
        <v>14</v>
      </c>
      <c r="I329" s="18" t="s">
        <v>15</v>
      </c>
      <c r="J329" s="16">
        <v>2</v>
      </c>
      <c r="K329" s="18" t="s">
        <v>16</v>
      </c>
      <c r="L329" s="18" t="s">
        <v>17</v>
      </c>
      <c r="M329" s="14">
        <v>40</v>
      </c>
      <c r="N329" s="18" t="str" cm="1">
        <f t="array" ref="N329">_xlfn.IFS(Cleaned_Working_Sheet!$M329&lt;=34,"Young",Cleaned_Working_Sheet!$M329&lt;=54,"Middle-aged",Cleaned_Working_Sheet!$M329&gt;54,"Old")</f>
        <v>Middle-aged</v>
      </c>
      <c r="O329" s="18" t="s">
        <v>18</v>
      </c>
    </row>
    <row r="330" spans="1:15" x14ac:dyDescent="0.25">
      <c r="A330" s="14">
        <v>14865</v>
      </c>
      <c r="B330" s="18" t="s">
        <v>37</v>
      </c>
      <c r="C330" s="18" t="s">
        <v>39</v>
      </c>
      <c r="D330" s="6">
        <v>40000</v>
      </c>
      <c r="E330" s="18" t="str" cm="1">
        <f t="array" ref="E330">_xlfn.IFS(Cleaned_Working_Sheet!$D330&lt;=50000,"Low Income",Cleaned_Working_Sheet!$D330&lt;100000,"Middle Income",TRUE,"High Income")</f>
        <v>Low Income</v>
      </c>
      <c r="F330" s="16">
        <v>2</v>
      </c>
      <c r="G330" s="18" t="s">
        <v>19</v>
      </c>
      <c r="H330" s="18" t="s">
        <v>20</v>
      </c>
      <c r="I330" s="18" t="s">
        <v>15</v>
      </c>
      <c r="J330" s="16">
        <v>2</v>
      </c>
      <c r="K330" s="18" t="s">
        <v>26</v>
      </c>
      <c r="L330" s="18" t="s">
        <v>17</v>
      </c>
      <c r="M330" s="14">
        <v>36</v>
      </c>
      <c r="N330" s="18" t="str" cm="1">
        <f t="array" ref="N330">_xlfn.IFS(Cleaned_Working_Sheet!$M330&lt;=34,"Young",Cleaned_Working_Sheet!$M330&lt;=54,"Middle-aged",Cleaned_Working_Sheet!$M330&gt;54,"Old")</f>
        <v>Middle-aged</v>
      </c>
      <c r="O330" s="18" t="s">
        <v>18</v>
      </c>
    </row>
    <row r="331" spans="1:15" x14ac:dyDescent="0.25">
      <c r="A331" s="14">
        <v>12663</v>
      </c>
      <c r="B331" s="18" t="s">
        <v>36</v>
      </c>
      <c r="C331" s="18" t="s">
        <v>38</v>
      </c>
      <c r="D331" s="6">
        <v>90000</v>
      </c>
      <c r="E331" s="18" t="str" cm="1">
        <f t="array" ref="E331">_xlfn.IFS(Cleaned_Working_Sheet!$D331&lt;=50000,"Low Income",Cleaned_Working_Sheet!$D331&lt;100000,"Middle Income",TRUE,"High Income")</f>
        <v>Middle Income</v>
      </c>
      <c r="F331" s="16">
        <v>5</v>
      </c>
      <c r="G331" s="18" t="s">
        <v>29</v>
      </c>
      <c r="H331" s="18" t="s">
        <v>14</v>
      </c>
      <c r="I331" s="18" t="s">
        <v>15</v>
      </c>
      <c r="J331" s="16">
        <v>2</v>
      </c>
      <c r="K331" s="18" t="s">
        <v>43</v>
      </c>
      <c r="L331" s="18" t="s">
        <v>17</v>
      </c>
      <c r="M331" s="14">
        <v>59</v>
      </c>
      <c r="N331" s="18" t="str" cm="1">
        <f t="array" ref="N331">_xlfn.IFS(Cleaned_Working_Sheet!$M331&lt;=34,"Young",Cleaned_Working_Sheet!$M331&lt;=54,"Middle-aged",Cleaned_Working_Sheet!$M331&gt;54,"Old")</f>
        <v>Old</v>
      </c>
      <c r="O331" s="18" t="s">
        <v>18</v>
      </c>
    </row>
    <row r="332" spans="1:15" x14ac:dyDescent="0.25">
      <c r="A332" s="14">
        <v>24898</v>
      </c>
      <c r="B332" s="18" t="s">
        <v>37</v>
      </c>
      <c r="C332" s="18" t="s">
        <v>38</v>
      </c>
      <c r="D332" s="6">
        <v>80000</v>
      </c>
      <c r="E332" s="18" t="str" cm="1">
        <f t="array" ref="E332">_xlfn.IFS(Cleaned_Working_Sheet!$D332&lt;=50000,"Low Income",Cleaned_Working_Sheet!$D332&lt;100000,"Middle Income",TRUE,"High Income")</f>
        <v>Middle Income</v>
      </c>
      <c r="F332" s="16">
        <v>0</v>
      </c>
      <c r="G332" s="18" t="s">
        <v>13</v>
      </c>
      <c r="H332" s="18" t="s">
        <v>21</v>
      </c>
      <c r="I332" s="18" t="s">
        <v>15</v>
      </c>
      <c r="J332" s="16">
        <v>3</v>
      </c>
      <c r="K332" s="18" t="s">
        <v>43</v>
      </c>
      <c r="L332" s="18" t="s">
        <v>24</v>
      </c>
      <c r="M332" s="14">
        <v>32</v>
      </c>
      <c r="N332" s="18" t="str" cm="1">
        <f t="array" ref="N332">_xlfn.IFS(Cleaned_Working_Sheet!$M332&lt;=34,"Young",Cleaned_Working_Sheet!$M332&lt;=54,"Middle-aged",Cleaned_Working_Sheet!$M332&gt;54,"Old")</f>
        <v>Young</v>
      </c>
      <c r="O332" s="18" t="s">
        <v>18</v>
      </c>
    </row>
    <row r="333" spans="1:15" x14ac:dyDescent="0.25">
      <c r="A333" s="14">
        <v>19508</v>
      </c>
      <c r="B333" s="18" t="s">
        <v>36</v>
      </c>
      <c r="C333" s="18" t="s">
        <v>39</v>
      </c>
      <c r="D333" s="6">
        <v>10000</v>
      </c>
      <c r="E333" s="18" t="str" cm="1">
        <f t="array" ref="E333">_xlfn.IFS(Cleaned_Working_Sheet!$D333&lt;=50000,"Low Income",Cleaned_Working_Sheet!$D333&lt;100000,"Middle Income",TRUE,"High Income")</f>
        <v>Low Income</v>
      </c>
      <c r="F333" s="16">
        <v>0</v>
      </c>
      <c r="G333" s="18" t="s">
        <v>29</v>
      </c>
      <c r="H333" s="18" t="s">
        <v>25</v>
      </c>
      <c r="I333" s="18" t="s">
        <v>18</v>
      </c>
      <c r="J333" s="16">
        <v>2</v>
      </c>
      <c r="K333" s="18" t="s">
        <v>16</v>
      </c>
      <c r="L333" s="18" t="s">
        <v>17</v>
      </c>
      <c r="M333" s="14">
        <v>30</v>
      </c>
      <c r="N333" s="18" t="str" cm="1">
        <f t="array" ref="N333">_xlfn.IFS(Cleaned_Working_Sheet!$M333&lt;=34,"Young",Cleaned_Working_Sheet!$M333&lt;=54,"Middle-aged",Cleaned_Working_Sheet!$M333&gt;54,"Old")</f>
        <v>Young</v>
      </c>
      <c r="O333" s="18" t="s">
        <v>18</v>
      </c>
    </row>
    <row r="334" spans="1:15" x14ac:dyDescent="0.25">
      <c r="A334" s="14">
        <v>11489</v>
      </c>
      <c r="B334" s="18" t="s">
        <v>37</v>
      </c>
      <c r="C334" s="18" t="s">
        <v>38</v>
      </c>
      <c r="D334" s="6">
        <v>20000</v>
      </c>
      <c r="E334" s="18" t="str" cm="1">
        <f t="array" ref="E334">_xlfn.IFS(Cleaned_Working_Sheet!$D334&lt;=50000,"Low Income",Cleaned_Working_Sheet!$D334&lt;100000,"Middle Income",TRUE,"High Income")</f>
        <v>Low Income</v>
      </c>
      <c r="F334" s="16">
        <v>0</v>
      </c>
      <c r="G334" s="18" t="s">
        <v>29</v>
      </c>
      <c r="H334" s="18" t="s">
        <v>25</v>
      </c>
      <c r="I334" s="18" t="s">
        <v>18</v>
      </c>
      <c r="J334" s="16">
        <v>2</v>
      </c>
      <c r="K334" s="18" t="s">
        <v>26</v>
      </c>
      <c r="L334" s="18" t="s">
        <v>17</v>
      </c>
      <c r="M334" s="14">
        <v>35</v>
      </c>
      <c r="N334" s="18" t="str" cm="1">
        <f t="array" ref="N334">_xlfn.IFS(Cleaned_Working_Sheet!$M334&lt;=34,"Young",Cleaned_Working_Sheet!$M334&lt;=54,"Middle-aged",Cleaned_Working_Sheet!$M334&gt;54,"Old")</f>
        <v>Middle-aged</v>
      </c>
      <c r="O334" s="18" t="s">
        <v>15</v>
      </c>
    </row>
    <row r="335" spans="1:15" x14ac:dyDescent="0.25">
      <c r="A335" s="14">
        <v>18160</v>
      </c>
      <c r="B335" s="18" t="s">
        <v>36</v>
      </c>
      <c r="C335" s="18" t="s">
        <v>39</v>
      </c>
      <c r="D335" s="6">
        <v>130000</v>
      </c>
      <c r="E335" s="18" t="str" cm="1">
        <f t="array" ref="E335">_xlfn.IFS(Cleaned_Working_Sheet!$D335&lt;=50000,"Low Income",Cleaned_Working_Sheet!$D335&lt;100000,"Middle Income",TRUE,"High Income")</f>
        <v>High Income</v>
      </c>
      <c r="F335" s="16">
        <v>3</v>
      </c>
      <c r="G335" s="18" t="s">
        <v>27</v>
      </c>
      <c r="H335" s="18" t="s">
        <v>21</v>
      </c>
      <c r="I335" s="18" t="s">
        <v>15</v>
      </c>
      <c r="J335" s="16">
        <v>4</v>
      </c>
      <c r="K335" s="18" t="s">
        <v>23</v>
      </c>
      <c r="L335" s="18" t="s">
        <v>17</v>
      </c>
      <c r="M335" s="14">
        <v>51</v>
      </c>
      <c r="N335" s="18" t="str" cm="1">
        <f t="array" ref="N335">_xlfn.IFS(Cleaned_Working_Sheet!$M335&lt;=34,"Young",Cleaned_Working_Sheet!$M335&lt;=54,"Middle-aged",Cleaned_Working_Sheet!$M335&gt;54,"Old")</f>
        <v>Middle-aged</v>
      </c>
      <c r="O335" s="18" t="s">
        <v>15</v>
      </c>
    </row>
    <row r="336" spans="1:15" x14ac:dyDescent="0.25">
      <c r="A336" s="14">
        <v>25241</v>
      </c>
      <c r="B336" s="18" t="s">
        <v>36</v>
      </c>
      <c r="C336" s="18" t="s">
        <v>39</v>
      </c>
      <c r="D336" s="6">
        <v>90000</v>
      </c>
      <c r="E336" s="18" t="str" cm="1">
        <f t="array" ref="E336">_xlfn.IFS(Cleaned_Working_Sheet!$D336&lt;=50000,"Low Income",Cleaned_Working_Sheet!$D336&lt;100000,"Middle Income",TRUE,"High Income")</f>
        <v>Middle Income</v>
      </c>
      <c r="F336" s="16">
        <v>2</v>
      </c>
      <c r="G336" s="18" t="s">
        <v>13</v>
      </c>
      <c r="H336" s="18" t="s">
        <v>21</v>
      </c>
      <c r="I336" s="18" t="s">
        <v>15</v>
      </c>
      <c r="J336" s="16">
        <v>1</v>
      </c>
      <c r="K336" s="18" t="s">
        <v>23</v>
      </c>
      <c r="L336" s="18" t="s">
        <v>24</v>
      </c>
      <c r="M336" s="14">
        <v>47</v>
      </c>
      <c r="N336" s="18" t="str" cm="1">
        <f t="array" ref="N336">_xlfn.IFS(Cleaned_Working_Sheet!$M336&lt;=34,"Young",Cleaned_Working_Sheet!$M336&lt;=54,"Middle-aged",Cleaned_Working_Sheet!$M336&gt;54,"Old")</f>
        <v>Middle-aged</v>
      </c>
      <c r="O336" s="18" t="s">
        <v>18</v>
      </c>
    </row>
    <row r="337" spans="1:15" x14ac:dyDescent="0.25">
      <c r="A337" s="14">
        <v>24369</v>
      </c>
      <c r="B337" s="18" t="s">
        <v>36</v>
      </c>
      <c r="C337" s="18" t="s">
        <v>39</v>
      </c>
      <c r="D337" s="6">
        <v>80000</v>
      </c>
      <c r="E337" s="18" t="str" cm="1">
        <f t="array" ref="E337">_xlfn.IFS(Cleaned_Working_Sheet!$D337&lt;=50000,"Low Income",Cleaned_Working_Sheet!$D337&lt;100000,"Middle Income",TRUE,"High Income")</f>
        <v>Middle Income</v>
      </c>
      <c r="F337" s="16">
        <v>5</v>
      </c>
      <c r="G337" s="18" t="s">
        <v>31</v>
      </c>
      <c r="H337" s="18" t="s">
        <v>28</v>
      </c>
      <c r="I337" s="18" t="s">
        <v>18</v>
      </c>
      <c r="J337" s="16">
        <v>2</v>
      </c>
      <c r="K337" s="18" t="s">
        <v>16</v>
      </c>
      <c r="L337" s="18" t="s">
        <v>24</v>
      </c>
      <c r="M337" s="14">
        <v>39</v>
      </c>
      <c r="N337" s="18" t="str" cm="1">
        <f t="array" ref="N337">_xlfn.IFS(Cleaned_Working_Sheet!$M337&lt;=34,"Young",Cleaned_Working_Sheet!$M337&lt;=54,"Middle-aged",Cleaned_Working_Sheet!$M337&gt;54,"Old")</f>
        <v>Middle-aged</v>
      </c>
      <c r="O337" s="18" t="s">
        <v>18</v>
      </c>
    </row>
    <row r="338" spans="1:15" x14ac:dyDescent="0.25">
      <c r="A338" s="14">
        <v>27165</v>
      </c>
      <c r="B338" s="18" t="s">
        <v>37</v>
      </c>
      <c r="C338" s="18" t="s">
        <v>39</v>
      </c>
      <c r="D338" s="6">
        <v>20000</v>
      </c>
      <c r="E338" s="18" t="str" cm="1">
        <f t="array" ref="E338">_xlfn.IFS(Cleaned_Working_Sheet!$D338&lt;=50000,"Low Income",Cleaned_Working_Sheet!$D338&lt;100000,"Middle Income",TRUE,"High Income")</f>
        <v>Low Income</v>
      </c>
      <c r="F338" s="16">
        <v>0</v>
      </c>
      <c r="G338" s="18" t="s">
        <v>29</v>
      </c>
      <c r="H338" s="18" t="s">
        <v>25</v>
      </c>
      <c r="I338" s="18" t="s">
        <v>18</v>
      </c>
      <c r="J338" s="16">
        <v>2</v>
      </c>
      <c r="K338" s="18" t="s">
        <v>16</v>
      </c>
      <c r="L338" s="18" t="s">
        <v>17</v>
      </c>
      <c r="M338" s="14">
        <v>34</v>
      </c>
      <c r="N338" s="18" t="str" cm="1">
        <f t="array" ref="N338">_xlfn.IFS(Cleaned_Working_Sheet!$M338&lt;=34,"Young",Cleaned_Working_Sheet!$M338&lt;=54,"Middle-aged",Cleaned_Working_Sheet!$M338&gt;54,"Old")</f>
        <v>Young</v>
      </c>
      <c r="O338" s="18" t="s">
        <v>18</v>
      </c>
    </row>
    <row r="339" spans="1:15" x14ac:dyDescent="0.25">
      <c r="A339" s="14">
        <v>29424</v>
      </c>
      <c r="B339" s="18" t="s">
        <v>36</v>
      </c>
      <c r="C339" s="18" t="s">
        <v>39</v>
      </c>
      <c r="D339" s="6">
        <v>10000</v>
      </c>
      <c r="E339" s="18" t="str" cm="1">
        <f t="array" ref="E339">_xlfn.IFS(Cleaned_Working_Sheet!$D339&lt;=50000,"Low Income",Cleaned_Working_Sheet!$D339&lt;100000,"Middle Income",TRUE,"High Income")</f>
        <v>Low Income</v>
      </c>
      <c r="F339" s="16">
        <v>0</v>
      </c>
      <c r="G339" s="18" t="s">
        <v>29</v>
      </c>
      <c r="H339" s="18" t="s">
        <v>25</v>
      </c>
      <c r="I339" s="18" t="s">
        <v>15</v>
      </c>
      <c r="J339" s="16">
        <v>2</v>
      </c>
      <c r="K339" s="18" t="s">
        <v>16</v>
      </c>
      <c r="L339" s="18" t="s">
        <v>17</v>
      </c>
      <c r="M339" s="14">
        <v>32</v>
      </c>
      <c r="N339" s="18" t="str" cm="1">
        <f t="array" ref="N339">_xlfn.IFS(Cleaned_Working_Sheet!$M339&lt;=34,"Young",Cleaned_Working_Sheet!$M339&lt;=54,"Middle-aged",Cleaned_Working_Sheet!$M339&gt;54,"Old")</f>
        <v>Young</v>
      </c>
      <c r="O339" s="18" t="s">
        <v>18</v>
      </c>
    </row>
    <row r="340" spans="1:15" x14ac:dyDescent="0.25">
      <c r="A340" s="14">
        <v>15926</v>
      </c>
      <c r="B340" s="18" t="s">
        <v>37</v>
      </c>
      <c r="C340" s="18" t="s">
        <v>38</v>
      </c>
      <c r="D340" s="6">
        <v>120000</v>
      </c>
      <c r="E340" s="18" t="str" cm="1">
        <f t="array" ref="E340">_xlfn.IFS(Cleaned_Working_Sheet!$D340&lt;=50000,"Low Income",Cleaned_Working_Sheet!$D340&lt;100000,"Middle Income",TRUE,"High Income")</f>
        <v>High Income</v>
      </c>
      <c r="F340" s="16">
        <v>3</v>
      </c>
      <c r="G340" s="18" t="s">
        <v>27</v>
      </c>
      <c r="H340" s="18" t="s">
        <v>21</v>
      </c>
      <c r="I340" s="18" t="s">
        <v>15</v>
      </c>
      <c r="J340" s="16">
        <v>4</v>
      </c>
      <c r="K340" s="18" t="s">
        <v>23</v>
      </c>
      <c r="L340" s="18" t="s">
        <v>17</v>
      </c>
      <c r="M340" s="14">
        <v>50</v>
      </c>
      <c r="N340" s="18" t="str" cm="1">
        <f t="array" ref="N340">_xlfn.IFS(Cleaned_Working_Sheet!$M340&lt;=34,"Young",Cleaned_Working_Sheet!$M340&lt;=54,"Middle-aged",Cleaned_Working_Sheet!$M340&gt;54,"Old")</f>
        <v>Middle-aged</v>
      </c>
      <c r="O340" s="18" t="s">
        <v>15</v>
      </c>
    </row>
    <row r="341" spans="1:15" x14ac:dyDescent="0.25">
      <c r="A341" s="14">
        <v>14554</v>
      </c>
      <c r="B341" s="18" t="s">
        <v>36</v>
      </c>
      <c r="C341" s="18" t="s">
        <v>39</v>
      </c>
      <c r="D341" s="6">
        <v>20000</v>
      </c>
      <c r="E341" s="18" t="str" cm="1">
        <f t="array" ref="E341">_xlfn.IFS(Cleaned_Working_Sheet!$D341&lt;=50000,"Low Income",Cleaned_Working_Sheet!$D341&lt;100000,"Middle Income",TRUE,"High Income")</f>
        <v>Low Income</v>
      </c>
      <c r="F341" s="16">
        <v>1</v>
      </c>
      <c r="G341" s="18" t="s">
        <v>13</v>
      </c>
      <c r="H341" s="18" t="s">
        <v>20</v>
      </c>
      <c r="I341" s="18" t="s">
        <v>15</v>
      </c>
      <c r="J341" s="16">
        <v>0</v>
      </c>
      <c r="K341" s="18" t="s">
        <v>16</v>
      </c>
      <c r="L341" s="18" t="s">
        <v>17</v>
      </c>
      <c r="M341" s="14">
        <v>66</v>
      </c>
      <c r="N341" s="18" t="str" cm="1">
        <f t="array" ref="N341">_xlfn.IFS(Cleaned_Working_Sheet!$M341&lt;=34,"Young",Cleaned_Working_Sheet!$M341&lt;=54,"Middle-aged",Cleaned_Working_Sheet!$M341&gt;54,"Old")</f>
        <v>Old</v>
      </c>
      <c r="O341" s="18" t="s">
        <v>18</v>
      </c>
    </row>
    <row r="342" spans="1:15" x14ac:dyDescent="0.25">
      <c r="A342" s="14">
        <v>16468</v>
      </c>
      <c r="B342" s="18" t="s">
        <v>37</v>
      </c>
      <c r="C342" s="18" t="s">
        <v>39</v>
      </c>
      <c r="D342" s="6">
        <v>30000</v>
      </c>
      <c r="E342" s="18" t="str" cm="1">
        <f t="array" ref="E342">_xlfn.IFS(Cleaned_Working_Sheet!$D342&lt;=50000,"Low Income",Cleaned_Working_Sheet!$D342&lt;100000,"Middle Income",TRUE,"High Income")</f>
        <v>Low Income</v>
      </c>
      <c r="F342" s="16">
        <v>0</v>
      </c>
      <c r="G342" s="18" t="s">
        <v>19</v>
      </c>
      <c r="H342" s="18" t="s">
        <v>20</v>
      </c>
      <c r="I342" s="18" t="s">
        <v>15</v>
      </c>
      <c r="J342" s="16">
        <v>1</v>
      </c>
      <c r="K342" s="18" t="s">
        <v>22</v>
      </c>
      <c r="L342" s="18" t="s">
        <v>17</v>
      </c>
      <c r="M342" s="14">
        <v>30</v>
      </c>
      <c r="N342" s="18" t="str" cm="1">
        <f t="array" ref="N342">_xlfn.IFS(Cleaned_Working_Sheet!$M342&lt;=34,"Young",Cleaned_Working_Sheet!$M342&lt;=54,"Middle-aged",Cleaned_Working_Sheet!$M342&gt;54,"Old")</f>
        <v>Young</v>
      </c>
      <c r="O342" s="18" t="s">
        <v>18</v>
      </c>
    </row>
    <row r="343" spans="1:15" x14ac:dyDescent="0.25">
      <c r="A343" s="14">
        <v>19174</v>
      </c>
      <c r="B343" s="18" t="s">
        <v>37</v>
      </c>
      <c r="C343" s="18" t="s">
        <v>38</v>
      </c>
      <c r="D343" s="6">
        <v>30000</v>
      </c>
      <c r="E343" s="18" t="str" cm="1">
        <f t="array" ref="E343">_xlfn.IFS(Cleaned_Working_Sheet!$D343&lt;=50000,"Low Income",Cleaned_Working_Sheet!$D343&lt;100000,"Middle Income",TRUE,"High Income")</f>
        <v>Low Income</v>
      </c>
      <c r="F343" s="16">
        <v>0</v>
      </c>
      <c r="G343" s="18" t="s">
        <v>27</v>
      </c>
      <c r="H343" s="18" t="s">
        <v>25</v>
      </c>
      <c r="I343" s="18" t="s">
        <v>18</v>
      </c>
      <c r="J343" s="16">
        <v>1</v>
      </c>
      <c r="K343" s="18" t="s">
        <v>22</v>
      </c>
      <c r="L343" s="18" t="s">
        <v>17</v>
      </c>
      <c r="M343" s="14">
        <v>32</v>
      </c>
      <c r="N343" s="18" t="str" cm="1">
        <f t="array" ref="N343">_xlfn.IFS(Cleaned_Working_Sheet!$M343&lt;=34,"Young",Cleaned_Working_Sheet!$M343&lt;=54,"Middle-aged",Cleaned_Working_Sheet!$M343&gt;54,"Old")</f>
        <v>Young</v>
      </c>
      <c r="O343" s="18" t="s">
        <v>15</v>
      </c>
    </row>
    <row r="344" spans="1:15" x14ac:dyDescent="0.25">
      <c r="A344" s="14">
        <v>19183</v>
      </c>
      <c r="B344" s="18" t="s">
        <v>37</v>
      </c>
      <c r="C344" s="18" t="s">
        <v>39</v>
      </c>
      <c r="D344" s="6">
        <v>10000</v>
      </c>
      <c r="E344" s="18" t="str" cm="1">
        <f t="array" ref="E344">_xlfn.IFS(Cleaned_Working_Sheet!$D344&lt;=50000,"Low Income",Cleaned_Working_Sheet!$D344&lt;100000,"Middle Income",TRUE,"High Income")</f>
        <v>Low Income</v>
      </c>
      <c r="F344" s="16">
        <v>0</v>
      </c>
      <c r="G344" s="18" t="s">
        <v>29</v>
      </c>
      <c r="H344" s="18" t="s">
        <v>25</v>
      </c>
      <c r="I344" s="18" t="s">
        <v>15</v>
      </c>
      <c r="J344" s="16">
        <v>2</v>
      </c>
      <c r="K344" s="18" t="s">
        <v>26</v>
      </c>
      <c r="L344" s="18" t="s">
        <v>17</v>
      </c>
      <c r="M344" s="14">
        <v>35</v>
      </c>
      <c r="N344" s="18" t="str" cm="1">
        <f t="array" ref="N344">_xlfn.IFS(Cleaned_Working_Sheet!$M344&lt;=34,"Young",Cleaned_Working_Sheet!$M344&lt;=54,"Middle-aged",Cleaned_Working_Sheet!$M344&gt;54,"Old")</f>
        <v>Middle-aged</v>
      </c>
      <c r="O344" s="18" t="s">
        <v>18</v>
      </c>
    </row>
    <row r="345" spans="1:15" x14ac:dyDescent="0.25">
      <c r="A345" s="14">
        <v>13683</v>
      </c>
      <c r="B345" s="18" t="s">
        <v>37</v>
      </c>
      <c r="C345" s="18" t="s">
        <v>38</v>
      </c>
      <c r="D345" s="6">
        <v>30000</v>
      </c>
      <c r="E345" s="18" t="str" cm="1">
        <f t="array" ref="E345">_xlfn.IFS(Cleaned_Working_Sheet!$D345&lt;=50000,"Low Income",Cleaned_Working_Sheet!$D345&lt;100000,"Middle Income",TRUE,"High Income")</f>
        <v>Low Income</v>
      </c>
      <c r="F345" s="16">
        <v>0</v>
      </c>
      <c r="G345" s="18" t="s">
        <v>27</v>
      </c>
      <c r="H345" s="18" t="s">
        <v>25</v>
      </c>
      <c r="I345" s="18" t="s">
        <v>18</v>
      </c>
      <c r="J345" s="16">
        <v>1</v>
      </c>
      <c r="K345" s="18" t="s">
        <v>22</v>
      </c>
      <c r="L345" s="18" t="s">
        <v>17</v>
      </c>
      <c r="M345" s="14">
        <v>32</v>
      </c>
      <c r="N345" s="18" t="str" cm="1">
        <f t="array" ref="N345">_xlfn.IFS(Cleaned_Working_Sheet!$M345&lt;=34,"Young",Cleaned_Working_Sheet!$M345&lt;=54,"Middle-aged",Cleaned_Working_Sheet!$M345&gt;54,"Old")</f>
        <v>Young</v>
      </c>
      <c r="O345" s="18" t="s">
        <v>18</v>
      </c>
    </row>
    <row r="346" spans="1:15" x14ac:dyDescent="0.25">
      <c r="A346" s="14">
        <v>17848</v>
      </c>
      <c r="B346" s="18" t="s">
        <v>37</v>
      </c>
      <c r="C346" s="18" t="s">
        <v>39</v>
      </c>
      <c r="D346" s="6">
        <v>30000</v>
      </c>
      <c r="E346" s="18" t="str" cm="1">
        <f t="array" ref="E346">_xlfn.IFS(Cleaned_Working_Sheet!$D346&lt;=50000,"Low Income",Cleaned_Working_Sheet!$D346&lt;100000,"Middle Income",TRUE,"High Income")</f>
        <v>Low Income</v>
      </c>
      <c r="F346" s="16">
        <v>0</v>
      </c>
      <c r="G346" s="18" t="s">
        <v>19</v>
      </c>
      <c r="H346" s="18" t="s">
        <v>20</v>
      </c>
      <c r="I346" s="18" t="s">
        <v>18</v>
      </c>
      <c r="J346" s="16">
        <v>1</v>
      </c>
      <c r="K346" s="18" t="s">
        <v>22</v>
      </c>
      <c r="L346" s="18" t="s">
        <v>17</v>
      </c>
      <c r="M346" s="14">
        <v>31</v>
      </c>
      <c r="N346" s="18" t="str" cm="1">
        <f t="array" ref="N346">_xlfn.IFS(Cleaned_Working_Sheet!$M346&lt;=34,"Young",Cleaned_Working_Sheet!$M346&lt;=54,"Middle-aged",Cleaned_Working_Sheet!$M346&gt;54,"Old")</f>
        <v>Young</v>
      </c>
      <c r="O346" s="18" t="s">
        <v>15</v>
      </c>
    </row>
    <row r="347" spans="1:15" x14ac:dyDescent="0.25">
      <c r="A347" s="14">
        <v>17894</v>
      </c>
      <c r="B347" s="18" t="s">
        <v>36</v>
      </c>
      <c r="C347" s="18" t="s">
        <v>38</v>
      </c>
      <c r="D347" s="6">
        <v>20000</v>
      </c>
      <c r="E347" s="18" t="str" cm="1">
        <f t="array" ref="E347">_xlfn.IFS(Cleaned_Working_Sheet!$D347&lt;=50000,"Low Income",Cleaned_Working_Sheet!$D347&lt;100000,"Middle Income",TRUE,"High Income")</f>
        <v>Low Income</v>
      </c>
      <c r="F347" s="16">
        <v>1</v>
      </c>
      <c r="G347" s="18" t="s">
        <v>13</v>
      </c>
      <c r="H347" s="18" t="s">
        <v>20</v>
      </c>
      <c r="I347" s="18" t="s">
        <v>15</v>
      </c>
      <c r="J347" s="16">
        <v>0</v>
      </c>
      <c r="K347" s="18" t="s">
        <v>16</v>
      </c>
      <c r="L347" s="18" t="s">
        <v>17</v>
      </c>
      <c r="M347" s="14">
        <v>50</v>
      </c>
      <c r="N347" s="18" t="str" cm="1">
        <f t="array" ref="N347">_xlfn.IFS(Cleaned_Working_Sheet!$M347&lt;=34,"Young",Cleaned_Working_Sheet!$M347&lt;=54,"Middle-aged",Cleaned_Working_Sheet!$M347&gt;54,"Old")</f>
        <v>Middle-aged</v>
      </c>
      <c r="O347" s="18" t="s">
        <v>15</v>
      </c>
    </row>
    <row r="348" spans="1:15" x14ac:dyDescent="0.25">
      <c r="A348" s="14">
        <v>25651</v>
      </c>
      <c r="B348" s="18" t="s">
        <v>36</v>
      </c>
      <c r="C348" s="18" t="s">
        <v>39</v>
      </c>
      <c r="D348" s="6">
        <v>40000</v>
      </c>
      <c r="E348" s="18" t="str" cm="1">
        <f t="array" ref="E348">_xlfn.IFS(Cleaned_Working_Sheet!$D348&lt;=50000,"Low Income",Cleaned_Working_Sheet!$D348&lt;100000,"Middle Income",TRUE,"High Income")</f>
        <v>Low Income</v>
      </c>
      <c r="F348" s="16">
        <v>1</v>
      </c>
      <c r="G348" s="18" t="s">
        <v>13</v>
      </c>
      <c r="H348" s="18" t="s">
        <v>14</v>
      </c>
      <c r="I348" s="18" t="s">
        <v>18</v>
      </c>
      <c r="J348" s="16">
        <v>0</v>
      </c>
      <c r="K348" s="18" t="s">
        <v>16</v>
      </c>
      <c r="L348" s="18" t="s">
        <v>17</v>
      </c>
      <c r="M348" s="14">
        <v>43</v>
      </c>
      <c r="N348" s="18" t="str" cm="1">
        <f t="array" ref="N348">_xlfn.IFS(Cleaned_Working_Sheet!$M348&lt;=34,"Young",Cleaned_Working_Sheet!$M348&lt;=54,"Middle-aged",Cleaned_Working_Sheet!$M348&gt;54,"Old")</f>
        <v>Middle-aged</v>
      </c>
      <c r="O348" s="18" t="s">
        <v>15</v>
      </c>
    </row>
    <row r="349" spans="1:15" x14ac:dyDescent="0.25">
      <c r="A349" s="14">
        <v>22936</v>
      </c>
      <c r="B349" s="18" t="s">
        <v>37</v>
      </c>
      <c r="C349" s="18" t="s">
        <v>38</v>
      </c>
      <c r="D349" s="6">
        <v>60000</v>
      </c>
      <c r="E349" s="18" t="str" cm="1">
        <f t="array" ref="E349">_xlfn.IFS(Cleaned_Working_Sheet!$D349&lt;=50000,"Low Income",Cleaned_Working_Sheet!$D349&lt;100000,"Middle Income",TRUE,"High Income")</f>
        <v>Middle Income</v>
      </c>
      <c r="F349" s="16">
        <v>1</v>
      </c>
      <c r="G349" s="18" t="s">
        <v>19</v>
      </c>
      <c r="H349" s="18" t="s">
        <v>14</v>
      </c>
      <c r="I349" s="18" t="s">
        <v>18</v>
      </c>
      <c r="J349" s="16">
        <v>1</v>
      </c>
      <c r="K349" s="18" t="s">
        <v>16</v>
      </c>
      <c r="L349" s="18" t="s">
        <v>24</v>
      </c>
      <c r="M349" s="14">
        <v>45</v>
      </c>
      <c r="N349" s="18" t="str" cm="1">
        <f t="array" ref="N349">_xlfn.IFS(Cleaned_Working_Sheet!$M349&lt;=34,"Young",Cleaned_Working_Sheet!$M349&lt;=54,"Middle-aged",Cleaned_Working_Sheet!$M349&gt;54,"Old")</f>
        <v>Middle-aged</v>
      </c>
      <c r="O349" s="18" t="s">
        <v>15</v>
      </c>
    </row>
    <row r="350" spans="1:15" x14ac:dyDescent="0.25">
      <c r="A350" s="14">
        <v>23915</v>
      </c>
      <c r="B350" s="18" t="s">
        <v>36</v>
      </c>
      <c r="C350" s="18" t="s">
        <v>39</v>
      </c>
      <c r="D350" s="6">
        <v>20000</v>
      </c>
      <c r="E350" s="18" t="str" cm="1">
        <f t="array" ref="E350">_xlfn.IFS(Cleaned_Working_Sheet!$D350&lt;=50000,"Low Income",Cleaned_Working_Sheet!$D350&lt;100000,"Middle Income",TRUE,"High Income")</f>
        <v>Low Income</v>
      </c>
      <c r="F350" s="16">
        <v>2</v>
      </c>
      <c r="G350" s="18" t="s">
        <v>27</v>
      </c>
      <c r="H350" s="18" t="s">
        <v>25</v>
      </c>
      <c r="I350" s="18" t="s">
        <v>15</v>
      </c>
      <c r="J350" s="16">
        <v>2</v>
      </c>
      <c r="K350" s="18" t="s">
        <v>16</v>
      </c>
      <c r="L350" s="18" t="s">
        <v>17</v>
      </c>
      <c r="M350" s="14">
        <v>42</v>
      </c>
      <c r="N350" s="18" t="str" cm="1">
        <f t="array" ref="N350">_xlfn.IFS(Cleaned_Working_Sheet!$M350&lt;=34,"Young",Cleaned_Working_Sheet!$M350&lt;=54,"Middle-aged",Cleaned_Working_Sheet!$M350&gt;54,"Old")</f>
        <v>Middle-aged</v>
      </c>
      <c r="O350" s="18" t="s">
        <v>18</v>
      </c>
    </row>
    <row r="351" spans="1:15" x14ac:dyDescent="0.25">
      <c r="A351" s="14">
        <v>24121</v>
      </c>
      <c r="B351" s="18" t="s">
        <v>37</v>
      </c>
      <c r="C351" s="18" t="s">
        <v>38</v>
      </c>
      <c r="D351" s="6">
        <v>30000</v>
      </c>
      <c r="E351" s="18" t="str" cm="1">
        <f t="array" ref="E351">_xlfn.IFS(Cleaned_Working_Sheet!$D351&lt;=50000,"Low Income",Cleaned_Working_Sheet!$D351&lt;100000,"Middle Income",TRUE,"High Income")</f>
        <v>Low Income</v>
      </c>
      <c r="F351" s="16">
        <v>0</v>
      </c>
      <c r="G351" s="18" t="s">
        <v>19</v>
      </c>
      <c r="H351" s="18" t="s">
        <v>20</v>
      </c>
      <c r="I351" s="18" t="s">
        <v>18</v>
      </c>
      <c r="J351" s="16">
        <v>1</v>
      </c>
      <c r="K351" s="18" t="s">
        <v>16</v>
      </c>
      <c r="L351" s="18" t="s">
        <v>17</v>
      </c>
      <c r="M351" s="14">
        <v>29</v>
      </c>
      <c r="N351" s="18" t="str" cm="1">
        <f t="array" ref="N351">_xlfn.IFS(Cleaned_Working_Sheet!$M351&lt;=34,"Young",Cleaned_Working_Sheet!$M351&lt;=54,"Middle-aged",Cleaned_Working_Sheet!$M351&gt;54,"Old")</f>
        <v>Young</v>
      </c>
      <c r="O351" s="18" t="s">
        <v>15</v>
      </c>
    </row>
    <row r="352" spans="1:15" x14ac:dyDescent="0.25">
      <c r="A352" s="14">
        <v>27878</v>
      </c>
      <c r="B352" s="18" t="s">
        <v>37</v>
      </c>
      <c r="C352" s="18" t="s">
        <v>39</v>
      </c>
      <c r="D352" s="6">
        <v>20000</v>
      </c>
      <c r="E352" s="18" t="str" cm="1">
        <f t="array" ref="E352">_xlfn.IFS(Cleaned_Working_Sheet!$D352&lt;=50000,"Low Income",Cleaned_Working_Sheet!$D352&lt;100000,"Middle Income",TRUE,"High Income")</f>
        <v>Low Income</v>
      </c>
      <c r="F352" s="16">
        <v>0</v>
      </c>
      <c r="G352" s="18" t="s">
        <v>19</v>
      </c>
      <c r="H352" s="18" t="s">
        <v>25</v>
      </c>
      <c r="I352" s="18" t="s">
        <v>18</v>
      </c>
      <c r="J352" s="16">
        <v>0</v>
      </c>
      <c r="K352" s="18" t="s">
        <v>16</v>
      </c>
      <c r="L352" s="18" t="s">
        <v>24</v>
      </c>
      <c r="M352" s="14">
        <v>28</v>
      </c>
      <c r="N352" s="18" t="str" cm="1">
        <f t="array" ref="N352">_xlfn.IFS(Cleaned_Working_Sheet!$M352&lt;=34,"Young",Cleaned_Working_Sheet!$M352&lt;=54,"Middle-aged",Cleaned_Working_Sheet!$M352&gt;54,"Old")</f>
        <v>Young</v>
      </c>
      <c r="O352" s="18" t="s">
        <v>15</v>
      </c>
    </row>
    <row r="353" spans="1:15" x14ac:dyDescent="0.25">
      <c r="A353" s="14">
        <v>13572</v>
      </c>
      <c r="B353" s="18" t="s">
        <v>37</v>
      </c>
      <c r="C353" s="18" t="s">
        <v>39</v>
      </c>
      <c r="D353" s="6">
        <v>10000</v>
      </c>
      <c r="E353" s="18" t="str" cm="1">
        <f t="array" ref="E353">_xlfn.IFS(Cleaned_Working_Sheet!$D353&lt;=50000,"Low Income",Cleaned_Working_Sheet!$D353&lt;100000,"Middle Income",TRUE,"High Income")</f>
        <v>Low Income</v>
      </c>
      <c r="F353" s="16">
        <v>3</v>
      </c>
      <c r="G353" s="18" t="s">
        <v>27</v>
      </c>
      <c r="H353" s="18" t="s">
        <v>25</v>
      </c>
      <c r="I353" s="18" t="s">
        <v>15</v>
      </c>
      <c r="J353" s="16">
        <v>0</v>
      </c>
      <c r="K353" s="18" t="s">
        <v>16</v>
      </c>
      <c r="L353" s="18" t="s">
        <v>17</v>
      </c>
      <c r="M353" s="14">
        <v>37</v>
      </c>
      <c r="N353" s="18" t="str" cm="1">
        <f t="array" ref="N353">_xlfn.IFS(Cleaned_Working_Sheet!$M353&lt;=34,"Young",Cleaned_Working_Sheet!$M353&lt;=54,"Middle-aged",Cleaned_Working_Sheet!$M353&gt;54,"Old")</f>
        <v>Middle-aged</v>
      </c>
      <c r="O353" s="18" t="s">
        <v>15</v>
      </c>
    </row>
    <row r="354" spans="1:15" x14ac:dyDescent="0.25">
      <c r="A354" s="14">
        <v>27941</v>
      </c>
      <c r="B354" s="18" t="s">
        <v>36</v>
      </c>
      <c r="C354" s="18" t="s">
        <v>38</v>
      </c>
      <c r="D354" s="6">
        <v>80000</v>
      </c>
      <c r="E354" s="18" t="str" cm="1">
        <f t="array" ref="E354">_xlfn.IFS(Cleaned_Working_Sheet!$D354&lt;=50000,"Low Income",Cleaned_Working_Sheet!$D354&lt;100000,"Middle Income",TRUE,"High Income")</f>
        <v>Middle Income</v>
      </c>
      <c r="F354" s="16">
        <v>4</v>
      </c>
      <c r="G354" s="18" t="s">
        <v>19</v>
      </c>
      <c r="H354" s="18" t="s">
        <v>21</v>
      </c>
      <c r="I354" s="18" t="s">
        <v>15</v>
      </c>
      <c r="J354" s="16">
        <v>2</v>
      </c>
      <c r="K354" s="18" t="s">
        <v>22</v>
      </c>
      <c r="L354" s="18" t="s">
        <v>17</v>
      </c>
      <c r="M354" s="14">
        <v>53</v>
      </c>
      <c r="N354" s="18" t="str" cm="1">
        <f t="array" ref="N354">_xlfn.IFS(Cleaned_Working_Sheet!$M354&lt;=34,"Young",Cleaned_Working_Sheet!$M354&lt;=54,"Middle-aged",Cleaned_Working_Sheet!$M354&gt;54,"Old")</f>
        <v>Middle-aged</v>
      </c>
      <c r="O354" s="18" t="s">
        <v>18</v>
      </c>
    </row>
    <row r="355" spans="1:15" x14ac:dyDescent="0.25">
      <c r="A355" s="14">
        <v>26354</v>
      </c>
      <c r="B355" s="18" t="s">
        <v>37</v>
      </c>
      <c r="C355" s="18" t="s">
        <v>39</v>
      </c>
      <c r="D355" s="6">
        <v>40000</v>
      </c>
      <c r="E355" s="18" t="str" cm="1">
        <f t="array" ref="E355">_xlfn.IFS(Cleaned_Working_Sheet!$D355&lt;=50000,"Low Income",Cleaned_Working_Sheet!$D355&lt;100000,"Middle Income",TRUE,"High Income")</f>
        <v>Low Income</v>
      </c>
      <c r="F355" s="16">
        <v>0</v>
      </c>
      <c r="G355" s="18" t="s">
        <v>31</v>
      </c>
      <c r="H355" s="18" t="s">
        <v>20</v>
      </c>
      <c r="I355" s="18" t="s">
        <v>18</v>
      </c>
      <c r="J355" s="16">
        <v>0</v>
      </c>
      <c r="K355" s="18" t="s">
        <v>16</v>
      </c>
      <c r="L355" s="18" t="s">
        <v>17</v>
      </c>
      <c r="M355" s="14">
        <v>38</v>
      </c>
      <c r="N355" s="18" t="str" cm="1">
        <f t="array" ref="N355">_xlfn.IFS(Cleaned_Working_Sheet!$M355&lt;=34,"Young",Cleaned_Working_Sheet!$M355&lt;=54,"Middle-aged",Cleaned_Working_Sheet!$M355&gt;54,"Old")</f>
        <v>Middle-aged</v>
      </c>
      <c r="O355" s="18" t="s">
        <v>15</v>
      </c>
    </row>
    <row r="356" spans="1:15" x14ac:dyDescent="0.25">
      <c r="A356" s="14">
        <v>14785</v>
      </c>
      <c r="B356" s="18" t="s">
        <v>37</v>
      </c>
      <c r="C356" s="18" t="s">
        <v>39</v>
      </c>
      <c r="D356" s="6">
        <v>30000</v>
      </c>
      <c r="E356" s="18" t="str" cm="1">
        <f t="array" ref="E356">_xlfn.IFS(Cleaned_Working_Sheet!$D356&lt;=50000,"Low Income",Cleaned_Working_Sheet!$D356&lt;100000,"Middle Income",TRUE,"High Income")</f>
        <v>Low Income</v>
      </c>
      <c r="F356" s="16">
        <v>1</v>
      </c>
      <c r="G356" s="18" t="s">
        <v>13</v>
      </c>
      <c r="H356" s="18" t="s">
        <v>20</v>
      </c>
      <c r="I356" s="18" t="s">
        <v>18</v>
      </c>
      <c r="J356" s="16">
        <v>1</v>
      </c>
      <c r="K356" s="18" t="s">
        <v>26</v>
      </c>
      <c r="L356" s="18" t="s">
        <v>17</v>
      </c>
      <c r="M356" s="14">
        <v>39</v>
      </c>
      <c r="N356" s="18" t="str" cm="1">
        <f t="array" ref="N356">_xlfn.IFS(Cleaned_Working_Sheet!$M356&lt;=34,"Young",Cleaned_Working_Sheet!$M356&lt;=54,"Middle-aged",Cleaned_Working_Sheet!$M356&gt;54,"Old")</f>
        <v>Middle-aged</v>
      </c>
      <c r="O356" s="18" t="s">
        <v>18</v>
      </c>
    </row>
    <row r="357" spans="1:15" x14ac:dyDescent="0.25">
      <c r="A357" s="14">
        <v>17238</v>
      </c>
      <c r="B357" s="18" t="s">
        <v>37</v>
      </c>
      <c r="C357" s="18" t="s">
        <v>39</v>
      </c>
      <c r="D357" s="6">
        <v>80000</v>
      </c>
      <c r="E357" s="18" t="str" cm="1">
        <f t="array" ref="E357">_xlfn.IFS(Cleaned_Working_Sheet!$D357&lt;=50000,"Low Income",Cleaned_Working_Sheet!$D357&lt;100000,"Middle Income",TRUE,"High Income")</f>
        <v>Middle Income</v>
      </c>
      <c r="F357" s="16">
        <v>0</v>
      </c>
      <c r="G357" s="18" t="s">
        <v>13</v>
      </c>
      <c r="H357" s="18" t="s">
        <v>21</v>
      </c>
      <c r="I357" s="18" t="s">
        <v>15</v>
      </c>
      <c r="J357" s="16">
        <v>3</v>
      </c>
      <c r="K357" s="18" t="s">
        <v>43</v>
      </c>
      <c r="L357" s="18" t="s">
        <v>24</v>
      </c>
      <c r="M357" s="14">
        <v>32</v>
      </c>
      <c r="N357" s="18" t="str" cm="1">
        <f t="array" ref="N357">_xlfn.IFS(Cleaned_Working_Sheet!$M357&lt;=34,"Young",Cleaned_Working_Sheet!$M357&lt;=54,"Middle-aged",Cleaned_Working_Sheet!$M357&gt;54,"Old")</f>
        <v>Young</v>
      </c>
      <c r="O357" s="18" t="s">
        <v>18</v>
      </c>
    </row>
    <row r="358" spans="1:15" x14ac:dyDescent="0.25">
      <c r="A358" s="14">
        <v>23608</v>
      </c>
      <c r="B358" s="18" t="s">
        <v>36</v>
      </c>
      <c r="C358" s="18" t="s">
        <v>38</v>
      </c>
      <c r="D358" s="6">
        <v>150000</v>
      </c>
      <c r="E358" s="18" t="str" cm="1">
        <f t="array" ref="E358">_xlfn.IFS(Cleaned_Working_Sheet!$D358&lt;=50000,"Low Income",Cleaned_Working_Sheet!$D358&lt;100000,"Middle Income",TRUE,"High Income")</f>
        <v>High Income</v>
      </c>
      <c r="F358" s="16">
        <v>3</v>
      </c>
      <c r="G358" s="18" t="s">
        <v>27</v>
      </c>
      <c r="H358" s="18" t="s">
        <v>21</v>
      </c>
      <c r="I358" s="18" t="s">
        <v>15</v>
      </c>
      <c r="J358" s="16">
        <v>3</v>
      </c>
      <c r="K358" s="18" t="s">
        <v>16</v>
      </c>
      <c r="L358" s="18" t="s">
        <v>17</v>
      </c>
      <c r="M358" s="14">
        <v>51</v>
      </c>
      <c r="N358" s="18" t="str" cm="1">
        <f t="array" ref="N358">_xlfn.IFS(Cleaned_Working_Sheet!$M358&lt;=34,"Young",Cleaned_Working_Sheet!$M358&lt;=54,"Middle-aged",Cleaned_Working_Sheet!$M358&gt;54,"Old")</f>
        <v>Middle-aged</v>
      </c>
      <c r="O358" s="18" t="s">
        <v>15</v>
      </c>
    </row>
    <row r="359" spans="1:15" x14ac:dyDescent="0.25">
      <c r="A359" s="14">
        <v>22538</v>
      </c>
      <c r="B359" s="18" t="s">
        <v>37</v>
      </c>
      <c r="C359" s="18" t="s">
        <v>38</v>
      </c>
      <c r="D359" s="6">
        <v>10000</v>
      </c>
      <c r="E359" s="18" t="str" cm="1">
        <f t="array" ref="E359">_xlfn.IFS(Cleaned_Working_Sheet!$D359&lt;=50000,"Low Income",Cleaned_Working_Sheet!$D359&lt;100000,"Middle Income",TRUE,"High Income")</f>
        <v>Low Income</v>
      </c>
      <c r="F359" s="16">
        <v>0</v>
      </c>
      <c r="G359" s="18" t="s">
        <v>29</v>
      </c>
      <c r="H359" s="18" t="s">
        <v>25</v>
      </c>
      <c r="I359" s="18" t="s">
        <v>15</v>
      </c>
      <c r="J359" s="16">
        <v>2</v>
      </c>
      <c r="K359" s="18" t="s">
        <v>26</v>
      </c>
      <c r="L359" s="18" t="s">
        <v>17</v>
      </c>
      <c r="M359" s="14">
        <v>33</v>
      </c>
      <c r="N359" s="18" t="str" cm="1">
        <f t="array" ref="N359">_xlfn.IFS(Cleaned_Working_Sheet!$M359&lt;=34,"Young",Cleaned_Working_Sheet!$M359&lt;=54,"Middle-aged",Cleaned_Working_Sheet!$M359&gt;54,"Old")</f>
        <v>Young</v>
      </c>
      <c r="O359" s="18" t="s">
        <v>18</v>
      </c>
    </row>
    <row r="360" spans="1:15" x14ac:dyDescent="0.25">
      <c r="A360" s="14">
        <v>12332</v>
      </c>
      <c r="B360" s="18" t="s">
        <v>36</v>
      </c>
      <c r="C360" s="18" t="s">
        <v>39</v>
      </c>
      <c r="D360" s="6">
        <v>90000</v>
      </c>
      <c r="E360" s="18" t="str" cm="1">
        <f t="array" ref="E360">_xlfn.IFS(Cleaned_Working_Sheet!$D360&lt;=50000,"Low Income",Cleaned_Working_Sheet!$D360&lt;100000,"Middle Income",TRUE,"High Income")</f>
        <v>Middle Income</v>
      </c>
      <c r="F360" s="16">
        <v>4</v>
      </c>
      <c r="G360" s="18" t="s">
        <v>27</v>
      </c>
      <c r="H360" s="18" t="s">
        <v>28</v>
      </c>
      <c r="I360" s="18" t="s">
        <v>15</v>
      </c>
      <c r="J360" s="16">
        <v>3</v>
      </c>
      <c r="K360" s="18" t="s">
        <v>23</v>
      </c>
      <c r="L360" s="18" t="s">
        <v>17</v>
      </c>
      <c r="M360" s="14">
        <v>58</v>
      </c>
      <c r="N360" s="18" t="str" cm="1">
        <f t="array" ref="N360">_xlfn.IFS(Cleaned_Working_Sheet!$M360&lt;=34,"Young",Cleaned_Working_Sheet!$M360&lt;=54,"Middle-aged",Cleaned_Working_Sheet!$M360&gt;54,"Old")</f>
        <v>Old</v>
      </c>
      <c r="O360" s="18" t="s">
        <v>15</v>
      </c>
    </row>
    <row r="361" spans="1:15" x14ac:dyDescent="0.25">
      <c r="A361" s="14">
        <v>17230</v>
      </c>
      <c r="B361" s="18" t="s">
        <v>36</v>
      </c>
      <c r="C361" s="18" t="s">
        <v>39</v>
      </c>
      <c r="D361" s="6">
        <v>80000</v>
      </c>
      <c r="E361" s="18" t="str" cm="1">
        <f t="array" ref="E361">_xlfn.IFS(Cleaned_Working_Sheet!$D361&lt;=50000,"Low Income",Cleaned_Working_Sheet!$D361&lt;100000,"Middle Income",TRUE,"High Income")</f>
        <v>Middle Income</v>
      </c>
      <c r="F361" s="16">
        <v>0</v>
      </c>
      <c r="G361" s="18" t="s">
        <v>13</v>
      </c>
      <c r="H361" s="18" t="s">
        <v>21</v>
      </c>
      <c r="I361" s="18" t="s">
        <v>15</v>
      </c>
      <c r="J361" s="16">
        <v>3</v>
      </c>
      <c r="K361" s="18" t="s">
        <v>43</v>
      </c>
      <c r="L361" s="18" t="s">
        <v>24</v>
      </c>
      <c r="M361" s="14">
        <v>30</v>
      </c>
      <c r="N361" s="18" t="str" cm="1">
        <f t="array" ref="N361">_xlfn.IFS(Cleaned_Working_Sheet!$M361&lt;=34,"Young",Cleaned_Working_Sheet!$M361&lt;=54,"Middle-aged",Cleaned_Working_Sheet!$M361&gt;54,"Old")</f>
        <v>Young</v>
      </c>
      <c r="O361" s="18" t="s">
        <v>18</v>
      </c>
    </row>
    <row r="362" spans="1:15" x14ac:dyDescent="0.25">
      <c r="A362" s="14">
        <v>13082</v>
      </c>
      <c r="B362" s="18" t="s">
        <v>37</v>
      </c>
      <c r="C362" s="18" t="s">
        <v>39</v>
      </c>
      <c r="D362" s="6">
        <v>130000</v>
      </c>
      <c r="E362" s="18" t="str" cm="1">
        <f t="array" ref="E362">_xlfn.IFS(Cleaned_Working_Sheet!$D362&lt;=50000,"Low Income",Cleaned_Working_Sheet!$D362&lt;100000,"Middle Income",TRUE,"High Income")</f>
        <v>High Income</v>
      </c>
      <c r="F362" s="16">
        <v>0</v>
      </c>
      <c r="G362" s="18" t="s">
        <v>31</v>
      </c>
      <c r="H362" s="18" t="s">
        <v>28</v>
      </c>
      <c r="I362" s="18" t="s">
        <v>15</v>
      </c>
      <c r="J362" s="16">
        <v>0</v>
      </c>
      <c r="K362" s="18" t="s">
        <v>22</v>
      </c>
      <c r="L362" s="18" t="s">
        <v>24</v>
      </c>
      <c r="M362" s="14">
        <v>48</v>
      </c>
      <c r="N362" s="18" t="str" cm="1">
        <f t="array" ref="N362">_xlfn.IFS(Cleaned_Working_Sheet!$M362&lt;=34,"Young",Cleaned_Working_Sheet!$M362&lt;=54,"Middle-aged",Cleaned_Working_Sheet!$M362&gt;54,"Old")</f>
        <v>Middle-aged</v>
      </c>
      <c r="O362" s="18" t="s">
        <v>15</v>
      </c>
    </row>
    <row r="363" spans="1:15" x14ac:dyDescent="0.25">
      <c r="A363" s="14">
        <v>22518</v>
      </c>
      <c r="B363" s="18" t="s">
        <v>37</v>
      </c>
      <c r="C363" s="18" t="s">
        <v>38</v>
      </c>
      <c r="D363" s="6">
        <v>30000</v>
      </c>
      <c r="E363" s="18" t="str" cm="1">
        <f t="array" ref="E363">_xlfn.IFS(Cleaned_Working_Sheet!$D363&lt;=50000,"Low Income",Cleaned_Working_Sheet!$D363&lt;100000,"Middle Income",TRUE,"High Income")</f>
        <v>Low Income</v>
      </c>
      <c r="F363" s="16">
        <v>3</v>
      </c>
      <c r="G363" s="18" t="s">
        <v>19</v>
      </c>
      <c r="H363" s="18" t="s">
        <v>20</v>
      </c>
      <c r="I363" s="18" t="s">
        <v>18</v>
      </c>
      <c r="J363" s="16">
        <v>2</v>
      </c>
      <c r="K363" s="18" t="s">
        <v>16</v>
      </c>
      <c r="L363" s="18" t="s">
        <v>17</v>
      </c>
      <c r="M363" s="14">
        <v>27</v>
      </c>
      <c r="N363" s="18" t="str" cm="1">
        <f t="array" ref="N363">_xlfn.IFS(Cleaned_Working_Sheet!$M363&lt;=34,"Young",Cleaned_Working_Sheet!$M363&lt;=54,"Middle-aged",Cleaned_Working_Sheet!$M363&gt;54,"Old")</f>
        <v>Young</v>
      </c>
      <c r="O363" s="18" t="s">
        <v>15</v>
      </c>
    </row>
    <row r="364" spans="1:15" x14ac:dyDescent="0.25">
      <c r="A364" s="14">
        <v>13687</v>
      </c>
      <c r="B364" s="18" t="s">
        <v>36</v>
      </c>
      <c r="C364" s="18" t="s">
        <v>39</v>
      </c>
      <c r="D364" s="6">
        <v>40000</v>
      </c>
      <c r="E364" s="18" t="str" cm="1">
        <f t="array" ref="E364">_xlfn.IFS(Cleaned_Working_Sheet!$D364&lt;=50000,"Low Income",Cleaned_Working_Sheet!$D364&lt;100000,"Middle Income",TRUE,"High Income")</f>
        <v>Low Income</v>
      </c>
      <c r="F364" s="16">
        <v>1</v>
      </c>
      <c r="G364" s="18" t="s">
        <v>13</v>
      </c>
      <c r="H364" s="18" t="s">
        <v>14</v>
      </c>
      <c r="I364" s="18" t="s">
        <v>15</v>
      </c>
      <c r="J364" s="16">
        <v>1</v>
      </c>
      <c r="K364" s="18" t="s">
        <v>16</v>
      </c>
      <c r="L364" s="18" t="s">
        <v>17</v>
      </c>
      <c r="M364" s="14">
        <v>33</v>
      </c>
      <c r="N364" s="18" t="str" cm="1">
        <f t="array" ref="N364">_xlfn.IFS(Cleaned_Working_Sheet!$M364&lt;=34,"Young",Cleaned_Working_Sheet!$M364&lt;=54,"Middle-aged",Cleaned_Working_Sheet!$M364&gt;54,"Old")</f>
        <v>Young</v>
      </c>
      <c r="O364" s="18" t="s">
        <v>15</v>
      </c>
    </row>
    <row r="365" spans="1:15" x14ac:dyDescent="0.25">
      <c r="A365" s="14">
        <v>23571</v>
      </c>
      <c r="B365" s="18" t="s">
        <v>36</v>
      </c>
      <c r="C365" s="18" t="s">
        <v>38</v>
      </c>
      <c r="D365" s="6">
        <v>40000</v>
      </c>
      <c r="E365" s="18" t="str" cm="1">
        <f t="array" ref="E365">_xlfn.IFS(Cleaned_Working_Sheet!$D365&lt;=50000,"Low Income",Cleaned_Working_Sheet!$D365&lt;100000,"Middle Income",TRUE,"High Income")</f>
        <v>Low Income</v>
      </c>
      <c r="F365" s="16">
        <v>2</v>
      </c>
      <c r="G365" s="18" t="s">
        <v>13</v>
      </c>
      <c r="H365" s="18" t="s">
        <v>28</v>
      </c>
      <c r="I365" s="18" t="s">
        <v>15</v>
      </c>
      <c r="J365" s="16">
        <v>2</v>
      </c>
      <c r="K365" s="18" t="s">
        <v>16</v>
      </c>
      <c r="L365" s="18" t="s">
        <v>24</v>
      </c>
      <c r="M365" s="14">
        <v>66</v>
      </c>
      <c r="N365" s="18" t="str" cm="1">
        <f t="array" ref="N365">_xlfn.IFS(Cleaned_Working_Sheet!$M365&lt;=34,"Young",Cleaned_Working_Sheet!$M365&lt;=54,"Middle-aged",Cleaned_Working_Sheet!$M365&gt;54,"Old")</f>
        <v>Old</v>
      </c>
      <c r="O365" s="18" t="s">
        <v>15</v>
      </c>
    </row>
    <row r="366" spans="1:15" x14ac:dyDescent="0.25">
      <c r="A366" s="14">
        <v>19305</v>
      </c>
      <c r="B366" s="18" t="s">
        <v>37</v>
      </c>
      <c r="C366" s="18" t="s">
        <v>38</v>
      </c>
      <c r="D366" s="6">
        <v>10000</v>
      </c>
      <c r="E366" s="18" t="str" cm="1">
        <f t="array" ref="E366">_xlfn.IFS(Cleaned_Working_Sheet!$D366&lt;=50000,"Low Income",Cleaned_Working_Sheet!$D366&lt;100000,"Middle Income",TRUE,"High Income")</f>
        <v>Low Income</v>
      </c>
      <c r="F366" s="16">
        <v>2</v>
      </c>
      <c r="G366" s="18" t="s">
        <v>27</v>
      </c>
      <c r="H366" s="18" t="s">
        <v>25</v>
      </c>
      <c r="I366" s="18" t="s">
        <v>15</v>
      </c>
      <c r="J366" s="16">
        <v>1</v>
      </c>
      <c r="K366" s="18" t="s">
        <v>16</v>
      </c>
      <c r="L366" s="18" t="s">
        <v>17</v>
      </c>
      <c r="M366" s="14">
        <v>38</v>
      </c>
      <c r="N366" s="18" t="str" cm="1">
        <f t="array" ref="N366">_xlfn.IFS(Cleaned_Working_Sheet!$M366&lt;=34,"Young",Cleaned_Working_Sheet!$M366&lt;=54,"Middle-aged",Cleaned_Working_Sheet!$M366&gt;54,"Old")</f>
        <v>Middle-aged</v>
      </c>
      <c r="O366" s="18" t="s">
        <v>15</v>
      </c>
    </row>
    <row r="367" spans="1:15" x14ac:dyDescent="0.25">
      <c r="A367" s="14">
        <v>22636</v>
      </c>
      <c r="B367" s="18" t="s">
        <v>37</v>
      </c>
      <c r="C367" s="18" t="s">
        <v>38</v>
      </c>
      <c r="D367" s="6">
        <v>40000</v>
      </c>
      <c r="E367" s="18" t="str" cm="1">
        <f t="array" ref="E367">_xlfn.IFS(Cleaned_Working_Sheet!$D367&lt;=50000,"Low Income",Cleaned_Working_Sheet!$D367&lt;100000,"Middle Income",TRUE,"High Income")</f>
        <v>Low Income</v>
      </c>
      <c r="F367" s="16">
        <v>0</v>
      </c>
      <c r="G367" s="18" t="s">
        <v>13</v>
      </c>
      <c r="H367" s="18" t="s">
        <v>20</v>
      </c>
      <c r="I367" s="18" t="s">
        <v>18</v>
      </c>
      <c r="J367" s="16">
        <v>0</v>
      </c>
      <c r="K367" s="18" t="s">
        <v>16</v>
      </c>
      <c r="L367" s="18" t="s">
        <v>17</v>
      </c>
      <c r="M367" s="14">
        <v>38</v>
      </c>
      <c r="N367" s="18" t="str" cm="1">
        <f t="array" ref="N367">_xlfn.IFS(Cleaned_Working_Sheet!$M367&lt;=34,"Young",Cleaned_Working_Sheet!$M367&lt;=54,"Middle-aged",Cleaned_Working_Sheet!$M367&gt;54,"Old")</f>
        <v>Middle-aged</v>
      </c>
      <c r="O367" s="18" t="s">
        <v>15</v>
      </c>
    </row>
    <row r="368" spans="1:15" x14ac:dyDescent="0.25">
      <c r="A368" s="14">
        <v>17310</v>
      </c>
      <c r="B368" s="18" t="s">
        <v>36</v>
      </c>
      <c r="C368" s="18" t="s">
        <v>39</v>
      </c>
      <c r="D368" s="6">
        <v>60000</v>
      </c>
      <c r="E368" s="18" t="str" cm="1">
        <f t="array" ref="E368">_xlfn.IFS(Cleaned_Working_Sheet!$D368&lt;=50000,"Low Income",Cleaned_Working_Sheet!$D368&lt;100000,"Middle Income",TRUE,"High Income")</f>
        <v>Middle Income</v>
      </c>
      <c r="F368" s="16">
        <v>1</v>
      </c>
      <c r="G368" s="18" t="s">
        <v>19</v>
      </c>
      <c r="H368" s="18" t="s">
        <v>14</v>
      </c>
      <c r="I368" s="18" t="s">
        <v>15</v>
      </c>
      <c r="J368" s="16">
        <v>1</v>
      </c>
      <c r="K368" s="18" t="s">
        <v>16</v>
      </c>
      <c r="L368" s="18" t="s">
        <v>24</v>
      </c>
      <c r="M368" s="14">
        <v>45</v>
      </c>
      <c r="N368" s="18" t="str" cm="1">
        <f t="array" ref="N368">_xlfn.IFS(Cleaned_Working_Sheet!$M368&lt;=34,"Young",Cleaned_Working_Sheet!$M368&lt;=54,"Middle-aged",Cleaned_Working_Sheet!$M368&gt;54,"Old")</f>
        <v>Middle-aged</v>
      </c>
      <c r="O368" s="18" t="s">
        <v>15</v>
      </c>
    </row>
    <row r="369" spans="1:15" x14ac:dyDescent="0.25">
      <c r="A369" s="14">
        <v>12133</v>
      </c>
      <c r="B369" s="18" t="s">
        <v>36</v>
      </c>
      <c r="C369" s="18" t="s">
        <v>38</v>
      </c>
      <c r="D369" s="6">
        <v>130000</v>
      </c>
      <c r="E369" s="18" t="str" cm="1">
        <f t="array" ref="E369">_xlfn.IFS(Cleaned_Working_Sheet!$D369&lt;=50000,"Low Income",Cleaned_Working_Sheet!$D369&lt;100000,"Middle Income",TRUE,"High Income")</f>
        <v>High Income</v>
      </c>
      <c r="F369" s="16">
        <v>3</v>
      </c>
      <c r="G369" s="18" t="s">
        <v>19</v>
      </c>
      <c r="H369" s="18" t="s">
        <v>21</v>
      </c>
      <c r="I369" s="18" t="s">
        <v>15</v>
      </c>
      <c r="J369" s="16">
        <v>3</v>
      </c>
      <c r="K369" s="18" t="s">
        <v>23</v>
      </c>
      <c r="L369" s="18" t="s">
        <v>17</v>
      </c>
      <c r="M369" s="14">
        <v>50</v>
      </c>
      <c r="N369" s="18" t="str" cm="1">
        <f t="array" ref="N369">_xlfn.IFS(Cleaned_Working_Sheet!$M369&lt;=34,"Young",Cleaned_Working_Sheet!$M369&lt;=54,"Middle-aged",Cleaned_Working_Sheet!$M369&gt;54,"Old")</f>
        <v>Middle-aged</v>
      </c>
      <c r="O369" s="18" t="s">
        <v>15</v>
      </c>
    </row>
    <row r="370" spans="1:15" x14ac:dyDescent="0.25">
      <c r="A370" s="14">
        <v>25918</v>
      </c>
      <c r="B370" s="18" t="s">
        <v>37</v>
      </c>
      <c r="C370" s="18" t="s">
        <v>38</v>
      </c>
      <c r="D370" s="6">
        <v>30000</v>
      </c>
      <c r="E370" s="18" t="str" cm="1">
        <f t="array" ref="E370">_xlfn.IFS(Cleaned_Working_Sheet!$D370&lt;=50000,"Low Income",Cleaned_Working_Sheet!$D370&lt;100000,"Middle Income",TRUE,"High Income")</f>
        <v>Low Income</v>
      </c>
      <c r="F370" s="16">
        <v>2</v>
      </c>
      <c r="G370" s="18" t="s">
        <v>19</v>
      </c>
      <c r="H370" s="18" t="s">
        <v>20</v>
      </c>
      <c r="I370" s="18" t="s">
        <v>18</v>
      </c>
      <c r="J370" s="16">
        <v>2</v>
      </c>
      <c r="K370" s="18" t="s">
        <v>23</v>
      </c>
      <c r="L370" s="18" t="s">
        <v>24</v>
      </c>
      <c r="M370" s="14">
        <v>60</v>
      </c>
      <c r="N370" s="18" t="str" cm="1">
        <f t="array" ref="N370">_xlfn.IFS(Cleaned_Working_Sheet!$M370&lt;=34,"Young",Cleaned_Working_Sheet!$M370&lt;=54,"Middle-aged",Cleaned_Working_Sheet!$M370&gt;54,"Old")</f>
        <v>Old</v>
      </c>
      <c r="O370" s="18" t="s">
        <v>15</v>
      </c>
    </row>
    <row r="371" spans="1:15" x14ac:dyDescent="0.25">
      <c r="A371" s="14">
        <v>25752</v>
      </c>
      <c r="B371" s="18" t="s">
        <v>37</v>
      </c>
      <c r="C371" s="18" t="s">
        <v>38</v>
      </c>
      <c r="D371" s="6">
        <v>20000</v>
      </c>
      <c r="E371" s="18" t="str" cm="1">
        <f t="array" ref="E371">_xlfn.IFS(Cleaned_Working_Sheet!$D371&lt;=50000,"Low Income",Cleaned_Working_Sheet!$D371&lt;100000,"Middle Income",TRUE,"High Income")</f>
        <v>Low Income</v>
      </c>
      <c r="F371" s="16">
        <v>2</v>
      </c>
      <c r="G371" s="18" t="s">
        <v>19</v>
      </c>
      <c r="H371" s="18" t="s">
        <v>25</v>
      </c>
      <c r="I371" s="18" t="s">
        <v>18</v>
      </c>
      <c r="J371" s="16">
        <v>1</v>
      </c>
      <c r="K371" s="18" t="s">
        <v>16</v>
      </c>
      <c r="L371" s="18" t="s">
        <v>17</v>
      </c>
      <c r="M371" s="14">
        <v>53</v>
      </c>
      <c r="N371" s="18" t="str" cm="1">
        <f t="array" ref="N371">_xlfn.IFS(Cleaned_Working_Sheet!$M371&lt;=34,"Young",Cleaned_Working_Sheet!$M371&lt;=54,"Middle-aged",Cleaned_Working_Sheet!$M371&gt;54,"Old")</f>
        <v>Middle-aged</v>
      </c>
      <c r="O371" s="18" t="s">
        <v>15</v>
      </c>
    </row>
    <row r="372" spans="1:15" x14ac:dyDescent="0.25">
      <c r="A372" s="14">
        <v>17324</v>
      </c>
      <c r="B372" s="18" t="s">
        <v>36</v>
      </c>
      <c r="C372" s="18" t="s">
        <v>38</v>
      </c>
      <c r="D372" s="6">
        <v>100000</v>
      </c>
      <c r="E372" s="18" t="str" cm="1">
        <f t="array" ref="E372">_xlfn.IFS(Cleaned_Working_Sheet!$D372&lt;=50000,"Low Income",Cleaned_Working_Sheet!$D372&lt;100000,"Middle Income",TRUE,"High Income")</f>
        <v>High Income</v>
      </c>
      <c r="F372" s="16">
        <v>4</v>
      </c>
      <c r="G372" s="18" t="s">
        <v>13</v>
      </c>
      <c r="H372" s="18" t="s">
        <v>21</v>
      </c>
      <c r="I372" s="18" t="s">
        <v>15</v>
      </c>
      <c r="J372" s="16">
        <v>1</v>
      </c>
      <c r="K372" s="18" t="s">
        <v>43</v>
      </c>
      <c r="L372" s="18" t="s">
        <v>24</v>
      </c>
      <c r="M372" s="14">
        <v>46</v>
      </c>
      <c r="N372" s="18" t="str" cm="1">
        <f t="array" ref="N372">_xlfn.IFS(Cleaned_Working_Sheet!$M372&lt;=34,"Young",Cleaned_Working_Sheet!$M372&lt;=54,"Middle-aged",Cleaned_Working_Sheet!$M372&gt;54,"Old")</f>
        <v>Middle-aged</v>
      </c>
      <c r="O372" s="18" t="s">
        <v>18</v>
      </c>
    </row>
    <row r="373" spans="1:15" x14ac:dyDescent="0.25">
      <c r="A373" s="14">
        <v>22918</v>
      </c>
      <c r="B373" s="18" t="s">
        <v>37</v>
      </c>
      <c r="C373" s="18" t="s">
        <v>39</v>
      </c>
      <c r="D373" s="6">
        <v>80000</v>
      </c>
      <c r="E373" s="18" t="str" cm="1">
        <f t="array" ref="E373">_xlfn.IFS(Cleaned_Working_Sheet!$D373&lt;=50000,"Low Income",Cleaned_Working_Sheet!$D373&lt;100000,"Middle Income",TRUE,"High Income")</f>
        <v>Middle Income</v>
      </c>
      <c r="F373" s="16">
        <v>5</v>
      </c>
      <c r="G373" s="18" t="s">
        <v>31</v>
      </c>
      <c r="H373" s="18" t="s">
        <v>28</v>
      </c>
      <c r="I373" s="18" t="s">
        <v>15</v>
      </c>
      <c r="J373" s="16">
        <v>3</v>
      </c>
      <c r="K373" s="18" t="s">
        <v>16</v>
      </c>
      <c r="L373" s="18" t="s">
        <v>24</v>
      </c>
      <c r="M373" s="14">
        <v>50</v>
      </c>
      <c r="N373" s="18" t="str" cm="1">
        <f t="array" ref="N373">_xlfn.IFS(Cleaned_Working_Sheet!$M373&lt;=34,"Young",Cleaned_Working_Sheet!$M373&lt;=54,"Middle-aged",Cleaned_Working_Sheet!$M373&gt;54,"Old")</f>
        <v>Middle-aged</v>
      </c>
      <c r="O373" s="18" t="s">
        <v>18</v>
      </c>
    </row>
    <row r="374" spans="1:15" x14ac:dyDescent="0.25">
      <c r="A374" s="14">
        <v>12510</v>
      </c>
      <c r="B374" s="18" t="s">
        <v>36</v>
      </c>
      <c r="C374" s="18" t="s">
        <v>39</v>
      </c>
      <c r="D374" s="6">
        <v>40000</v>
      </c>
      <c r="E374" s="18" t="str" cm="1">
        <f t="array" ref="E374">_xlfn.IFS(Cleaned_Working_Sheet!$D374&lt;=50000,"Low Income",Cleaned_Working_Sheet!$D374&lt;100000,"Middle Income",TRUE,"High Income")</f>
        <v>Low Income</v>
      </c>
      <c r="F374" s="16">
        <v>1</v>
      </c>
      <c r="G374" s="18" t="s">
        <v>13</v>
      </c>
      <c r="H374" s="18" t="s">
        <v>14</v>
      </c>
      <c r="I374" s="18" t="s">
        <v>15</v>
      </c>
      <c r="J374" s="16">
        <v>1</v>
      </c>
      <c r="K374" s="18" t="s">
        <v>16</v>
      </c>
      <c r="L374" s="18" t="s">
        <v>17</v>
      </c>
      <c r="M374" s="14">
        <v>43</v>
      </c>
      <c r="N374" s="18" t="str" cm="1">
        <f t="array" ref="N374">_xlfn.IFS(Cleaned_Working_Sheet!$M374&lt;=34,"Young",Cleaned_Working_Sheet!$M374&lt;=54,"Middle-aged",Cleaned_Working_Sheet!$M374&gt;54,"Old")</f>
        <v>Middle-aged</v>
      </c>
      <c r="O374" s="18" t="s">
        <v>15</v>
      </c>
    </row>
    <row r="375" spans="1:15" x14ac:dyDescent="0.25">
      <c r="A375" s="14">
        <v>25512</v>
      </c>
      <c r="B375" s="18" t="s">
        <v>37</v>
      </c>
      <c r="C375" s="18" t="s">
        <v>39</v>
      </c>
      <c r="D375" s="6">
        <v>20000</v>
      </c>
      <c r="E375" s="18" t="str" cm="1">
        <f t="array" ref="E375">_xlfn.IFS(Cleaned_Working_Sheet!$D375&lt;=50000,"Low Income",Cleaned_Working_Sheet!$D375&lt;100000,"Middle Income",TRUE,"High Income")</f>
        <v>Low Income</v>
      </c>
      <c r="F375" s="16">
        <v>0</v>
      </c>
      <c r="G375" s="18" t="s">
        <v>27</v>
      </c>
      <c r="H375" s="18" t="s">
        <v>25</v>
      </c>
      <c r="I375" s="18" t="s">
        <v>18</v>
      </c>
      <c r="J375" s="16">
        <v>1</v>
      </c>
      <c r="K375" s="18" t="s">
        <v>22</v>
      </c>
      <c r="L375" s="18" t="s">
        <v>17</v>
      </c>
      <c r="M375" s="14">
        <v>30</v>
      </c>
      <c r="N375" s="18" t="str" cm="1">
        <f t="array" ref="N375">_xlfn.IFS(Cleaned_Working_Sheet!$M375&lt;=34,"Young",Cleaned_Working_Sheet!$M375&lt;=54,"Middle-aged",Cleaned_Working_Sheet!$M375&gt;54,"Old")</f>
        <v>Young</v>
      </c>
      <c r="O375" s="18" t="s">
        <v>18</v>
      </c>
    </row>
    <row r="376" spans="1:15" x14ac:dyDescent="0.25">
      <c r="A376" s="14">
        <v>16179</v>
      </c>
      <c r="B376" s="18" t="s">
        <v>37</v>
      </c>
      <c r="C376" s="18" t="s">
        <v>38</v>
      </c>
      <c r="D376" s="6">
        <v>80000</v>
      </c>
      <c r="E376" s="18" t="str" cm="1">
        <f t="array" ref="E376">_xlfn.IFS(Cleaned_Working_Sheet!$D376&lt;=50000,"Low Income",Cleaned_Working_Sheet!$D376&lt;100000,"Middle Income",TRUE,"High Income")</f>
        <v>Middle Income</v>
      </c>
      <c r="F376" s="16">
        <v>5</v>
      </c>
      <c r="G376" s="18" t="s">
        <v>13</v>
      </c>
      <c r="H376" s="18" t="s">
        <v>21</v>
      </c>
      <c r="I376" s="18" t="s">
        <v>15</v>
      </c>
      <c r="J376" s="16">
        <v>4</v>
      </c>
      <c r="K376" s="18" t="s">
        <v>26</v>
      </c>
      <c r="L376" s="18" t="s">
        <v>24</v>
      </c>
      <c r="M376" s="14">
        <v>38</v>
      </c>
      <c r="N376" s="18" t="str" cm="1">
        <f t="array" ref="N376">_xlfn.IFS(Cleaned_Working_Sheet!$M376&lt;=34,"Young",Cleaned_Working_Sheet!$M376&lt;=54,"Middle-aged",Cleaned_Working_Sheet!$M376&gt;54,"Old")</f>
        <v>Middle-aged</v>
      </c>
      <c r="O376" s="18" t="s">
        <v>18</v>
      </c>
    </row>
    <row r="377" spans="1:15" x14ac:dyDescent="0.25">
      <c r="A377" s="14">
        <v>15628</v>
      </c>
      <c r="B377" s="18" t="s">
        <v>36</v>
      </c>
      <c r="C377" s="18" t="s">
        <v>38</v>
      </c>
      <c r="D377" s="6">
        <v>40000</v>
      </c>
      <c r="E377" s="18" t="str" cm="1">
        <f t="array" ref="E377">_xlfn.IFS(Cleaned_Working_Sheet!$D377&lt;=50000,"Low Income",Cleaned_Working_Sheet!$D377&lt;100000,"Middle Income",TRUE,"High Income")</f>
        <v>Low Income</v>
      </c>
      <c r="F377" s="16">
        <v>1</v>
      </c>
      <c r="G377" s="18" t="s">
        <v>13</v>
      </c>
      <c r="H377" s="18" t="s">
        <v>14</v>
      </c>
      <c r="I377" s="18" t="s">
        <v>15</v>
      </c>
      <c r="J377" s="16">
        <v>1</v>
      </c>
      <c r="K377" s="18" t="s">
        <v>16</v>
      </c>
      <c r="L377" s="18" t="s">
        <v>17</v>
      </c>
      <c r="M377" s="14">
        <v>89</v>
      </c>
      <c r="N377" s="18" t="str" cm="1">
        <f t="array" ref="N377">_xlfn.IFS(Cleaned_Working_Sheet!$M377&lt;=34,"Young",Cleaned_Working_Sheet!$M377&lt;=54,"Middle-aged",Cleaned_Working_Sheet!$M377&gt;54,"Old")</f>
        <v>Old</v>
      </c>
      <c r="O377" s="18" t="s">
        <v>18</v>
      </c>
    </row>
    <row r="378" spans="1:15" x14ac:dyDescent="0.25">
      <c r="A378" s="14">
        <v>20977</v>
      </c>
      <c r="B378" s="18" t="s">
        <v>36</v>
      </c>
      <c r="C378" s="18" t="s">
        <v>39</v>
      </c>
      <c r="D378" s="6">
        <v>20000</v>
      </c>
      <c r="E378" s="18" t="str" cm="1">
        <f t="array" ref="E378">_xlfn.IFS(Cleaned_Working_Sheet!$D378&lt;=50000,"Low Income",Cleaned_Working_Sheet!$D378&lt;100000,"Middle Income",TRUE,"High Income")</f>
        <v>Low Income</v>
      </c>
      <c r="F378" s="16">
        <v>1</v>
      </c>
      <c r="G378" s="18" t="s">
        <v>13</v>
      </c>
      <c r="H378" s="18" t="s">
        <v>20</v>
      </c>
      <c r="I378" s="18" t="s">
        <v>15</v>
      </c>
      <c r="J378" s="16">
        <v>0</v>
      </c>
      <c r="K378" s="18" t="s">
        <v>16</v>
      </c>
      <c r="L378" s="18" t="s">
        <v>17</v>
      </c>
      <c r="M378" s="14">
        <v>64</v>
      </c>
      <c r="N378" s="18" t="str" cm="1">
        <f t="array" ref="N378">_xlfn.IFS(Cleaned_Working_Sheet!$M378&lt;=34,"Young",Cleaned_Working_Sheet!$M378&lt;=54,"Middle-aged",Cleaned_Working_Sheet!$M378&gt;54,"Old")</f>
        <v>Old</v>
      </c>
      <c r="O378" s="18" t="s">
        <v>15</v>
      </c>
    </row>
    <row r="379" spans="1:15" x14ac:dyDescent="0.25">
      <c r="A379" s="14">
        <v>18140</v>
      </c>
      <c r="B379" s="18" t="s">
        <v>36</v>
      </c>
      <c r="C379" s="18" t="s">
        <v>39</v>
      </c>
      <c r="D379" s="6">
        <v>130000</v>
      </c>
      <c r="E379" s="18" t="str" cm="1">
        <f t="array" ref="E379">_xlfn.IFS(Cleaned_Working_Sheet!$D379&lt;=50000,"Low Income",Cleaned_Working_Sheet!$D379&lt;100000,"Middle Income",TRUE,"High Income")</f>
        <v>High Income</v>
      </c>
      <c r="F379" s="16">
        <v>3</v>
      </c>
      <c r="G379" s="18" t="s">
        <v>19</v>
      </c>
      <c r="H379" s="18" t="s">
        <v>21</v>
      </c>
      <c r="I379" s="18" t="s">
        <v>18</v>
      </c>
      <c r="J379" s="16">
        <v>3</v>
      </c>
      <c r="K379" s="18" t="s">
        <v>23</v>
      </c>
      <c r="L379" s="18" t="s">
        <v>17</v>
      </c>
      <c r="M379" s="14">
        <v>51</v>
      </c>
      <c r="N379" s="18" t="str" cm="1">
        <f t="array" ref="N379">_xlfn.IFS(Cleaned_Working_Sheet!$M379&lt;=34,"Young",Cleaned_Working_Sheet!$M379&lt;=54,"Middle-aged",Cleaned_Working_Sheet!$M379&gt;54,"Old")</f>
        <v>Middle-aged</v>
      </c>
      <c r="O379" s="18" t="s">
        <v>15</v>
      </c>
    </row>
    <row r="380" spans="1:15" x14ac:dyDescent="0.25">
      <c r="A380" s="14">
        <v>20417</v>
      </c>
      <c r="B380" s="18" t="s">
        <v>36</v>
      </c>
      <c r="C380" s="18" t="s">
        <v>39</v>
      </c>
      <c r="D380" s="6">
        <v>30000</v>
      </c>
      <c r="E380" s="18" t="str" cm="1">
        <f t="array" ref="E380">_xlfn.IFS(Cleaned_Working_Sheet!$D380&lt;=50000,"Low Income",Cleaned_Working_Sheet!$D380&lt;100000,"Middle Income",TRUE,"High Income")</f>
        <v>Low Income</v>
      </c>
      <c r="F380" s="16">
        <v>3</v>
      </c>
      <c r="G380" s="18" t="s">
        <v>19</v>
      </c>
      <c r="H380" s="18" t="s">
        <v>20</v>
      </c>
      <c r="I380" s="18" t="s">
        <v>18</v>
      </c>
      <c r="J380" s="16">
        <v>2</v>
      </c>
      <c r="K380" s="18" t="s">
        <v>23</v>
      </c>
      <c r="L380" s="18" t="s">
        <v>24</v>
      </c>
      <c r="M380" s="14">
        <v>56</v>
      </c>
      <c r="N380" s="18" t="str" cm="1">
        <f t="array" ref="N380">_xlfn.IFS(Cleaned_Working_Sheet!$M380&lt;=34,"Young",Cleaned_Working_Sheet!$M380&lt;=54,"Middle-aged",Cleaned_Working_Sheet!$M380&gt;54,"Old")</f>
        <v>Old</v>
      </c>
      <c r="O380" s="18" t="s">
        <v>18</v>
      </c>
    </row>
    <row r="381" spans="1:15" x14ac:dyDescent="0.25">
      <c r="A381" s="14">
        <v>18267</v>
      </c>
      <c r="B381" s="18" t="s">
        <v>36</v>
      </c>
      <c r="C381" s="18" t="s">
        <v>39</v>
      </c>
      <c r="D381" s="6">
        <v>60000</v>
      </c>
      <c r="E381" s="18" t="str" cm="1">
        <f t="array" ref="E381">_xlfn.IFS(Cleaned_Working_Sheet!$D381&lt;=50000,"Low Income",Cleaned_Working_Sheet!$D381&lt;100000,"Middle Income",TRUE,"High Income")</f>
        <v>Middle Income</v>
      </c>
      <c r="F381" s="16">
        <v>3</v>
      </c>
      <c r="G381" s="18" t="s">
        <v>13</v>
      </c>
      <c r="H381" s="18" t="s">
        <v>21</v>
      </c>
      <c r="I381" s="18" t="s">
        <v>15</v>
      </c>
      <c r="J381" s="16">
        <v>2</v>
      </c>
      <c r="K381" s="18" t="s">
        <v>23</v>
      </c>
      <c r="L381" s="18" t="s">
        <v>24</v>
      </c>
      <c r="M381" s="14">
        <v>43</v>
      </c>
      <c r="N381" s="18" t="str" cm="1">
        <f t="array" ref="N381">_xlfn.IFS(Cleaned_Working_Sheet!$M381&lt;=34,"Young",Cleaned_Working_Sheet!$M381&lt;=54,"Middle-aged",Cleaned_Working_Sheet!$M381&gt;54,"Old")</f>
        <v>Middle-aged</v>
      </c>
      <c r="O381" s="18" t="s">
        <v>18</v>
      </c>
    </row>
    <row r="382" spans="1:15" x14ac:dyDescent="0.25">
      <c r="A382" s="14">
        <v>13620</v>
      </c>
      <c r="B382" s="18" t="s">
        <v>37</v>
      </c>
      <c r="C382" s="18" t="s">
        <v>39</v>
      </c>
      <c r="D382" s="6">
        <v>70000</v>
      </c>
      <c r="E382" s="18" t="str" cm="1">
        <f t="array" ref="E382">_xlfn.IFS(Cleaned_Working_Sheet!$D382&lt;=50000,"Low Income",Cleaned_Working_Sheet!$D382&lt;100000,"Middle Income",TRUE,"High Income")</f>
        <v>Middle Income</v>
      </c>
      <c r="F382" s="16">
        <v>0</v>
      </c>
      <c r="G382" s="18" t="s">
        <v>13</v>
      </c>
      <c r="H382" s="18" t="s">
        <v>21</v>
      </c>
      <c r="I382" s="18" t="s">
        <v>18</v>
      </c>
      <c r="J382" s="16">
        <v>3</v>
      </c>
      <c r="K382" s="18" t="s">
        <v>43</v>
      </c>
      <c r="L382" s="18" t="s">
        <v>24</v>
      </c>
      <c r="M382" s="14">
        <v>30</v>
      </c>
      <c r="N382" s="18" t="str" cm="1">
        <f t="array" ref="N382">_xlfn.IFS(Cleaned_Working_Sheet!$M382&lt;=34,"Young",Cleaned_Working_Sheet!$M382&lt;=54,"Middle-aged",Cleaned_Working_Sheet!$M382&gt;54,"Old")</f>
        <v>Young</v>
      </c>
      <c r="O382" s="18" t="s">
        <v>15</v>
      </c>
    </row>
    <row r="383" spans="1:15" x14ac:dyDescent="0.25">
      <c r="A383" s="14">
        <v>22974</v>
      </c>
      <c r="B383" s="18" t="s">
        <v>36</v>
      </c>
      <c r="C383" s="18" t="s">
        <v>38</v>
      </c>
      <c r="D383" s="6">
        <v>30000</v>
      </c>
      <c r="E383" s="18" t="str" cm="1">
        <f t="array" ref="E383">_xlfn.IFS(Cleaned_Working_Sheet!$D383&lt;=50000,"Low Income",Cleaned_Working_Sheet!$D383&lt;100000,"Middle Income",TRUE,"High Income")</f>
        <v>Low Income</v>
      </c>
      <c r="F383" s="16">
        <v>2</v>
      </c>
      <c r="G383" s="18" t="s">
        <v>19</v>
      </c>
      <c r="H383" s="18" t="s">
        <v>20</v>
      </c>
      <c r="I383" s="18" t="s">
        <v>15</v>
      </c>
      <c r="J383" s="16">
        <v>2</v>
      </c>
      <c r="K383" s="18" t="s">
        <v>23</v>
      </c>
      <c r="L383" s="18" t="s">
        <v>24</v>
      </c>
      <c r="M383" s="14">
        <v>69</v>
      </c>
      <c r="N383" s="18" t="str" cm="1">
        <f t="array" ref="N383">_xlfn.IFS(Cleaned_Working_Sheet!$M383&lt;=34,"Young",Cleaned_Working_Sheet!$M383&lt;=54,"Middle-aged",Cleaned_Working_Sheet!$M383&gt;54,"Old")</f>
        <v>Old</v>
      </c>
      <c r="O383" s="18" t="s">
        <v>18</v>
      </c>
    </row>
    <row r="384" spans="1:15" x14ac:dyDescent="0.25">
      <c r="A384" s="14">
        <v>13586</v>
      </c>
      <c r="B384" s="18" t="s">
        <v>36</v>
      </c>
      <c r="C384" s="18" t="s">
        <v>39</v>
      </c>
      <c r="D384" s="6">
        <v>80000</v>
      </c>
      <c r="E384" s="18" t="str" cm="1">
        <f t="array" ref="E384">_xlfn.IFS(Cleaned_Working_Sheet!$D384&lt;=50000,"Low Income",Cleaned_Working_Sheet!$D384&lt;100000,"Middle Income",TRUE,"High Income")</f>
        <v>Middle Income</v>
      </c>
      <c r="F384" s="16">
        <v>4</v>
      </c>
      <c r="G384" s="18" t="s">
        <v>19</v>
      </c>
      <c r="H384" s="18" t="s">
        <v>21</v>
      </c>
      <c r="I384" s="18" t="s">
        <v>15</v>
      </c>
      <c r="J384" s="16">
        <v>2</v>
      </c>
      <c r="K384" s="18" t="s">
        <v>43</v>
      </c>
      <c r="L384" s="18" t="s">
        <v>17</v>
      </c>
      <c r="M384" s="14">
        <v>53</v>
      </c>
      <c r="N384" s="18" t="str" cm="1">
        <f t="array" ref="N384">_xlfn.IFS(Cleaned_Working_Sheet!$M384&lt;=34,"Young",Cleaned_Working_Sheet!$M384&lt;=54,"Middle-aged",Cleaned_Working_Sheet!$M384&gt;54,"Old")</f>
        <v>Middle-aged</v>
      </c>
      <c r="O384" s="18" t="s">
        <v>18</v>
      </c>
    </row>
    <row r="385" spans="1:15" x14ac:dyDescent="0.25">
      <c r="A385" s="14">
        <v>17978</v>
      </c>
      <c r="B385" s="18" t="s">
        <v>36</v>
      </c>
      <c r="C385" s="18" t="s">
        <v>39</v>
      </c>
      <c r="D385" s="6">
        <v>40000</v>
      </c>
      <c r="E385" s="18" t="str" cm="1">
        <f t="array" ref="E385">_xlfn.IFS(Cleaned_Working_Sheet!$D385&lt;=50000,"Low Income",Cleaned_Working_Sheet!$D385&lt;100000,"Middle Income",TRUE,"High Income")</f>
        <v>Low Income</v>
      </c>
      <c r="F385" s="16">
        <v>0</v>
      </c>
      <c r="G385" s="18" t="s">
        <v>31</v>
      </c>
      <c r="H385" s="18" t="s">
        <v>20</v>
      </c>
      <c r="I385" s="18" t="s">
        <v>15</v>
      </c>
      <c r="J385" s="16">
        <v>0</v>
      </c>
      <c r="K385" s="18" t="s">
        <v>16</v>
      </c>
      <c r="L385" s="18" t="s">
        <v>17</v>
      </c>
      <c r="M385" s="14">
        <v>37</v>
      </c>
      <c r="N385" s="18" t="str" cm="1">
        <f t="array" ref="N385">_xlfn.IFS(Cleaned_Working_Sheet!$M385&lt;=34,"Young",Cleaned_Working_Sheet!$M385&lt;=54,"Middle-aged",Cleaned_Working_Sheet!$M385&gt;54,"Old")</f>
        <v>Middle-aged</v>
      </c>
      <c r="O385" s="18" t="s">
        <v>15</v>
      </c>
    </row>
    <row r="386" spans="1:15" x14ac:dyDescent="0.25">
      <c r="A386" s="14">
        <v>12581</v>
      </c>
      <c r="B386" s="18" t="s">
        <v>37</v>
      </c>
      <c r="C386" s="18" t="s">
        <v>38</v>
      </c>
      <c r="D386" s="6">
        <v>10000</v>
      </c>
      <c r="E386" s="18" t="str" cm="1">
        <f t="array" ref="E386">_xlfn.IFS(Cleaned_Working_Sheet!$D386&lt;=50000,"Low Income",Cleaned_Working_Sheet!$D386&lt;100000,"Middle Income",TRUE,"High Income")</f>
        <v>Low Income</v>
      </c>
      <c r="F386" s="16">
        <v>0</v>
      </c>
      <c r="G386" s="18" t="s">
        <v>19</v>
      </c>
      <c r="H386" s="18" t="s">
        <v>25</v>
      </c>
      <c r="I386" s="18" t="s">
        <v>18</v>
      </c>
      <c r="J386" s="16">
        <v>1</v>
      </c>
      <c r="K386" s="18" t="s">
        <v>16</v>
      </c>
      <c r="L386" s="18" t="s">
        <v>24</v>
      </c>
      <c r="M386" s="14">
        <v>28</v>
      </c>
      <c r="N386" s="18" t="str" cm="1">
        <f t="array" ref="N386">_xlfn.IFS(Cleaned_Working_Sheet!$M386&lt;=34,"Young",Cleaned_Working_Sheet!$M386&lt;=54,"Middle-aged",Cleaned_Working_Sheet!$M386&gt;54,"Old")</f>
        <v>Young</v>
      </c>
      <c r="O386" s="18" t="s">
        <v>15</v>
      </c>
    </row>
    <row r="387" spans="1:15" x14ac:dyDescent="0.25">
      <c r="A387" s="14">
        <v>18018</v>
      </c>
      <c r="B387" s="18" t="s">
        <v>37</v>
      </c>
      <c r="C387" s="18" t="s">
        <v>39</v>
      </c>
      <c r="D387" s="6">
        <v>30000</v>
      </c>
      <c r="E387" s="18" t="str" cm="1">
        <f t="array" ref="E387">_xlfn.IFS(Cleaned_Working_Sheet!$D387&lt;=50000,"Low Income",Cleaned_Working_Sheet!$D387&lt;100000,"Middle Income",TRUE,"High Income")</f>
        <v>Low Income</v>
      </c>
      <c r="F387" s="16">
        <v>3</v>
      </c>
      <c r="G387" s="18" t="s">
        <v>19</v>
      </c>
      <c r="H387" s="18" t="s">
        <v>20</v>
      </c>
      <c r="I387" s="18" t="s">
        <v>15</v>
      </c>
      <c r="J387" s="16">
        <v>0</v>
      </c>
      <c r="K387" s="18" t="s">
        <v>16</v>
      </c>
      <c r="L387" s="18" t="s">
        <v>17</v>
      </c>
      <c r="M387" s="14">
        <v>43</v>
      </c>
      <c r="N387" s="18" t="str" cm="1">
        <f t="array" ref="N387">_xlfn.IFS(Cleaned_Working_Sheet!$M387&lt;=34,"Young",Cleaned_Working_Sheet!$M387&lt;=54,"Middle-aged",Cleaned_Working_Sheet!$M387&gt;54,"Old")</f>
        <v>Middle-aged</v>
      </c>
      <c r="O387" s="18" t="s">
        <v>18</v>
      </c>
    </row>
    <row r="388" spans="1:15" x14ac:dyDescent="0.25">
      <c r="A388" s="14">
        <v>28957</v>
      </c>
      <c r="B388" s="18" t="s">
        <v>37</v>
      </c>
      <c r="C388" s="18" t="s">
        <v>38</v>
      </c>
      <c r="D388" s="6">
        <v>120000</v>
      </c>
      <c r="E388" s="18" t="str" cm="1">
        <f t="array" ref="E388">_xlfn.IFS(Cleaned_Working_Sheet!$D388&lt;=50000,"Low Income",Cleaned_Working_Sheet!$D388&lt;100000,"Middle Income",TRUE,"High Income")</f>
        <v>High Income</v>
      </c>
      <c r="F388" s="16">
        <v>0</v>
      </c>
      <c r="G388" s="18" t="s">
        <v>29</v>
      </c>
      <c r="H388" s="18" t="s">
        <v>21</v>
      </c>
      <c r="I388" s="18" t="s">
        <v>15</v>
      </c>
      <c r="J388" s="16">
        <v>4</v>
      </c>
      <c r="K388" s="18" t="s">
        <v>43</v>
      </c>
      <c r="L388" s="18" t="s">
        <v>24</v>
      </c>
      <c r="M388" s="14">
        <v>34</v>
      </c>
      <c r="N388" s="18" t="str" cm="1">
        <f t="array" ref="N388">_xlfn.IFS(Cleaned_Working_Sheet!$M388&lt;=34,"Young",Cleaned_Working_Sheet!$M388&lt;=54,"Middle-aged",Cleaned_Working_Sheet!$M388&gt;54,"Old")</f>
        <v>Young</v>
      </c>
      <c r="O388" s="18" t="s">
        <v>15</v>
      </c>
    </row>
    <row r="389" spans="1:15" x14ac:dyDescent="0.25">
      <c r="A389" s="14">
        <v>13690</v>
      </c>
      <c r="B389" s="18" t="s">
        <v>37</v>
      </c>
      <c r="C389" s="18" t="s">
        <v>38</v>
      </c>
      <c r="D389" s="6">
        <v>20000</v>
      </c>
      <c r="E389" s="18" t="str" cm="1">
        <f t="array" ref="E389">_xlfn.IFS(Cleaned_Working_Sheet!$D389&lt;=50000,"Low Income",Cleaned_Working_Sheet!$D389&lt;100000,"Middle Income",TRUE,"High Income")</f>
        <v>Low Income</v>
      </c>
      <c r="F389" s="16">
        <v>0</v>
      </c>
      <c r="G389" s="18" t="s">
        <v>29</v>
      </c>
      <c r="H389" s="18" t="s">
        <v>25</v>
      </c>
      <c r="I389" s="18" t="s">
        <v>18</v>
      </c>
      <c r="J389" s="16">
        <v>2</v>
      </c>
      <c r="K389" s="18" t="s">
        <v>26</v>
      </c>
      <c r="L389" s="18" t="s">
        <v>17</v>
      </c>
      <c r="M389" s="14">
        <v>34</v>
      </c>
      <c r="N389" s="18" t="str" cm="1">
        <f t="array" ref="N389">_xlfn.IFS(Cleaned_Working_Sheet!$M389&lt;=34,"Young",Cleaned_Working_Sheet!$M389&lt;=54,"Middle-aged",Cleaned_Working_Sheet!$M389&gt;54,"Old")</f>
        <v>Young</v>
      </c>
      <c r="O389" s="18" t="s">
        <v>15</v>
      </c>
    </row>
    <row r="390" spans="1:15" x14ac:dyDescent="0.25">
      <c r="A390" s="14">
        <v>12568</v>
      </c>
      <c r="B390" s="18" t="s">
        <v>36</v>
      </c>
      <c r="C390" s="18" t="s">
        <v>38</v>
      </c>
      <c r="D390" s="6">
        <v>30000</v>
      </c>
      <c r="E390" s="18" t="str" cm="1">
        <f t="array" ref="E390">_xlfn.IFS(Cleaned_Working_Sheet!$D390&lt;=50000,"Low Income",Cleaned_Working_Sheet!$D390&lt;100000,"Middle Income",TRUE,"High Income")</f>
        <v>Low Income</v>
      </c>
      <c r="F390" s="16">
        <v>1</v>
      </c>
      <c r="G390" s="18" t="s">
        <v>13</v>
      </c>
      <c r="H390" s="18" t="s">
        <v>20</v>
      </c>
      <c r="I390" s="18" t="s">
        <v>15</v>
      </c>
      <c r="J390" s="16">
        <v>0</v>
      </c>
      <c r="K390" s="18" t="s">
        <v>16</v>
      </c>
      <c r="L390" s="18" t="s">
        <v>17</v>
      </c>
      <c r="M390" s="14">
        <v>64</v>
      </c>
      <c r="N390" s="18" t="str" cm="1">
        <f t="array" ref="N390">_xlfn.IFS(Cleaned_Working_Sheet!$M390&lt;=34,"Young",Cleaned_Working_Sheet!$M390&lt;=54,"Middle-aged",Cleaned_Working_Sheet!$M390&gt;54,"Old")</f>
        <v>Old</v>
      </c>
      <c r="O390" s="18" t="s">
        <v>18</v>
      </c>
    </row>
    <row r="391" spans="1:15" x14ac:dyDescent="0.25">
      <c r="A391" s="14">
        <v>13122</v>
      </c>
      <c r="B391" s="18" t="s">
        <v>36</v>
      </c>
      <c r="C391" s="18" t="s">
        <v>38</v>
      </c>
      <c r="D391" s="6">
        <v>80000</v>
      </c>
      <c r="E391" s="18" t="str" cm="1">
        <f t="array" ref="E391">_xlfn.IFS(Cleaned_Working_Sheet!$D391&lt;=50000,"Low Income",Cleaned_Working_Sheet!$D391&lt;100000,"Middle Income",TRUE,"High Income")</f>
        <v>Middle Income</v>
      </c>
      <c r="F391" s="16">
        <v>0</v>
      </c>
      <c r="G391" s="18" t="s">
        <v>13</v>
      </c>
      <c r="H391" s="18" t="s">
        <v>21</v>
      </c>
      <c r="I391" s="18" t="s">
        <v>15</v>
      </c>
      <c r="J391" s="16">
        <v>1</v>
      </c>
      <c r="K391" s="18" t="s">
        <v>26</v>
      </c>
      <c r="L391" s="18" t="s">
        <v>24</v>
      </c>
      <c r="M391" s="14">
        <v>41</v>
      </c>
      <c r="N391" s="18" t="str" cm="1">
        <f t="array" ref="N391">_xlfn.IFS(Cleaned_Working_Sheet!$M391&lt;=34,"Young",Cleaned_Working_Sheet!$M391&lt;=54,"Middle-aged",Cleaned_Working_Sheet!$M391&gt;54,"Old")</f>
        <v>Middle-aged</v>
      </c>
      <c r="O391" s="18" t="s">
        <v>15</v>
      </c>
    </row>
    <row r="392" spans="1:15" x14ac:dyDescent="0.25">
      <c r="A392" s="14">
        <v>21184</v>
      </c>
      <c r="B392" s="18" t="s">
        <v>37</v>
      </c>
      <c r="C392" s="18" t="s">
        <v>39</v>
      </c>
      <c r="D392" s="6">
        <v>70000</v>
      </c>
      <c r="E392" s="18" t="str" cm="1">
        <f t="array" ref="E392">_xlfn.IFS(Cleaned_Working_Sheet!$D392&lt;=50000,"Low Income",Cleaned_Working_Sheet!$D392&lt;100000,"Middle Income",TRUE,"High Income")</f>
        <v>Middle Income</v>
      </c>
      <c r="F392" s="16">
        <v>0</v>
      </c>
      <c r="G392" s="18" t="s">
        <v>13</v>
      </c>
      <c r="H392" s="18" t="s">
        <v>21</v>
      </c>
      <c r="I392" s="18" t="s">
        <v>18</v>
      </c>
      <c r="J392" s="16">
        <v>1</v>
      </c>
      <c r="K392" s="18" t="s">
        <v>23</v>
      </c>
      <c r="L392" s="18" t="s">
        <v>24</v>
      </c>
      <c r="M392" s="14">
        <v>38</v>
      </c>
      <c r="N392" s="18" t="str" cm="1">
        <f t="array" ref="N392">_xlfn.IFS(Cleaned_Working_Sheet!$M392&lt;=34,"Young",Cleaned_Working_Sheet!$M392&lt;=54,"Middle-aged",Cleaned_Working_Sheet!$M392&gt;54,"Old")</f>
        <v>Middle-aged</v>
      </c>
      <c r="O392" s="18" t="s">
        <v>18</v>
      </c>
    </row>
    <row r="393" spans="1:15" x14ac:dyDescent="0.25">
      <c r="A393" s="14">
        <v>26150</v>
      </c>
      <c r="B393" s="18" t="s">
        <v>37</v>
      </c>
      <c r="C393" s="18" t="s">
        <v>38</v>
      </c>
      <c r="D393" s="6">
        <v>70000</v>
      </c>
      <c r="E393" s="18" t="str" cm="1">
        <f t="array" ref="E393">_xlfn.IFS(Cleaned_Working_Sheet!$D393&lt;=50000,"Low Income",Cleaned_Working_Sheet!$D393&lt;100000,"Middle Income",TRUE,"High Income")</f>
        <v>Middle Income</v>
      </c>
      <c r="F393" s="16">
        <v>0</v>
      </c>
      <c r="G393" s="18" t="s">
        <v>13</v>
      </c>
      <c r="H393" s="18" t="s">
        <v>21</v>
      </c>
      <c r="I393" s="18" t="s">
        <v>18</v>
      </c>
      <c r="J393" s="16">
        <v>1</v>
      </c>
      <c r="K393" s="18" t="s">
        <v>16</v>
      </c>
      <c r="L393" s="18" t="s">
        <v>24</v>
      </c>
      <c r="M393" s="14">
        <v>41</v>
      </c>
      <c r="N393" s="18" t="str" cm="1">
        <f t="array" ref="N393">_xlfn.IFS(Cleaned_Working_Sheet!$M393&lt;=34,"Young",Cleaned_Working_Sheet!$M393&lt;=54,"Middle-aged",Cleaned_Working_Sheet!$M393&gt;54,"Old")</f>
        <v>Middle-aged</v>
      </c>
      <c r="O393" s="18" t="s">
        <v>15</v>
      </c>
    </row>
    <row r="394" spans="1:15" x14ac:dyDescent="0.25">
      <c r="A394" s="14">
        <v>24151</v>
      </c>
      <c r="B394" s="18" t="s">
        <v>37</v>
      </c>
      <c r="C394" s="18" t="s">
        <v>39</v>
      </c>
      <c r="D394" s="6">
        <v>20000</v>
      </c>
      <c r="E394" s="18" t="str" cm="1">
        <f t="array" ref="E394">_xlfn.IFS(Cleaned_Working_Sheet!$D394&lt;=50000,"Low Income",Cleaned_Working_Sheet!$D394&lt;100000,"Middle Income",TRUE,"High Income")</f>
        <v>Low Income</v>
      </c>
      <c r="F394" s="16">
        <v>1</v>
      </c>
      <c r="G394" s="18" t="s">
        <v>13</v>
      </c>
      <c r="H394" s="18" t="s">
        <v>20</v>
      </c>
      <c r="I394" s="18" t="s">
        <v>18</v>
      </c>
      <c r="J394" s="16">
        <v>0</v>
      </c>
      <c r="K394" s="18" t="s">
        <v>16</v>
      </c>
      <c r="L394" s="18" t="s">
        <v>17</v>
      </c>
      <c r="M394" s="14">
        <v>51</v>
      </c>
      <c r="N394" s="18" t="str" cm="1">
        <f t="array" ref="N394">_xlfn.IFS(Cleaned_Working_Sheet!$M394&lt;=34,"Young",Cleaned_Working_Sheet!$M394&lt;=54,"Middle-aged",Cleaned_Working_Sheet!$M394&gt;54,"Old")</f>
        <v>Middle-aged</v>
      </c>
      <c r="O394" s="18" t="s">
        <v>18</v>
      </c>
    </row>
    <row r="395" spans="1:15" x14ac:dyDescent="0.25">
      <c r="A395" s="14">
        <v>23962</v>
      </c>
      <c r="B395" s="18" t="s">
        <v>36</v>
      </c>
      <c r="C395" s="18" t="s">
        <v>38</v>
      </c>
      <c r="D395" s="6">
        <v>10000</v>
      </c>
      <c r="E395" s="18" t="str" cm="1">
        <f t="array" ref="E395">_xlfn.IFS(Cleaned_Working_Sheet!$D395&lt;=50000,"Low Income",Cleaned_Working_Sheet!$D395&lt;100000,"Middle Income",TRUE,"High Income")</f>
        <v>Low Income</v>
      </c>
      <c r="F395" s="16">
        <v>0</v>
      </c>
      <c r="G395" s="18" t="s">
        <v>29</v>
      </c>
      <c r="H395" s="18" t="s">
        <v>25</v>
      </c>
      <c r="I395" s="18" t="s">
        <v>15</v>
      </c>
      <c r="J395" s="16">
        <v>2</v>
      </c>
      <c r="K395" s="18" t="s">
        <v>26</v>
      </c>
      <c r="L395" s="18" t="s">
        <v>17</v>
      </c>
      <c r="M395" s="14">
        <v>32</v>
      </c>
      <c r="N395" s="18" t="str" cm="1">
        <f t="array" ref="N395">_xlfn.IFS(Cleaned_Working_Sheet!$M395&lt;=34,"Young",Cleaned_Working_Sheet!$M395&lt;=54,"Middle-aged",Cleaned_Working_Sheet!$M395&gt;54,"Old")</f>
        <v>Young</v>
      </c>
      <c r="O395" s="18" t="s">
        <v>18</v>
      </c>
    </row>
    <row r="396" spans="1:15" x14ac:dyDescent="0.25">
      <c r="A396" s="14">
        <v>17793</v>
      </c>
      <c r="B396" s="18" t="s">
        <v>36</v>
      </c>
      <c r="C396" s="18" t="s">
        <v>38</v>
      </c>
      <c r="D396" s="6">
        <v>40000</v>
      </c>
      <c r="E396" s="18" t="str" cm="1">
        <f t="array" ref="E396">_xlfn.IFS(Cleaned_Working_Sheet!$D396&lt;=50000,"Low Income",Cleaned_Working_Sheet!$D396&lt;100000,"Middle Income",TRUE,"High Income")</f>
        <v>Low Income</v>
      </c>
      <c r="F396" s="16">
        <v>0</v>
      </c>
      <c r="G396" s="18" t="s">
        <v>13</v>
      </c>
      <c r="H396" s="18" t="s">
        <v>20</v>
      </c>
      <c r="I396" s="18" t="s">
        <v>15</v>
      </c>
      <c r="J396" s="16">
        <v>0</v>
      </c>
      <c r="K396" s="18" t="s">
        <v>16</v>
      </c>
      <c r="L396" s="18" t="s">
        <v>17</v>
      </c>
      <c r="M396" s="14">
        <v>38</v>
      </c>
      <c r="N396" s="18" t="str" cm="1">
        <f t="array" ref="N396">_xlfn.IFS(Cleaned_Working_Sheet!$M396&lt;=34,"Young",Cleaned_Working_Sheet!$M396&lt;=54,"Middle-aged",Cleaned_Working_Sheet!$M396&gt;54,"Old")</f>
        <v>Middle-aged</v>
      </c>
      <c r="O396" s="18" t="s">
        <v>15</v>
      </c>
    </row>
    <row r="397" spans="1:15" x14ac:dyDescent="0.25">
      <c r="A397" s="14">
        <v>14926</v>
      </c>
      <c r="B397" s="18" t="s">
        <v>36</v>
      </c>
      <c r="C397" s="18" t="s">
        <v>39</v>
      </c>
      <c r="D397" s="6">
        <v>30000</v>
      </c>
      <c r="E397" s="18" t="str" cm="1">
        <f t="array" ref="E397">_xlfn.IFS(Cleaned_Working_Sheet!$D397&lt;=50000,"Low Income",Cleaned_Working_Sheet!$D397&lt;100000,"Middle Income",TRUE,"High Income")</f>
        <v>Low Income</v>
      </c>
      <c r="F397" s="16">
        <v>1</v>
      </c>
      <c r="G397" s="18" t="s">
        <v>13</v>
      </c>
      <c r="H397" s="18" t="s">
        <v>20</v>
      </c>
      <c r="I397" s="18" t="s">
        <v>15</v>
      </c>
      <c r="J397" s="16">
        <v>0</v>
      </c>
      <c r="K397" s="18" t="s">
        <v>16</v>
      </c>
      <c r="L397" s="18" t="s">
        <v>17</v>
      </c>
      <c r="M397" s="14">
        <v>38</v>
      </c>
      <c r="N397" s="18" t="str" cm="1">
        <f t="array" ref="N397">_xlfn.IFS(Cleaned_Working_Sheet!$M397&lt;=34,"Young",Cleaned_Working_Sheet!$M397&lt;=54,"Middle-aged",Cleaned_Working_Sheet!$M397&gt;54,"Old")</f>
        <v>Middle-aged</v>
      </c>
      <c r="O397" s="18" t="s">
        <v>15</v>
      </c>
    </row>
    <row r="398" spans="1:15" x14ac:dyDescent="0.25">
      <c r="A398" s="14">
        <v>16163</v>
      </c>
      <c r="B398" s="18" t="s">
        <v>37</v>
      </c>
      <c r="C398" s="18" t="s">
        <v>39</v>
      </c>
      <c r="D398" s="6">
        <v>60000</v>
      </c>
      <c r="E398" s="18" t="str" cm="1">
        <f t="array" ref="E398">_xlfn.IFS(Cleaned_Working_Sheet!$D398&lt;=50000,"Low Income",Cleaned_Working_Sheet!$D398&lt;100000,"Middle Income",TRUE,"High Income")</f>
        <v>Middle Income</v>
      </c>
      <c r="F398" s="16">
        <v>2</v>
      </c>
      <c r="G398" s="18" t="s">
        <v>13</v>
      </c>
      <c r="H398" s="18" t="s">
        <v>21</v>
      </c>
      <c r="I398" s="18" t="s">
        <v>15</v>
      </c>
      <c r="J398" s="16">
        <v>1</v>
      </c>
      <c r="K398" s="18" t="s">
        <v>22</v>
      </c>
      <c r="L398" s="18" t="s">
        <v>24</v>
      </c>
      <c r="M398" s="14">
        <v>38</v>
      </c>
      <c r="N398" s="18" t="str" cm="1">
        <f t="array" ref="N398">_xlfn.IFS(Cleaned_Working_Sheet!$M398&lt;=34,"Young",Cleaned_Working_Sheet!$M398&lt;=54,"Middle-aged",Cleaned_Working_Sheet!$M398&gt;54,"Old")</f>
        <v>Middle-aged</v>
      </c>
      <c r="O398" s="18" t="s">
        <v>15</v>
      </c>
    </row>
    <row r="399" spans="1:15" x14ac:dyDescent="0.25">
      <c r="A399" s="14">
        <v>21365</v>
      </c>
      <c r="B399" s="18" t="s">
        <v>36</v>
      </c>
      <c r="C399" s="18" t="s">
        <v>38</v>
      </c>
      <c r="D399" s="6">
        <v>10000</v>
      </c>
      <c r="E399" s="18" t="str" cm="1">
        <f t="array" ref="E399">_xlfn.IFS(Cleaned_Working_Sheet!$D399&lt;=50000,"Low Income",Cleaned_Working_Sheet!$D399&lt;100000,"Middle Income",TRUE,"High Income")</f>
        <v>Low Income</v>
      </c>
      <c r="F399" s="16">
        <v>2</v>
      </c>
      <c r="G399" s="18" t="s">
        <v>29</v>
      </c>
      <c r="H399" s="18" t="s">
        <v>20</v>
      </c>
      <c r="I399" s="18" t="s">
        <v>15</v>
      </c>
      <c r="J399" s="16">
        <v>2</v>
      </c>
      <c r="K399" s="18" t="s">
        <v>23</v>
      </c>
      <c r="L399" s="18" t="s">
        <v>24</v>
      </c>
      <c r="M399" s="14">
        <v>58</v>
      </c>
      <c r="N399" s="18" t="str" cm="1">
        <f t="array" ref="N399">_xlfn.IFS(Cleaned_Working_Sheet!$M399&lt;=34,"Young",Cleaned_Working_Sheet!$M399&lt;=54,"Middle-aged",Cleaned_Working_Sheet!$M399&gt;54,"Old")</f>
        <v>Old</v>
      </c>
      <c r="O399" s="18" t="s">
        <v>18</v>
      </c>
    </row>
    <row r="400" spans="1:15" x14ac:dyDescent="0.25">
      <c r="A400" s="14">
        <v>27771</v>
      </c>
      <c r="B400" s="18" t="s">
        <v>37</v>
      </c>
      <c r="C400" s="18" t="s">
        <v>39</v>
      </c>
      <c r="D400" s="6">
        <v>30000</v>
      </c>
      <c r="E400" s="18" t="str" cm="1">
        <f t="array" ref="E400">_xlfn.IFS(Cleaned_Working_Sheet!$D400&lt;=50000,"Low Income",Cleaned_Working_Sheet!$D400&lt;100000,"Middle Income",TRUE,"High Income")</f>
        <v>Low Income</v>
      </c>
      <c r="F400" s="16">
        <v>1</v>
      </c>
      <c r="G400" s="18" t="s">
        <v>13</v>
      </c>
      <c r="H400" s="18" t="s">
        <v>20</v>
      </c>
      <c r="I400" s="18" t="s">
        <v>15</v>
      </c>
      <c r="J400" s="16">
        <v>1</v>
      </c>
      <c r="K400" s="18" t="s">
        <v>26</v>
      </c>
      <c r="L400" s="18" t="s">
        <v>17</v>
      </c>
      <c r="M400" s="14">
        <v>39</v>
      </c>
      <c r="N400" s="18" t="str" cm="1">
        <f t="array" ref="N400">_xlfn.IFS(Cleaned_Working_Sheet!$M400&lt;=34,"Young",Cleaned_Working_Sheet!$M400&lt;=54,"Middle-aged",Cleaned_Working_Sheet!$M400&gt;54,"Old")</f>
        <v>Middle-aged</v>
      </c>
      <c r="O400" s="18" t="s">
        <v>15</v>
      </c>
    </row>
    <row r="401" spans="1:15" x14ac:dyDescent="0.25">
      <c r="A401" s="14">
        <v>26167</v>
      </c>
      <c r="B401" s="18" t="s">
        <v>37</v>
      </c>
      <c r="C401" s="18" t="s">
        <v>38</v>
      </c>
      <c r="D401" s="6">
        <v>40000</v>
      </c>
      <c r="E401" s="18" t="str" cm="1">
        <f t="array" ref="E401">_xlfn.IFS(Cleaned_Working_Sheet!$D401&lt;=50000,"Low Income",Cleaned_Working_Sheet!$D401&lt;100000,"Middle Income",TRUE,"High Income")</f>
        <v>Low Income</v>
      </c>
      <c r="F401" s="16">
        <v>2</v>
      </c>
      <c r="G401" s="18" t="s">
        <v>13</v>
      </c>
      <c r="H401" s="18" t="s">
        <v>28</v>
      </c>
      <c r="I401" s="18" t="s">
        <v>18</v>
      </c>
      <c r="J401" s="16">
        <v>1</v>
      </c>
      <c r="K401" s="18" t="s">
        <v>23</v>
      </c>
      <c r="L401" s="18" t="s">
        <v>24</v>
      </c>
      <c r="M401" s="14">
        <v>53</v>
      </c>
      <c r="N401" s="18" t="str" cm="1">
        <f t="array" ref="N401">_xlfn.IFS(Cleaned_Working_Sheet!$M401&lt;=34,"Young",Cleaned_Working_Sheet!$M401&lt;=54,"Middle-aged",Cleaned_Working_Sheet!$M401&gt;54,"Old")</f>
        <v>Middle-aged</v>
      </c>
      <c r="O401" s="18" t="s">
        <v>15</v>
      </c>
    </row>
    <row r="402" spans="1:15" x14ac:dyDescent="0.25">
      <c r="A402" s="14">
        <v>25792</v>
      </c>
      <c r="B402" s="18" t="s">
        <v>37</v>
      </c>
      <c r="C402" s="18" t="s">
        <v>38</v>
      </c>
      <c r="D402" s="6">
        <v>110000</v>
      </c>
      <c r="E402" s="18" t="str" cm="1">
        <f t="array" ref="E402">_xlfn.IFS(Cleaned_Working_Sheet!$D402&lt;=50000,"Low Income",Cleaned_Working_Sheet!$D402&lt;100000,"Middle Income",TRUE,"High Income")</f>
        <v>High Income</v>
      </c>
      <c r="F402" s="16">
        <v>3</v>
      </c>
      <c r="G402" s="18" t="s">
        <v>13</v>
      </c>
      <c r="H402" s="18" t="s">
        <v>28</v>
      </c>
      <c r="I402" s="18" t="s">
        <v>15</v>
      </c>
      <c r="J402" s="16">
        <v>4</v>
      </c>
      <c r="K402" s="18" t="s">
        <v>43</v>
      </c>
      <c r="L402" s="18" t="s">
        <v>17</v>
      </c>
      <c r="M402" s="14">
        <v>53</v>
      </c>
      <c r="N402" s="18" t="str" cm="1">
        <f t="array" ref="N402">_xlfn.IFS(Cleaned_Working_Sheet!$M402&lt;=34,"Young",Cleaned_Working_Sheet!$M402&lt;=54,"Middle-aged",Cleaned_Working_Sheet!$M402&gt;54,"Old")</f>
        <v>Middle-aged</v>
      </c>
      <c r="O402" s="18" t="s">
        <v>18</v>
      </c>
    </row>
    <row r="403" spans="1:15" x14ac:dyDescent="0.25">
      <c r="A403" s="14">
        <v>11555</v>
      </c>
      <c r="B403" s="18" t="s">
        <v>36</v>
      </c>
      <c r="C403" s="18" t="s">
        <v>38</v>
      </c>
      <c r="D403" s="6">
        <v>40000</v>
      </c>
      <c r="E403" s="18" t="str" cm="1">
        <f t="array" ref="E403">_xlfn.IFS(Cleaned_Working_Sheet!$D403&lt;=50000,"Low Income",Cleaned_Working_Sheet!$D403&lt;100000,"Middle Income",TRUE,"High Income")</f>
        <v>Low Income</v>
      </c>
      <c r="F403" s="16">
        <v>1</v>
      </c>
      <c r="G403" s="18" t="s">
        <v>13</v>
      </c>
      <c r="H403" s="18" t="s">
        <v>20</v>
      </c>
      <c r="I403" s="18" t="s">
        <v>15</v>
      </c>
      <c r="J403" s="16">
        <v>0</v>
      </c>
      <c r="K403" s="18" t="s">
        <v>16</v>
      </c>
      <c r="L403" s="18" t="s">
        <v>17</v>
      </c>
      <c r="M403" s="14">
        <v>80</v>
      </c>
      <c r="N403" s="18" t="str" cm="1">
        <f t="array" ref="N403">_xlfn.IFS(Cleaned_Working_Sheet!$M403&lt;=34,"Young",Cleaned_Working_Sheet!$M403&lt;=54,"Middle-aged",Cleaned_Working_Sheet!$M403&gt;54,"Old")</f>
        <v>Old</v>
      </c>
      <c r="O403" s="18" t="s">
        <v>18</v>
      </c>
    </row>
    <row r="404" spans="1:15" x14ac:dyDescent="0.25">
      <c r="A404" s="14">
        <v>22381</v>
      </c>
      <c r="B404" s="18" t="s">
        <v>36</v>
      </c>
      <c r="C404" s="18" t="s">
        <v>39</v>
      </c>
      <c r="D404" s="6">
        <v>10000</v>
      </c>
      <c r="E404" s="18" t="str" cm="1">
        <f t="array" ref="E404">_xlfn.IFS(Cleaned_Working_Sheet!$D404&lt;=50000,"Low Income",Cleaned_Working_Sheet!$D404&lt;100000,"Middle Income",TRUE,"High Income")</f>
        <v>Low Income</v>
      </c>
      <c r="F404" s="16">
        <v>1</v>
      </c>
      <c r="G404" s="18" t="s">
        <v>31</v>
      </c>
      <c r="H404" s="18" t="s">
        <v>25</v>
      </c>
      <c r="I404" s="18" t="s">
        <v>15</v>
      </c>
      <c r="J404" s="16">
        <v>0</v>
      </c>
      <c r="K404" s="18" t="s">
        <v>16</v>
      </c>
      <c r="L404" s="18" t="s">
        <v>17</v>
      </c>
      <c r="M404" s="14">
        <v>44</v>
      </c>
      <c r="N404" s="18" t="str" cm="1">
        <f t="array" ref="N404">_xlfn.IFS(Cleaned_Working_Sheet!$M404&lt;=34,"Young",Cleaned_Working_Sheet!$M404&lt;=54,"Middle-aged",Cleaned_Working_Sheet!$M404&gt;54,"Old")</f>
        <v>Middle-aged</v>
      </c>
      <c r="O404" s="18" t="s">
        <v>18</v>
      </c>
    </row>
    <row r="405" spans="1:15" x14ac:dyDescent="0.25">
      <c r="A405" s="14">
        <v>17882</v>
      </c>
      <c r="B405" s="18" t="s">
        <v>36</v>
      </c>
      <c r="C405" s="18" t="s">
        <v>39</v>
      </c>
      <c r="D405" s="6">
        <v>20000</v>
      </c>
      <c r="E405" s="18" t="str" cm="1">
        <f t="array" ref="E405">_xlfn.IFS(Cleaned_Working_Sheet!$D405&lt;=50000,"Low Income",Cleaned_Working_Sheet!$D405&lt;100000,"Middle Income",TRUE,"High Income")</f>
        <v>Low Income</v>
      </c>
      <c r="F405" s="16">
        <v>1</v>
      </c>
      <c r="G405" s="18" t="s">
        <v>31</v>
      </c>
      <c r="H405" s="18" t="s">
        <v>20</v>
      </c>
      <c r="I405" s="18" t="s">
        <v>15</v>
      </c>
      <c r="J405" s="16">
        <v>0</v>
      </c>
      <c r="K405" s="18" t="s">
        <v>16</v>
      </c>
      <c r="L405" s="18" t="s">
        <v>17</v>
      </c>
      <c r="M405" s="14">
        <v>44</v>
      </c>
      <c r="N405" s="18" t="str" cm="1">
        <f t="array" ref="N405">_xlfn.IFS(Cleaned_Working_Sheet!$M405&lt;=34,"Young",Cleaned_Working_Sheet!$M405&lt;=54,"Middle-aged",Cleaned_Working_Sheet!$M405&gt;54,"Old")</f>
        <v>Middle-aged</v>
      </c>
      <c r="O405" s="18" t="s">
        <v>18</v>
      </c>
    </row>
    <row r="406" spans="1:15" x14ac:dyDescent="0.25">
      <c r="A406" s="14">
        <v>22174</v>
      </c>
      <c r="B406" s="18" t="s">
        <v>36</v>
      </c>
      <c r="C406" s="18" t="s">
        <v>39</v>
      </c>
      <c r="D406" s="6">
        <v>30000</v>
      </c>
      <c r="E406" s="18" t="str" cm="1">
        <f t="array" ref="E406">_xlfn.IFS(Cleaned_Working_Sheet!$D406&lt;=50000,"Low Income",Cleaned_Working_Sheet!$D406&lt;100000,"Middle Income",TRUE,"High Income")</f>
        <v>Low Income</v>
      </c>
      <c r="F406" s="16">
        <v>3</v>
      </c>
      <c r="G406" s="18" t="s">
        <v>27</v>
      </c>
      <c r="H406" s="18" t="s">
        <v>14</v>
      </c>
      <c r="I406" s="18" t="s">
        <v>15</v>
      </c>
      <c r="J406" s="16">
        <v>2</v>
      </c>
      <c r="K406" s="18" t="s">
        <v>23</v>
      </c>
      <c r="L406" s="18" t="s">
        <v>24</v>
      </c>
      <c r="M406" s="14">
        <v>54</v>
      </c>
      <c r="N406" s="18" t="str" cm="1">
        <f t="array" ref="N406">_xlfn.IFS(Cleaned_Working_Sheet!$M406&lt;=34,"Young",Cleaned_Working_Sheet!$M406&lt;=54,"Middle-aged",Cleaned_Working_Sheet!$M406&gt;54,"Old")</f>
        <v>Middle-aged</v>
      </c>
      <c r="O406" s="18" t="s">
        <v>15</v>
      </c>
    </row>
    <row r="407" spans="1:15" x14ac:dyDescent="0.25">
      <c r="A407" s="14">
        <v>22439</v>
      </c>
      <c r="B407" s="18" t="s">
        <v>36</v>
      </c>
      <c r="C407" s="18" t="s">
        <v>38</v>
      </c>
      <c r="D407" s="6">
        <v>30000</v>
      </c>
      <c r="E407" s="18" t="str" cm="1">
        <f t="array" ref="E407">_xlfn.IFS(Cleaned_Working_Sheet!$D407&lt;=50000,"Low Income",Cleaned_Working_Sheet!$D407&lt;100000,"Middle Income",TRUE,"High Income")</f>
        <v>Low Income</v>
      </c>
      <c r="F407" s="16">
        <v>0</v>
      </c>
      <c r="G407" s="18" t="s">
        <v>13</v>
      </c>
      <c r="H407" s="18" t="s">
        <v>20</v>
      </c>
      <c r="I407" s="18" t="s">
        <v>15</v>
      </c>
      <c r="J407" s="16">
        <v>0</v>
      </c>
      <c r="K407" s="18" t="s">
        <v>16</v>
      </c>
      <c r="L407" s="18" t="s">
        <v>17</v>
      </c>
      <c r="M407" s="14">
        <v>37</v>
      </c>
      <c r="N407" s="18" t="str" cm="1">
        <f t="array" ref="N407">_xlfn.IFS(Cleaned_Working_Sheet!$M407&lt;=34,"Young",Cleaned_Working_Sheet!$M407&lt;=54,"Middle-aged",Cleaned_Working_Sheet!$M407&gt;54,"Old")</f>
        <v>Middle-aged</v>
      </c>
      <c r="O407" s="18" t="s">
        <v>15</v>
      </c>
    </row>
    <row r="408" spans="1:15" x14ac:dyDescent="0.25">
      <c r="A408" s="14">
        <v>18012</v>
      </c>
      <c r="B408" s="18" t="s">
        <v>36</v>
      </c>
      <c r="C408" s="18" t="s">
        <v>38</v>
      </c>
      <c r="D408" s="6">
        <v>40000</v>
      </c>
      <c r="E408" s="18" t="str" cm="1">
        <f t="array" ref="E408">_xlfn.IFS(Cleaned_Working_Sheet!$D408&lt;=50000,"Low Income",Cleaned_Working_Sheet!$D408&lt;100000,"Middle Income",TRUE,"High Income")</f>
        <v>Low Income</v>
      </c>
      <c r="F408" s="16">
        <v>1</v>
      </c>
      <c r="G408" s="18" t="s">
        <v>13</v>
      </c>
      <c r="H408" s="18" t="s">
        <v>14</v>
      </c>
      <c r="I408" s="18" t="s">
        <v>15</v>
      </c>
      <c r="J408" s="16">
        <v>0</v>
      </c>
      <c r="K408" s="18" t="s">
        <v>16</v>
      </c>
      <c r="L408" s="18" t="s">
        <v>17</v>
      </c>
      <c r="M408" s="14">
        <v>41</v>
      </c>
      <c r="N408" s="18" t="str" cm="1">
        <f t="array" ref="N408">_xlfn.IFS(Cleaned_Working_Sheet!$M408&lt;=34,"Young",Cleaned_Working_Sheet!$M408&lt;=54,"Middle-aged",Cleaned_Working_Sheet!$M408&gt;54,"Old")</f>
        <v>Middle-aged</v>
      </c>
      <c r="O408" s="18" t="s">
        <v>18</v>
      </c>
    </row>
    <row r="409" spans="1:15" x14ac:dyDescent="0.25">
      <c r="A409" s="14">
        <v>27582</v>
      </c>
      <c r="B409" s="18" t="s">
        <v>37</v>
      </c>
      <c r="C409" s="18" t="s">
        <v>38</v>
      </c>
      <c r="D409" s="6">
        <v>90000</v>
      </c>
      <c r="E409" s="18" t="str" cm="1">
        <f t="array" ref="E409">_xlfn.IFS(Cleaned_Working_Sheet!$D409&lt;=50000,"Low Income",Cleaned_Working_Sheet!$D409&lt;100000,"Middle Income",TRUE,"High Income")</f>
        <v>Middle Income</v>
      </c>
      <c r="F409" s="16">
        <v>2</v>
      </c>
      <c r="G409" s="18" t="s">
        <v>13</v>
      </c>
      <c r="H409" s="18" t="s">
        <v>21</v>
      </c>
      <c r="I409" s="18" t="s">
        <v>18</v>
      </c>
      <c r="J409" s="16">
        <v>0</v>
      </c>
      <c r="K409" s="18" t="s">
        <v>16</v>
      </c>
      <c r="L409" s="18" t="s">
        <v>24</v>
      </c>
      <c r="M409" s="14">
        <v>36</v>
      </c>
      <c r="N409" s="18" t="str" cm="1">
        <f t="array" ref="N409">_xlfn.IFS(Cleaned_Working_Sheet!$M409&lt;=34,"Young",Cleaned_Working_Sheet!$M409&lt;=54,"Middle-aged",Cleaned_Working_Sheet!$M409&gt;54,"Old")</f>
        <v>Middle-aged</v>
      </c>
      <c r="O409" s="18" t="s">
        <v>15</v>
      </c>
    </row>
    <row r="410" spans="1:15" x14ac:dyDescent="0.25">
      <c r="A410" s="14">
        <v>12744</v>
      </c>
      <c r="B410" s="18" t="s">
        <v>37</v>
      </c>
      <c r="C410" s="18" t="s">
        <v>38</v>
      </c>
      <c r="D410" s="6">
        <v>40000</v>
      </c>
      <c r="E410" s="18" t="str" cm="1">
        <f t="array" ref="E410">_xlfn.IFS(Cleaned_Working_Sheet!$D410&lt;=50000,"Low Income",Cleaned_Working_Sheet!$D410&lt;100000,"Middle Income",TRUE,"High Income")</f>
        <v>Low Income</v>
      </c>
      <c r="F410" s="16">
        <v>2</v>
      </c>
      <c r="G410" s="18" t="s">
        <v>19</v>
      </c>
      <c r="H410" s="18" t="s">
        <v>20</v>
      </c>
      <c r="I410" s="18" t="s">
        <v>15</v>
      </c>
      <c r="J410" s="16">
        <v>0</v>
      </c>
      <c r="K410" s="18" t="s">
        <v>16</v>
      </c>
      <c r="L410" s="18" t="s">
        <v>17</v>
      </c>
      <c r="M410" s="14">
        <v>33</v>
      </c>
      <c r="N410" s="18" t="str" cm="1">
        <f t="array" ref="N410">_xlfn.IFS(Cleaned_Working_Sheet!$M410&lt;=34,"Young",Cleaned_Working_Sheet!$M410&lt;=54,"Middle-aged",Cleaned_Working_Sheet!$M410&gt;54,"Old")</f>
        <v>Young</v>
      </c>
      <c r="O410" s="18" t="s">
        <v>18</v>
      </c>
    </row>
    <row r="411" spans="1:15" x14ac:dyDescent="0.25">
      <c r="A411" s="14">
        <v>22821</v>
      </c>
      <c r="B411" s="18" t="s">
        <v>36</v>
      </c>
      <c r="C411" s="18" t="s">
        <v>38</v>
      </c>
      <c r="D411" s="6">
        <v>130000</v>
      </c>
      <c r="E411" s="18" t="str" cm="1">
        <f t="array" ref="E411">_xlfn.IFS(Cleaned_Working_Sheet!$D411&lt;=50000,"Low Income",Cleaned_Working_Sheet!$D411&lt;100000,"Middle Income",TRUE,"High Income")</f>
        <v>High Income</v>
      </c>
      <c r="F411" s="16">
        <v>3</v>
      </c>
      <c r="G411" s="18" t="s">
        <v>19</v>
      </c>
      <c r="H411" s="18" t="s">
        <v>21</v>
      </c>
      <c r="I411" s="18" t="s">
        <v>15</v>
      </c>
      <c r="J411" s="16">
        <v>4</v>
      </c>
      <c r="K411" s="18" t="s">
        <v>16</v>
      </c>
      <c r="L411" s="18" t="s">
        <v>17</v>
      </c>
      <c r="M411" s="14">
        <v>52</v>
      </c>
      <c r="N411" s="18" t="str" cm="1">
        <f t="array" ref="N411">_xlfn.IFS(Cleaned_Working_Sheet!$M411&lt;=34,"Young",Cleaned_Working_Sheet!$M411&lt;=54,"Middle-aged",Cleaned_Working_Sheet!$M411&gt;54,"Old")</f>
        <v>Middle-aged</v>
      </c>
      <c r="O411" s="18" t="s">
        <v>18</v>
      </c>
    </row>
    <row r="412" spans="1:15" x14ac:dyDescent="0.25">
      <c r="A412" s="14">
        <v>20171</v>
      </c>
      <c r="B412" s="18" t="s">
        <v>36</v>
      </c>
      <c r="C412" s="18" t="s">
        <v>38</v>
      </c>
      <c r="D412" s="6">
        <v>20000</v>
      </c>
      <c r="E412" s="18" t="str" cm="1">
        <f t="array" ref="E412">_xlfn.IFS(Cleaned_Working_Sheet!$D412&lt;=50000,"Low Income",Cleaned_Working_Sheet!$D412&lt;100000,"Middle Income",TRUE,"High Income")</f>
        <v>Low Income</v>
      </c>
      <c r="F412" s="16">
        <v>2</v>
      </c>
      <c r="G412" s="18" t="s">
        <v>19</v>
      </c>
      <c r="H412" s="18" t="s">
        <v>25</v>
      </c>
      <c r="I412" s="18" t="s">
        <v>15</v>
      </c>
      <c r="J412" s="16">
        <v>1</v>
      </c>
      <c r="K412" s="18" t="s">
        <v>16</v>
      </c>
      <c r="L412" s="18" t="s">
        <v>17</v>
      </c>
      <c r="M412" s="14">
        <v>46</v>
      </c>
      <c r="N412" s="18" t="str" cm="1">
        <f t="array" ref="N412">_xlfn.IFS(Cleaned_Working_Sheet!$M412&lt;=34,"Young",Cleaned_Working_Sheet!$M412&lt;=54,"Middle-aged",Cleaned_Working_Sheet!$M412&gt;54,"Old")</f>
        <v>Middle-aged</v>
      </c>
      <c r="O412" s="18" t="s">
        <v>15</v>
      </c>
    </row>
    <row r="413" spans="1:15" x14ac:dyDescent="0.25">
      <c r="A413" s="14">
        <v>11116</v>
      </c>
      <c r="B413" s="18" t="s">
        <v>36</v>
      </c>
      <c r="C413" s="18" t="s">
        <v>39</v>
      </c>
      <c r="D413" s="6">
        <v>70000</v>
      </c>
      <c r="E413" s="18" t="str" cm="1">
        <f t="array" ref="E413">_xlfn.IFS(Cleaned_Working_Sheet!$D413&lt;=50000,"Low Income",Cleaned_Working_Sheet!$D413&lt;100000,"Middle Income",TRUE,"High Income")</f>
        <v>Middle Income</v>
      </c>
      <c r="F413" s="16">
        <v>5</v>
      </c>
      <c r="G413" s="18" t="s">
        <v>19</v>
      </c>
      <c r="H413" s="18" t="s">
        <v>14</v>
      </c>
      <c r="I413" s="18" t="s">
        <v>15</v>
      </c>
      <c r="J413" s="16">
        <v>2</v>
      </c>
      <c r="K413" s="18" t="s">
        <v>23</v>
      </c>
      <c r="L413" s="18" t="s">
        <v>24</v>
      </c>
      <c r="M413" s="14">
        <v>43</v>
      </c>
      <c r="N413" s="18" t="str" cm="1">
        <f t="array" ref="N413">_xlfn.IFS(Cleaned_Working_Sheet!$M413&lt;=34,"Young",Cleaned_Working_Sheet!$M413&lt;=54,"Middle-aged",Cleaned_Working_Sheet!$M413&gt;54,"Old")</f>
        <v>Middle-aged</v>
      </c>
      <c r="O413" s="18" t="s">
        <v>18</v>
      </c>
    </row>
    <row r="414" spans="1:15" x14ac:dyDescent="0.25">
      <c r="A414" s="14">
        <v>20053</v>
      </c>
      <c r="B414" s="18" t="s">
        <v>37</v>
      </c>
      <c r="C414" s="18" t="s">
        <v>39</v>
      </c>
      <c r="D414" s="6">
        <v>40000</v>
      </c>
      <c r="E414" s="18" t="str" cm="1">
        <f t="array" ref="E414">_xlfn.IFS(Cleaned_Working_Sheet!$D414&lt;=50000,"Low Income",Cleaned_Working_Sheet!$D414&lt;100000,"Middle Income",TRUE,"High Income")</f>
        <v>Low Income</v>
      </c>
      <c r="F414" s="16">
        <v>2</v>
      </c>
      <c r="G414" s="18" t="s">
        <v>19</v>
      </c>
      <c r="H414" s="18" t="s">
        <v>20</v>
      </c>
      <c r="I414" s="18" t="s">
        <v>15</v>
      </c>
      <c r="J414" s="16">
        <v>0</v>
      </c>
      <c r="K414" s="18" t="s">
        <v>16</v>
      </c>
      <c r="L414" s="18" t="s">
        <v>17</v>
      </c>
      <c r="M414" s="14">
        <v>34</v>
      </c>
      <c r="N414" s="18" t="str" cm="1">
        <f t="array" ref="N414">_xlfn.IFS(Cleaned_Working_Sheet!$M414&lt;=34,"Young",Cleaned_Working_Sheet!$M414&lt;=54,"Middle-aged",Cleaned_Working_Sheet!$M414&gt;54,"Old")</f>
        <v>Young</v>
      </c>
      <c r="O414" s="18" t="s">
        <v>18</v>
      </c>
    </row>
    <row r="415" spans="1:15" x14ac:dyDescent="0.25">
      <c r="A415" s="14">
        <v>25266</v>
      </c>
      <c r="B415" s="18" t="s">
        <v>37</v>
      </c>
      <c r="C415" s="18" t="s">
        <v>38</v>
      </c>
      <c r="D415" s="6">
        <v>30000</v>
      </c>
      <c r="E415" s="18" t="str" cm="1">
        <f t="array" ref="E415">_xlfn.IFS(Cleaned_Working_Sheet!$D415&lt;=50000,"Low Income",Cleaned_Working_Sheet!$D415&lt;100000,"Middle Income",TRUE,"High Income")</f>
        <v>Low Income</v>
      </c>
      <c r="F415" s="16">
        <v>2</v>
      </c>
      <c r="G415" s="18" t="s">
        <v>19</v>
      </c>
      <c r="H415" s="18" t="s">
        <v>20</v>
      </c>
      <c r="I415" s="18" t="s">
        <v>18</v>
      </c>
      <c r="J415" s="16">
        <v>2</v>
      </c>
      <c r="K415" s="18" t="s">
        <v>23</v>
      </c>
      <c r="L415" s="18" t="s">
        <v>24</v>
      </c>
      <c r="M415" s="14">
        <v>67</v>
      </c>
      <c r="N415" s="18" t="str" cm="1">
        <f t="array" ref="N415">_xlfn.IFS(Cleaned_Working_Sheet!$M415&lt;=34,"Young",Cleaned_Working_Sheet!$M415&lt;=54,"Middle-aged",Cleaned_Working_Sheet!$M415&gt;54,"Old")</f>
        <v>Old</v>
      </c>
      <c r="O415" s="18" t="s">
        <v>18</v>
      </c>
    </row>
    <row r="416" spans="1:15" x14ac:dyDescent="0.25">
      <c r="A416" s="14">
        <v>17960</v>
      </c>
      <c r="B416" s="18" t="s">
        <v>36</v>
      </c>
      <c r="C416" s="18" t="s">
        <v>38</v>
      </c>
      <c r="D416" s="6">
        <v>40000</v>
      </c>
      <c r="E416" s="18" t="str" cm="1">
        <f t="array" ref="E416">_xlfn.IFS(Cleaned_Working_Sheet!$D416&lt;=50000,"Low Income",Cleaned_Working_Sheet!$D416&lt;100000,"Middle Income",TRUE,"High Income")</f>
        <v>Low Income</v>
      </c>
      <c r="F416" s="16">
        <v>0</v>
      </c>
      <c r="G416" s="18" t="s">
        <v>31</v>
      </c>
      <c r="H416" s="18" t="s">
        <v>20</v>
      </c>
      <c r="I416" s="18" t="s">
        <v>15</v>
      </c>
      <c r="J416" s="16">
        <v>0</v>
      </c>
      <c r="K416" s="18" t="s">
        <v>16</v>
      </c>
      <c r="L416" s="18" t="s">
        <v>17</v>
      </c>
      <c r="M416" s="14">
        <v>35</v>
      </c>
      <c r="N416" s="18" t="str" cm="1">
        <f t="array" ref="N416">_xlfn.IFS(Cleaned_Working_Sheet!$M416&lt;=34,"Young",Cleaned_Working_Sheet!$M416&lt;=54,"Middle-aged",Cleaned_Working_Sheet!$M416&gt;54,"Old")</f>
        <v>Middle-aged</v>
      </c>
      <c r="O416" s="18" t="s">
        <v>15</v>
      </c>
    </row>
    <row r="417" spans="1:15" x14ac:dyDescent="0.25">
      <c r="A417" s="14">
        <v>13961</v>
      </c>
      <c r="B417" s="18" t="s">
        <v>36</v>
      </c>
      <c r="C417" s="18" t="s">
        <v>38</v>
      </c>
      <c r="D417" s="6">
        <v>80000</v>
      </c>
      <c r="E417" s="18" t="str" cm="1">
        <f t="array" ref="E417">_xlfn.IFS(Cleaned_Working_Sheet!$D417&lt;=50000,"Low Income",Cleaned_Working_Sheet!$D417&lt;100000,"Middle Income",TRUE,"High Income")</f>
        <v>Middle Income</v>
      </c>
      <c r="F417" s="16">
        <v>5</v>
      </c>
      <c r="G417" s="18" t="s">
        <v>31</v>
      </c>
      <c r="H417" s="18" t="s">
        <v>28</v>
      </c>
      <c r="I417" s="18" t="s">
        <v>15</v>
      </c>
      <c r="J417" s="16">
        <v>3</v>
      </c>
      <c r="K417" s="18" t="s">
        <v>16</v>
      </c>
      <c r="L417" s="18" t="s">
        <v>24</v>
      </c>
      <c r="M417" s="14">
        <v>40</v>
      </c>
      <c r="N417" s="18" t="str" cm="1">
        <f t="array" ref="N417">_xlfn.IFS(Cleaned_Working_Sheet!$M417&lt;=34,"Young",Cleaned_Working_Sheet!$M417&lt;=54,"Middle-aged",Cleaned_Working_Sheet!$M417&gt;54,"Old")</f>
        <v>Middle-aged</v>
      </c>
      <c r="O417" s="18" t="s">
        <v>18</v>
      </c>
    </row>
    <row r="418" spans="1:15" x14ac:dyDescent="0.25">
      <c r="A418" s="14">
        <v>11897</v>
      </c>
      <c r="B418" s="18" t="s">
        <v>37</v>
      </c>
      <c r="C418" s="18" t="s">
        <v>39</v>
      </c>
      <c r="D418" s="6">
        <v>60000</v>
      </c>
      <c r="E418" s="18" t="str" cm="1">
        <f t="array" ref="E418">_xlfn.IFS(Cleaned_Working_Sheet!$D418&lt;=50000,"Low Income",Cleaned_Working_Sheet!$D418&lt;100000,"Middle Income",TRUE,"High Income")</f>
        <v>Middle Income</v>
      </c>
      <c r="F418" s="16">
        <v>2</v>
      </c>
      <c r="G418" s="18" t="s">
        <v>13</v>
      </c>
      <c r="H418" s="18" t="s">
        <v>21</v>
      </c>
      <c r="I418" s="18" t="s">
        <v>18</v>
      </c>
      <c r="J418" s="16">
        <v>1</v>
      </c>
      <c r="K418" s="18" t="s">
        <v>16</v>
      </c>
      <c r="L418" s="18" t="s">
        <v>24</v>
      </c>
      <c r="M418" s="14">
        <v>37</v>
      </c>
      <c r="N418" s="18" t="str" cm="1">
        <f t="array" ref="N418">_xlfn.IFS(Cleaned_Working_Sheet!$M418&lt;=34,"Young",Cleaned_Working_Sheet!$M418&lt;=54,"Middle-aged",Cleaned_Working_Sheet!$M418&gt;54,"Old")</f>
        <v>Middle-aged</v>
      </c>
      <c r="O418" s="18" t="s">
        <v>15</v>
      </c>
    </row>
    <row r="419" spans="1:15" x14ac:dyDescent="0.25">
      <c r="A419" s="14">
        <v>11139</v>
      </c>
      <c r="B419" s="18" t="s">
        <v>37</v>
      </c>
      <c r="C419" s="18" t="s">
        <v>38</v>
      </c>
      <c r="D419" s="6">
        <v>30000</v>
      </c>
      <c r="E419" s="18" t="str" cm="1">
        <f t="array" ref="E419">_xlfn.IFS(Cleaned_Working_Sheet!$D419&lt;=50000,"Low Income",Cleaned_Working_Sheet!$D419&lt;100000,"Middle Income",TRUE,"High Income")</f>
        <v>Low Income</v>
      </c>
      <c r="F419" s="16">
        <v>2</v>
      </c>
      <c r="G419" s="18" t="s">
        <v>19</v>
      </c>
      <c r="H419" s="18" t="s">
        <v>20</v>
      </c>
      <c r="I419" s="18" t="s">
        <v>18</v>
      </c>
      <c r="J419" s="16">
        <v>2</v>
      </c>
      <c r="K419" s="18" t="s">
        <v>23</v>
      </c>
      <c r="L419" s="18" t="s">
        <v>24</v>
      </c>
      <c r="M419" s="14">
        <v>67</v>
      </c>
      <c r="N419" s="18" t="str" cm="1">
        <f t="array" ref="N419">_xlfn.IFS(Cleaned_Working_Sheet!$M419&lt;=34,"Young",Cleaned_Working_Sheet!$M419&lt;=54,"Middle-aged",Cleaned_Working_Sheet!$M419&gt;54,"Old")</f>
        <v>Old</v>
      </c>
      <c r="O419" s="18" t="s">
        <v>18</v>
      </c>
    </row>
    <row r="420" spans="1:15" x14ac:dyDescent="0.25">
      <c r="A420" s="14">
        <v>11576</v>
      </c>
      <c r="B420" s="18" t="s">
        <v>36</v>
      </c>
      <c r="C420" s="18" t="s">
        <v>39</v>
      </c>
      <c r="D420" s="6">
        <v>30000</v>
      </c>
      <c r="E420" s="18" t="str" cm="1">
        <f t="array" ref="E420">_xlfn.IFS(Cleaned_Working_Sheet!$D420&lt;=50000,"Low Income",Cleaned_Working_Sheet!$D420&lt;100000,"Middle Income",TRUE,"High Income")</f>
        <v>Low Income</v>
      </c>
      <c r="F420" s="16">
        <v>1</v>
      </c>
      <c r="G420" s="18" t="s">
        <v>13</v>
      </c>
      <c r="H420" s="18" t="s">
        <v>14</v>
      </c>
      <c r="I420" s="18" t="s">
        <v>15</v>
      </c>
      <c r="J420" s="16">
        <v>2</v>
      </c>
      <c r="K420" s="18" t="s">
        <v>16</v>
      </c>
      <c r="L420" s="18" t="s">
        <v>17</v>
      </c>
      <c r="M420" s="14">
        <v>41</v>
      </c>
      <c r="N420" s="18" t="str" cm="1">
        <f t="array" ref="N420">_xlfn.IFS(Cleaned_Working_Sheet!$M420&lt;=34,"Young",Cleaned_Working_Sheet!$M420&lt;=54,"Middle-aged",Cleaned_Working_Sheet!$M420&gt;54,"Old")</f>
        <v>Middle-aged</v>
      </c>
      <c r="O420" s="18" t="s">
        <v>15</v>
      </c>
    </row>
    <row r="421" spans="1:15" x14ac:dyDescent="0.25">
      <c r="A421" s="14">
        <v>19255</v>
      </c>
      <c r="B421" s="18" t="s">
        <v>37</v>
      </c>
      <c r="C421" s="18" t="s">
        <v>39</v>
      </c>
      <c r="D421" s="6">
        <v>10000</v>
      </c>
      <c r="E421" s="18" t="str" cm="1">
        <f t="array" ref="E421">_xlfn.IFS(Cleaned_Working_Sheet!$D421&lt;=50000,"Low Income",Cleaned_Working_Sheet!$D421&lt;100000,"Middle Income",TRUE,"High Income")</f>
        <v>Low Income</v>
      </c>
      <c r="F421" s="16">
        <v>2</v>
      </c>
      <c r="G421" s="18" t="s">
        <v>19</v>
      </c>
      <c r="H421" s="18" t="s">
        <v>25</v>
      </c>
      <c r="I421" s="18" t="s">
        <v>15</v>
      </c>
      <c r="J421" s="16">
        <v>1</v>
      </c>
      <c r="K421" s="18" t="s">
        <v>16</v>
      </c>
      <c r="L421" s="18" t="s">
        <v>17</v>
      </c>
      <c r="M421" s="14">
        <v>51</v>
      </c>
      <c r="N421" s="18" t="str" cm="1">
        <f t="array" ref="N421">_xlfn.IFS(Cleaned_Working_Sheet!$M421&lt;=34,"Young",Cleaned_Working_Sheet!$M421&lt;=54,"Middle-aged",Cleaned_Working_Sheet!$M421&gt;54,"Old")</f>
        <v>Middle-aged</v>
      </c>
      <c r="O421" s="18" t="s">
        <v>15</v>
      </c>
    </row>
    <row r="422" spans="1:15" x14ac:dyDescent="0.25">
      <c r="A422" s="14">
        <v>18153</v>
      </c>
      <c r="B422" s="18" t="s">
        <v>36</v>
      </c>
      <c r="C422" s="18" t="s">
        <v>38</v>
      </c>
      <c r="D422" s="6">
        <v>100000</v>
      </c>
      <c r="E422" s="18" t="str" cm="1">
        <f t="array" ref="E422">_xlfn.IFS(Cleaned_Working_Sheet!$D422&lt;=50000,"Low Income",Cleaned_Working_Sheet!$D422&lt;100000,"Middle Income",TRUE,"High Income")</f>
        <v>High Income</v>
      </c>
      <c r="F422" s="16">
        <v>2</v>
      </c>
      <c r="G422" s="18" t="s">
        <v>13</v>
      </c>
      <c r="H422" s="18" t="s">
        <v>28</v>
      </c>
      <c r="I422" s="18" t="s">
        <v>15</v>
      </c>
      <c r="J422" s="16">
        <v>4</v>
      </c>
      <c r="K422" s="18" t="s">
        <v>43</v>
      </c>
      <c r="L422" s="18" t="s">
        <v>17</v>
      </c>
      <c r="M422" s="14">
        <v>59</v>
      </c>
      <c r="N422" s="18" t="str" cm="1">
        <f t="array" ref="N422">_xlfn.IFS(Cleaned_Working_Sheet!$M422&lt;=34,"Young",Cleaned_Working_Sheet!$M422&lt;=54,"Middle-aged",Cleaned_Working_Sheet!$M422&gt;54,"Old")</f>
        <v>Old</v>
      </c>
      <c r="O422" s="18" t="s">
        <v>18</v>
      </c>
    </row>
    <row r="423" spans="1:15" x14ac:dyDescent="0.25">
      <c r="A423" s="14">
        <v>14547</v>
      </c>
      <c r="B423" s="18" t="s">
        <v>36</v>
      </c>
      <c r="C423" s="18" t="s">
        <v>39</v>
      </c>
      <c r="D423" s="6">
        <v>10000</v>
      </c>
      <c r="E423" s="18" t="str" cm="1">
        <f t="array" ref="E423">_xlfn.IFS(Cleaned_Working_Sheet!$D423&lt;=50000,"Low Income",Cleaned_Working_Sheet!$D423&lt;100000,"Middle Income",TRUE,"High Income")</f>
        <v>Low Income</v>
      </c>
      <c r="F423" s="16">
        <v>2</v>
      </c>
      <c r="G423" s="18" t="s">
        <v>19</v>
      </c>
      <c r="H423" s="18" t="s">
        <v>25</v>
      </c>
      <c r="I423" s="18" t="s">
        <v>15</v>
      </c>
      <c r="J423" s="16">
        <v>0</v>
      </c>
      <c r="K423" s="18" t="s">
        <v>26</v>
      </c>
      <c r="L423" s="18" t="s">
        <v>17</v>
      </c>
      <c r="M423" s="14">
        <v>51</v>
      </c>
      <c r="N423" s="18" t="str" cm="1">
        <f t="array" ref="N423">_xlfn.IFS(Cleaned_Working_Sheet!$M423&lt;=34,"Young",Cleaned_Working_Sheet!$M423&lt;=54,"Middle-aged",Cleaned_Working_Sheet!$M423&gt;54,"Old")</f>
        <v>Middle-aged</v>
      </c>
      <c r="O423" s="18" t="s">
        <v>18</v>
      </c>
    </row>
    <row r="424" spans="1:15" x14ac:dyDescent="0.25">
      <c r="A424" s="14">
        <v>24901</v>
      </c>
      <c r="B424" s="18" t="s">
        <v>37</v>
      </c>
      <c r="C424" s="18" t="s">
        <v>39</v>
      </c>
      <c r="D424" s="6">
        <v>110000</v>
      </c>
      <c r="E424" s="18" t="str" cm="1">
        <f t="array" ref="E424">_xlfn.IFS(Cleaned_Working_Sheet!$D424&lt;=50000,"Low Income",Cleaned_Working_Sheet!$D424&lt;100000,"Middle Income",TRUE,"High Income")</f>
        <v>High Income</v>
      </c>
      <c r="F424" s="16">
        <v>0</v>
      </c>
      <c r="G424" s="18" t="s">
        <v>19</v>
      </c>
      <c r="H424" s="18" t="s">
        <v>28</v>
      </c>
      <c r="I424" s="18" t="s">
        <v>18</v>
      </c>
      <c r="J424" s="16">
        <v>3</v>
      </c>
      <c r="K424" s="18" t="s">
        <v>43</v>
      </c>
      <c r="L424" s="18" t="s">
        <v>24</v>
      </c>
      <c r="M424" s="14">
        <v>32</v>
      </c>
      <c r="N424" s="18" t="str" cm="1">
        <f t="array" ref="N424">_xlfn.IFS(Cleaned_Working_Sheet!$M424&lt;=34,"Young",Cleaned_Working_Sheet!$M424&lt;=54,"Middle-aged",Cleaned_Working_Sheet!$M424&gt;54,"Old")</f>
        <v>Young</v>
      </c>
      <c r="O424" s="18" t="s">
        <v>15</v>
      </c>
    </row>
    <row r="425" spans="1:15" x14ac:dyDescent="0.25">
      <c r="A425" s="14">
        <v>27169</v>
      </c>
      <c r="B425" s="18" t="s">
        <v>37</v>
      </c>
      <c r="C425" s="18" t="s">
        <v>39</v>
      </c>
      <c r="D425" s="6">
        <v>30000</v>
      </c>
      <c r="E425" s="18" t="str" cm="1">
        <f t="array" ref="E425">_xlfn.IFS(Cleaned_Working_Sheet!$D425&lt;=50000,"Low Income",Cleaned_Working_Sheet!$D425&lt;100000,"Middle Income",TRUE,"High Income")</f>
        <v>Low Income</v>
      </c>
      <c r="F425" s="16">
        <v>0</v>
      </c>
      <c r="G425" s="18" t="s">
        <v>27</v>
      </c>
      <c r="H425" s="18" t="s">
        <v>25</v>
      </c>
      <c r="I425" s="18" t="s">
        <v>15</v>
      </c>
      <c r="J425" s="16">
        <v>1</v>
      </c>
      <c r="K425" s="18" t="s">
        <v>22</v>
      </c>
      <c r="L425" s="18" t="s">
        <v>17</v>
      </c>
      <c r="M425" s="14">
        <v>34</v>
      </c>
      <c r="N425" s="18" t="str" cm="1">
        <f t="array" ref="N425">_xlfn.IFS(Cleaned_Working_Sheet!$M425&lt;=34,"Young",Cleaned_Working_Sheet!$M425&lt;=54,"Middle-aged",Cleaned_Working_Sheet!$M425&gt;54,"Old")</f>
        <v>Young</v>
      </c>
      <c r="O425" s="18" t="s">
        <v>15</v>
      </c>
    </row>
    <row r="426" spans="1:15" x14ac:dyDescent="0.25">
      <c r="A426" s="14">
        <v>14805</v>
      </c>
      <c r="B426" s="18" t="s">
        <v>37</v>
      </c>
      <c r="C426" s="18" t="s">
        <v>38</v>
      </c>
      <c r="D426" s="6">
        <v>10000</v>
      </c>
      <c r="E426" s="18" t="str" cm="1">
        <f t="array" ref="E426">_xlfn.IFS(Cleaned_Working_Sheet!$D426&lt;=50000,"Low Income",Cleaned_Working_Sheet!$D426&lt;100000,"Middle Income",TRUE,"High Income")</f>
        <v>Low Income</v>
      </c>
      <c r="F426" s="16">
        <v>3</v>
      </c>
      <c r="G426" s="18" t="s">
        <v>29</v>
      </c>
      <c r="H426" s="18" t="s">
        <v>25</v>
      </c>
      <c r="I426" s="18" t="s">
        <v>15</v>
      </c>
      <c r="J426" s="16">
        <v>2</v>
      </c>
      <c r="K426" s="18" t="s">
        <v>16</v>
      </c>
      <c r="L426" s="18" t="s">
        <v>17</v>
      </c>
      <c r="M426" s="14">
        <v>43</v>
      </c>
      <c r="N426" s="18" t="str" cm="1">
        <f t="array" ref="N426">_xlfn.IFS(Cleaned_Working_Sheet!$M426&lt;=34,"Young",Cleaned_Working_Sheet!$M426&lt;=54,"Middle-aged",Cleaned_Working_Sheet!$M426&gt;54,"Old")</f>
        <v>Middle-aged</v>
      </c>
      <c r="O426" s="18" t="s">
        <v>18</v>
      </c>
    </row>
    <row r="427" spans="1:15" x14ac:dyDescent="0.25">
      <c r="A427" s="14">
        <v>15822</v>
      </c>
      <c r="B427" s="18" t="s">
        <v>36</v>
      </c>
      <c r="C427" s="18" t="s">
        <v>39</v>
      </c>
      <c r="D427" s="6">
        <v>40000</v>
      </c>
      <c r="E427" s="18" t="str" cm="1">
        <f t="array" ref="E427">_xlfn.IFS(Cleaned_Working_Sheet!$D427&lt;=50000,"Low Income",Cleaned_Working_Sheet!$D427&lt;100000,"Middle Income",TRUE,"High Income")</f>
        <v>Low Income</v>
      </c>
      <c r="F427" s="16">
        <v>2</v>
      </c>
      <c r="G427" s="18" t="s">
        <v>13</v>
      </c>
      <c r="H427" s="18" t="s">
        <v>28</v>
      </c>
      <c r="I427" s="18" t="s">
        <v>15</v>
      </c>
      <c r="J427" s="16">
        <v>2</v>
      </c>
      <c r="K427" s="18" t="s">
        <v>16</v>
      </c>
      <c r="L427" s="18" t="s">
        <v>24</v>
      </c>
      <c r="M427" s="14">
        <v>67</v>
      </c>
      <c r="N427" s="18" t="str" cm="1">
        <f t="array" ref="N427">_xlfn.IFS(Cleaned_Working_Sheet!$M427&lt;=34,"Young",Cleaned_Working_Sheet!$M427&lt;=54,"Middle-aged",Cleaned_Working_Sheet!$M427&gt;54,"Old")</f>
        <v>Old</v>
      </c>
      <c r="O427" s="18" t="s">
        <v>18</v>
      </c>
    </row>
    <row r="428" spans="1:15" x14ac:dyDescent="0.25">
      <c r="A428" s="14">
        <v>19389</v>
      </c>
      <c r="B428" s="18" t="s">
        <v>37</v>
      </c>
      <c r="C428" s="18" t="s">
        <v>39</v>
      </c>
      <c r="D428" s="6">
        <v>30000</v>
      </c>
      <c r="E428" s="18" t="str" cm="1">
        <f t="array" ref="E428">_xlfn.IFS(Cleaned_Working_Sheet!$D428&lt;=50000,"Low Income",Cleaned_Working_Sheet!$D428&lt;100000,"Middle Income",TRUE,"High Income")</f>
        <v>Low Income</v>
      </c>
      <c r="F428" s="16">
        <v>0</v>
      </c>
      <c r="G428" s="18" t="s">
        <v>19</v>
      </c>
      <c r="H428" s="18" t="s">
        <v>20</v>
      </c>
      <c r="I428" s="18" t="s">
        <v>18</v>
      </c>
      <c r="J428" s="16">
        <v>1</v>
      </c>
      <c r="K428" s="18" t="s">
        <v>22</v>
      </c>
      <c r="L428" s="18" t="s">
        <v>17</v>
      </c>
      <c r="M428" s="14">
        <v>28</v>
      </c>
      <c r="N428" s="18" t="str" cm="1">
        <f t="array" ref="N428">_xlfn.IFS(Cleaned_Working_Sheet!$M428&lt;=34,"Young",Cleaned_Working_Sheet!$M428&lt;=54,"Middle-aged",Cleaned_Working_Sheet!$M428&gt;54,"Old")</f>
        <v>Young</v>
      </c>
      <c r="O428" s="18" t="s">
        <v>18</v>
      </c>
    </row>
    <row r="429" spans="1:15" x14ac:dyDescent="0.25">
      <c r="A429" s="14">
        <v>17048</v>
      </c>
      <c r="B429" s="18" t="s">
        <v>37</v>
      </c>
      <c r="C429" s="18" t="s">
        <v>38</v>
      </c>
      <c r="D429" s="6">
        <v>90000</v>
      </c>
      <c r="E429" s="18" t="str" cm="1">
        <f t="array" ref="E429">_xlfn.IFS(Cleaned_Working_Sheet!$D429&lt;=50000,"Low Income",Cleaned_Working_Sheet!$D429&lt;100000,"Middle Income",TRUE,"High Income")</f>
        <v>Middle Income</v>
      </c>
      <c r="F429" s="16">
        <v>1</v>
      </c>
      <c r="G429" s="18" t="s">
        <v>31</v>
      </c>
      <c r="H429" s="18" t="s">
        <v>28</v>
      </c>
      <c r="I429" s="18" t="s">
        <v>15</v>
      </c>
      <c r="J429" s="16">
        <v>0</v>
      </c>
      <c r="K429" s="18" t="s">
        <v>16</v>
      </c>
      <c r="L429" s="18" t="s">
        <v>24</v>
      </c>
      <c r="M429" s="14">
        <v>36</v>
      </c>
      <c r="N429" s="18" t="str" cm="1">
        <f t="array" ref="N429">_xlfn.IFS(Cleaned_Working_Sheet!$M429&lt;=34,"Young",Cleaned_Working_Sheet!$M429&lt;=54,"Middle-aged",Cleaned_Working_Sheet!$M429&gt;54,"Old")</f>
        <v>Middle-aged</v>
      </c>
      <c r="O429" s="18" t="s">
        <v>15</v>
      </c>
    </row>
    <row r="430" spans="1:15" x14ac:dyDescent="0.25">
      <c r="A430" s="14">
        <v>22204</v>
      </c>
      <c r="B430" s="18" t="s">
        <v>36</v>
      </c>
      <c r="C430" s="18" t="s">
        <v>39</v>
      </c>
      <c r="D430" s="6">
        <v>110000</v>
      </c>
      <c r="E430" s="18" t="str" cm="1">
        <f t="array" ref="E430">_xlfn.IFS(Cleaned_Working_Sheet!$D430&lt;=50000,"Low Income",Cleaned_Working_Sheet!$D430&lt;100000,"Middle Income",TRUE,"High Income")</f>
        <v>High Income</v>
      </c>
      <c r="F430" s="16">
        <v>4</v>
      </c>
      <c r="G430" s="18" t="s">
        <v>13</v>
      </c>
      <c r="H430" s="18" t="s">
        <v>28</v>
      </c>
      <c r="I430" s="18" t="s">
        <v>15</v>
      </c>
      <c r="J430" s="16">
        <v>3</v>
      </c>
      <c r="K430" s="18" t="s">
        <v>22</v>
      </c>
      <c r="L430" s="18" t="s">
        <v>24</v>
      </c>
      <c r="M430" s="14">
        <v>48</v>
      </c>
      <c r="N430" s="18" t="str" cm="1">
        <f t="array" ref="N430">_xlfn.IFS(Cleaned_Working_Sheet!$M430&lt;=34,"Young",Cleaned_Working_Sheet!$M430&lt;=54,"Middle-aged",Cleaned_Working_Sheet!$M430&gt;54,"Old")</f>
        <v>Middle-aged</v>
      </c>
      <c r="O430" s="18" t="s">
        <v>18</v>
      </c>
    </row>
    <row r="431" spans="1:15" x14ac:dyDescent="0.25">
      <c r="A431" s="14">
        <v>12718</v>
      </c>
      <c r="B431" s="18" t="s">
        <v>37</v>
      </c>
      <c r="C431" s="18" t="s">
        <v>38</v>
      </c>
      <c r="D431" s="6">
        <v>30000</v>
      </c>
      <c r="E431" s="18" t="str" cm="1">
        <f t="array" ref="E431">_xlfn.IFS(Cleaned_Working_Sheet!$D431&lt;=50000,"Low Income",Cleaned_Working_Sheet!$D431&lt;100000,"Middle Income",TRUE,"High Income")</f>
        <v>Low Income</v>
      </c>
      <c r="F431" s="16">
        <v>0</v>
      </c>
      <c r="G431" s="18" t="s">
        <v>19</v>
      </c>
      <c r="H431" s="18" t="s">
        <v>20</v>
      </c>
      <c r="I431" s="18" t="s">
        <v>15</v>
      </c>
      <c r="J431" s="16">
        <v>1</v>
      </c>
      <c r="K431" s="18" t="s">
        <v>22</v>
      </c>
      <c r="L431" s="18" t="s">
        <v>17</v>
      </c>
      <c r="M431" s="14">
        <v>31</v>
      </c>
      <c r="N431" s="18" t="str" cm="1">
        <f t="array" ref="N431">_xlfn.IFS(Cleaned_Working_Sheet!$M431&lt;=34,"Young",Cleaned_Working_Sheet!$M431&lt;=54,"Middle-aged",Cleaned_Working_Sheet!$M431&gt;54,"Old")</f>
        <v>Young</v>
      </c>
      <c r="O431" s="18" t="s">
        <v>18</v>
      </c>
    </row>
    <row r="432" spans="1:15" x14ac:dyDescent="0.25">
      <c r="A432" s="14">
        <v>15019</v>
      </c>
      <c r="B432" s="18" t="s">
        <v>37</v>
      </c>
      <c r="C432" s="18" t="s">
        <v>38</v>
      </c>
      <c r="D432" s="6">
        <v>30000</v>
      </c>
      <c r="E432" s="18" t="str" cm="1">
        <f t="array" ref="E432">_xlfn.IFS(Cleaned_Working_Sheet!$D432&lt;=50000,"Low Income",Cleaned_Working_Sheet!$D432&lt;100000,"Middle Income",TRUE,"High Income")</f>
        <v>Low Income</v>
      </c>
      <c r="F432" s="16">
        <v>3</v>
      </c>
      <c r="G432" s="18" t="s">
        <v>27</v>
      </c>
      <c r="H432" s="18" t="s">
        <v>14</v>
      </c>
      <c r="I432" s="18" t="s">
        <v>15</v>
      </c>
      <c r="J432" s="16">
        <v>2</v>
      </c>
      <c r="K432" s="18" t="s">
        <v>23</v>
      </c>
      <c r="L432" s="18" t="s">
        <v>24</v>
      </c>
      <c r="M432" s="14">
        <v>55</v>
      </c>
      <c r="N432" s="18" t="str" cm="1">
        <f t="array" ref="N432">_xlfn.IFS(Cleaned_Working_Sheet!$M432&lt;=34,"Young",Cleaned_Working_Sheet!$M432&lt;=54,"Middle-aged",Cleaned_Working_Sheet!$M432&gt;54,"Old")</f>
        <v>Old</v>
      </c>
      <c r="O432" s="18" t="s">
        <v>18</v>
      </c>
    </row>
    <row r="433" spans="1:15" x14ac:dyDescent="0.25">
      <c r="A433" s="14">
        <v>28488</v>
      </c>
      <c r="B433" s="18" t="s">
        <v>37</v>
      </c>
      <c r="C433" s="18" t="s">
        <v>39</v>
      </c>
      <c r="D433" s="6">
        <v>20000</v>
      </c>
      <c r="E433" s="18" t="str" cm="1">
        <f t="array" ref="E433">_xlfn.IFS(Cleaned_Working_Sheet!$D433&lt;=50000,"Low Income",Cleaned_Working_Sheet!$D433&lt;100000,"Middle Income",TRUE,"High Income")</f>
        <v>Low Income</v>
      </c>
      <c r="F433" s="16">
        <v>0</v>
      </c>
      <c r="G433" s="18" t="s">
        <v>19</v>
      </c>
      <c r="H433" s="18" t="s">
        <v>25</v>
      </c>
      <c r="I433" s="18" t="s">
        <v>15</v>
      </c>
      <c r="J433" s="16">
        <v>0</v>
      </c>
      <c r="K433" s="18" t="s">
        <v>16</v>
      </c>
      <c r="L433" s="18" t="s">
        <v>24</v>
      </c>
      <c r="M433" s="14">
        <v>28</v>
      </c>
      <c r="N433" s="18" t="str" cm="1">
        <f t="array" ref="N433">_xlfn.IFS(Cleaned_Working_Sheet!$M433&lt;=34,"Young",Cleaned_Working_Sheet!$M433&lt;=54,"Middle-aged",Cleaned_Working_Sheet!$M433&gt;54,"Old")</f>
        <v>Young</v>
      </c>
      <c r="O433" s="18" t="s">
        <v>15</v>
      </c>
    </row>
    <row r="434" spans="1:15" x14ac:dyDescent="0.25">
      <c r="A434" s="14">
        <v>21891</v>
      </c>
      <c r="B434" s="18" t="s">
        <v>36</v>
      </c>
      <c r="C434" s="18" t="s">
        <v>38</v>
      </c>
      <c r="D434" s="6">
        <v>110000</v>
      </c>
      <c r="E434" s="18" t="str" cm="1">
        <f t="array" ref="E434">_xlfn.IFS(Cleaned_Working_Sheet!$D434&lt;=50000,"Low Income",Cleaned_Working_Sheet!$D434&lt;100000,"Middle Income",TRUE,"High Income")</f>
        <v>High Income</v>
      </c>
      <c r="F434" s="16">
        <v>0</v>
      </c>
      <c r="G434" s="18" t="s">
        <v>27</v>
      </c>
      <c r="H434" s="18" t="s">
        <v>28</v>
      </c>
      <c r="I434" s="18" t="s">
        <v>15</v>
      </c>
      <c r="J434" s="16">
        <v>3</v>
      </c>
      <c r="K434" s="18" t="s">
        <v>43</v>
      </c>
      <c r="L434" s="18" t="s">
        <v>24</v>
      </c>
      <c r="M434" s="14">
        <v>34</v>
      </c>
      <c r="N434" s="18" t="str" cm="1">
        <f t="array" ref="N434">_xlfn.IFS(Cleaned_Working_Sheet!$M434&lt;=34,"Young",Cleaned_Working_Sheet!$M434&lt;=54,"Middle-aged",Cleaned_Working_Sheet!$M434&gt;54,"Old")</f>
        <v>Young</v>
      </c>
      <c r="O434" s="18" t="s">
        <v>15</v>
      </c>
    </row>
    <row r="435" spans="1:15" x14ac:dyDescent="0.25">
      <c r="A435" s="14">
        <v>27814</v>
      </c>
      <c r="B435" s="18" t="s">
        <v>37</v>
      </c>
      <c r="C435" s="18" t="s">
        <v>38</v>
      </c>
      <c r="D435" s="6">
        <v>30000</v>
      </c>
      <c r="E435" s="18" t="str" cm="1">
        <f t="array" ref="E435">_xlfn.IFS(Cleaned_Working_Sheet!$D435&lt;=50000,"Low Income",Cleaned_Working_Sheet!$D435&lt;100000,"Middle Income",TRUE,"High Income")</f>
        <v>Low Income</v>
      </c>
      <c r="F435" s="16">
        <v>3</v>
      </c>
      <c r="G435" s="18" t="s">
        <v>19</v>
      </c>
      <c r="H435" s="18" t="s">
        <v>20</v>
      </c>
      <c r="I435" s="18" t="s">
        <v>18</v>
      </c>
      <c r="J435" s="16">
        <v>1</v>
      </c>
      <c r="K435" s="18" t="s">
        <v>16</v>
      </c>
      <c r="L435" s="18" t="s">
        <v>17</v>
      </c>
      <c r="M435" s="14">
        <v>26</v>
      </c>
      <c r="N435" s="18" t="str" cm="1">
        <f t="array" ref="N435">_xlfn.IFS(Cleaned_Working_Sheet!$M435&lt;=34,"Young",Cleaned_Working_Sheet!$M435&lt;=54,"Middle-aged",Cleaned_Working_Sheet!$M435&gt;54,"Old")</f>
        <v>Young</v>
      </c>
      <c r="O435" s="18" t="s">
        <v>18</v>
      </c>
    </row>
    <row r="436" spans="1:15" x14ac:dyDescent="0.25">
      <c r="A436" s="14">
        <v>22175</v>
      </c>
      <c r="B436" s="18" t="s">
        <v>36</v>
      </c>
      <c r="C436" s="18" t="s">
        <v>38</v>
      </c>
      <c r="D436" s="6">
        <v>30000</v>
      </c>
      <c r="E436" s="18" t="str" cm="1">
        <f t="array" ref="E436">_xlfn.IFS(Cleaned_Working_Sheet!$D436&lt;=50000,"Low Income",Cleaned_Working_Sheet!$D436&lt;100000,"Middle Income",TRUE,"High Income")</f>
        <v>Low Income</v>
      </c>
      <c r="F436" s="16">
        <v>3</v>
      </c>
      <c r="G436" s="18" t="s">
        <v>27</v>
      </c>
      <c r="H436" s="18" t="s">
        <v>14</v>
      </c>
      <c r="I436" s="18" t="s">
        <v>15</v>
      </c>
      <c r="J436" s="16">
        <v>2</v>
      </c>
      <c r="K436" s="18" t="s">
        <v>23</v>
      </c>
      <c r="L436" s="18" t="s">
        <v>24</v>
      </c>
      <c r="M436" s="14">
        <v>53</v>
      </c>
      <c r="N436" s="18" t="str" cm="1">
        <f t="array" ref="N436">_xlfn.IFS(Cleaned_Working_Sheet!$M436&lt;=34,"Young",Cleaned_Working_Sheet!$M436&lt;=54,"Middle-aged",Cleaned_Working_Sheet!$M436&gt;54,"Old")</f>
        <v>Middle-aged</v>
      </c>
      <c r="O436" s="18" t="s">
        <v>15</v>
      </c>
    </row>
    <row r="437" spans="1:15" x14ac:dyDescent="0.25">
      <c r="A437" s="14">
        <v>29447</v>
      </c>
      <c r="B437" s="18" t="s">
        <v>37</v>
      </c>
      <c r="C437" s="18" t="s">
        <v>38</v>
      </c>
      <c r="D437" s="6">
        <v>10000</v>
      </c>
      <c r="E437" s="18" t="str" cm="1">
        <f t="array" ref="E437">_xlfn.IFS(Cleaned_Working_Sheet!$D437&lt;=50000,"Low Income",Cleaned_Working_Sheet!$D437&lt;100000,"Middle Income",TRUE,"High Income")</f>
        <v>Low Income</v>
      </c>
      <c r="F437" s="16">
        <v>2</v>
      </c>
      <c r="G437" s="18" t="s">
        <v>13</v>
      </c>
      <c r="H437" s="18" t="s">
        <v>20</v>
      </c>
      <c r="I437" s="18" t="s">
        <v>18</v>
      </c>
      <c r="J437" s="16">
        <v>1</v>
      </c>
      <c r="K437" s="18" t="s">
        <v>22</v>
      </c>
      <c r="L437" s="18" t="s">
        <v>17</v>
      </c>
      <c r="M437" s="14">
        <v>68</v>
      </c>
      <c r="N437" s="18" t="str" cm="1">
        <f t="array" ref="N437">_xlfn.IFS(Cleaned_Working_Sheet!$M437&lt;=34,"Young",Cleaned_Working_Sheet!$M437&lt;=54,"Middle-aged",Cleaned_Working_Sheet!$M437&gt;54,"Old")</f>
        <v>Old</v>
      </c>
      <c r="O437" s="18" t="s">
        <v>18</v>
      </c>
    </row>
    <row r="438" spans="1:15" x14ac:dyDescent="0.25">
      <c r="A438" s="14">
        <v>19784</v>
      </c>
      <c r="B438" s="18" t="s">
        <v>36</v>
      </c>
      <c r="C438" s="18" t="s">
        <v>38</v>
      </c>
      <c r="D438" s="6">
        <v>80000</v>
      </c>
      <c r="E438" s="18" t="str" cm="1">
        <f t="array" ref="E438">_xlfn.IFS(Cleaned_Working_Sheet!$D438&lt;=50000,"Low Income",Cleaned_Working_Sheet!$D438&lt;100000,"Middle Income",TRUE,"High Income")</f>
        <v>Middle Income</v>
      </c>
      <c r="F438" s="16">
        <v>2</v>
      </c>
      <c r="G438" s="18" t="s">
        <v>27</v>
      </c>
      <c r="H438" s="18" t="s">
        <v>14</v>
      </c>
      <c r="I438" s="18" t="s">
        <v>15</v>
      </c>
      <c r="J438" s="16">
        <v>2</v>
      </c>
      <c r="K438" s="18" t="s">
        <v>23</v>
      </c>
      <c r="L438" s="18" t="s">
        <v>24</v>
      </c>
      <c r="M438" s="14">
        <v>50</v>
      </c>
      <c r="N438" s="18" t="str" cm="1">
        <f t="array" ref="N438">_xlfn.IFS(Cleaned_Working_Sheet!$M438&lt;=34,"Young",Cleaned_Working_Sheet!$M438&lt;=54,"Middle-aged",Cleaned_Working_Sheet!$M438&gt;54,"Old")</f>
        <v>Middle-aged</v>
      </c>
      <c r="O438" s="18" t="s">
        <v>15</v>
      </c>
    </row>
    <row r="439" spans="1:15" x14ac:dyDescent="0.25">
      <c r="A439" s="14">
        <v>27824</v>
      </c>
      <c r="B439" s="18" t="s">
        <v>37</v>
      </c>
      <c r="C439" s="18" t="s">
        <v>38</v>
      </c>
      <c r="D439" s="6">
        <v>30000</v>
      </c>
      <c r="E439" s="18" t="str" cm="1">
        <f t="array" ref="E439">_xlfn.IFS(Cleaned_Working_Sheet!$D439&lt;=50000,"Low Income",Cleaned_Working_Sheet!$D439&lt;100000,"Middle Income",TRUE,"High Income")</f>
        <v>Low Income</v>
      </c>
      <c r="F439" s="16">
        <v>3</v>
      </c>
      <c r="G439" s="18" t="s">
        <v>19</v>
      </c>
      <c r="H439" s="18" t="s">
        <v>20</v>
      </c>
      <c r="I439" s="18" t="s">
        <v>15</v>
      </c>
      <c r="J439" s="16">
        <v>2</v>
      </c>
      <c r="K439" s="18" t="s">
        <v>16</v>
      </c>
      <c r="L439" s="18" t="s">
        <v>17</v>
      </c>
      <c r="M439" s="14">
        <v>28</v>
      </c>
      <c r="N439" s="18" t="str" cm="1">
        <f t="array" ref="N439">_xlfn.IFS(Cleaned_Working_Sheet!$M439&lt;=34,"Young",Cleaned_Working_Sheet!$M439&lt;=54,"Middle-aged",Cleaned_Working_Sheet!$M439&gt;54,"Old")</f>
        <v>Young</v>
      </c>
      <c r="O439" s="18" t="s">
        <v>15</v>
      </c>
    </row>
    <row r="440" spans="1:15" x14ac:dyDescent="0.25">
      <c r="A440" s="14">
        <v>24093</v>
      </c>
      <c r="B440" s="18" t="s">
        <v>37</v>
      </c>
      <c r="C440" s="18" t="s">
        <v>38</v>
      </c>
      <c r="D440" s="6">
        <v>80000</v>
      </c>
      <c r="E440" s="18" t="str" cm="1">
        <f t="array" ref="E440">_xlfn.IFS(Cleaned_Working_Sheet!$D440&lt;=50000,"Low Income",Cleaned_Working_Sheet!$D440&lt;100000,"Middle Income",TRUE,"High Income")</f>
        <v>Middle Income</v>
      </c>
      <c r="F440" s="16">
        <v>0</v>
      </c>
      <c r="G440" s="18" t="s">
        <v>31</v>
      </c>
      <c r="H440" s="18" t="s">
        <v>14</v>
      </c>
      <c r="I440" s="18" t="s">
        <v>18</v>
      </c>
      <c r="J440" s="16">
        <v>0</v>
      </c>
      <c r="K440" s="18" t="s">
        <v>16</v>
      </c>
      <c r="L440" s="18" t="s">
        <v>17</v>
      </c>
      <c r="M440" s="14">
        <v>40</v>
      </c>
      <c r="N440" s="18" t="str" cm="1">
        <f t="array" ref="N440">_xlfn.IFS(Cleaned_Working_Sheet!$M440&lt;=34,"Young",Cleaned_Working_Sheet!$M440&lt;=54,"Middle-aged",Cleaned_Working_Sheet!$M440&gt;54,"Old")</f>
        <v>Middle-aged</v>
      </c>
      <c r="O440" s="18" t="s">
        <v>15</v>
      </c>
    </row>
    <row r="441" spans="1:15" x14ac:dyDescent="0.25">
      <c r="A441" s="14">
        <v>19618</v>
      </c>
      <c r="B441" s="18" t="s">
        <v>36</v>
      </c>
      <c r="C441" s="18" t="s">
        <v>39</v>
      </c>
      <c r="D441" s="6">
        <v>70000</v>
      </c>
      <c r="E441" s="18" t="str" cm="1">
        <f t="array" ref="E441">_xlfn.IFS(Cleaned_Working_Sheet!$D441&lt;=50000,"Low Income",Cleaned_Working_Sheet!$D441&lt;100000,"Middle Income",TRUE,"High Income")</f>
        <v>Middle Income</v>
      </c>
      <c r="F441" s="16">
        <v>5</v>
      </c>
      <c r="G441" s="18" t="s">
        <v>19</v>
      </c>
      <c r="H441" s="18" t="s">
        <v>14</v>
      </c>
      <c r="I441" s="18" t="s">
        <v>15</v>
      </c>
      <c r="J441" s="16">
        <v>2</v>
      </c>
      <c r="K441" s="18" t="s">
        <v>16</v>
      </c>
      <c r="L441" s="18" t="s">
        <v>24</v>
      </c>
      <c r="M441" s="14">
        <v>44</v>
      </c>
      <c r="N441" s="18" t="str" cm="1">
        <f t="array" ref="N441">_xlfn.IFS(Cleaned_Working_Sheet!$M441&lt;=34,"Young",Cleaned_Working_Sheet!$M441&lt;=54,"Middle-aged",Cleaned_Working_Sheet!$M441&gt;54,"Old")</f>
        <v>Middle-aged</v>
      </c>
      <c r="O441" s="18" t="s">
        <v>18</v>
      </c>
    </row>
    <row r="442" spans="1:15" x14ac:dyDescent="0.25">
      <c r="A442" s="14">
        <v>21561</v>
      </c>
      <c r="B442" s="18" t="s">
        <v>37</v>
      </c>
      <c r="C442" s="18" t="s">
        <v>39</v>
      </c>
      <c r="D442" s="6">
        <v>90000</v>
      </c>
      <c r="E442" s="18" t="str" cm="1">
        <f t="array" ref="E442">_xlfn.IFS(Cleaned_Working_Sheet!$D442&lt;=50000,"Low Income",Cleaned_Working_Sheet!$D442&lt;100000,"Middle Income",TRUE,"High Income")</f>
        <v>Middle Income</v>
      </c>
      <c r="F442" s="16">
        <v>0</v>
      </c>
      <c r="G442" s="18" t="s">
        <v>13</v>
      </c>
      <c r="H442" s="18" t="s">
        <v>21</v>
      </c>
      <c r="I442" s="18" t="s">
        <v>18</v>
      </c>
      <c r="J442" s="16">
        <v>3</v>
      </c>
      <c r="K442" s="18" t="s">
        <v>43</v>
      </c>
      <c r="L442" s="18" t="s">
        <v>24</v>
      </c>
      <c r="M442" s="14">
        <v>34</v>
      </c>
      <c r="N442" s="18" t="str" cm="1">
        <f t="array" ref="N442">_xlfn.IFS(Cleaned_Working_Sheet!$M442&lt;=34,"Young",Cleaned_Working_Sheet!$M442&lt;=54,"Middle-aged",Cleaned_Working_Sheet!$M442&gt;54,"Old")</f>
        <v>Young</v>
      </c>
      <c r="O442" s="18" t="s">
        <v>15</v>
      </c>
    </row>
    <row r="443" spans="1:15" x14ac:dyDescent="0.25">
      <c r="A443" s="14">
        <v>11061</v>
      </c>
      <c r="B443" s="18" t="s">
        <v>36</v>
      </c>
      <c r="C443" s="18" t="s">
        <v>39</v>
      </c>
      <c r="D443" s="6">
        <v>70000</v>
      </c>
      <c r="E443" s="18" t="str" cm="1">
        <f t="array" ref="E443">_xlfn.IFS(Cleaned_Working_Sheet!$D443&lt;=50000,"Low Income",Cleaned_Working_Sheet!$D443&lt;100000,"Middle Income",TRUE,"High Income")</f>
        <v>Middle Income</v>
      </c>
      <c r="F443" s="16">
        <v>2</v>
      </c>
      <c r="G443" s="18" t="s">
        <v>19</v>
      </c>
      <c r="H443" s="18" t="s">
        <v>14</v>
      </c>
      <c r="I443" s="18" t="s">
        <v>15</v>
      </c>
      <c r="J443" s="16">
        <v>2</v>
      </c>
      <c r="K443" s="18" t="s">
        <v>23</v>
      </c>
      <c r="L443" s="18" t="s">
        <v>24</v>
      </c>
      <c r="M443" s="14">
        <v>52</v>
      </c>
      <c r="N443" s="18" t="str" cm="1">
        <f t="array" ref="N443">_xlfn.IFS(Cleaned_Working_Sheet!$M443&lt;=34,"Young",Cleaned_Working_Sheet!$M443&lt;=54,"Middle-aged",Cleaned_Working_Sheet!$M443&gt;54,"Old")</f>
        <v>Middle-aged</v>
      </c>
      <c r="O443" s="18" t="s">
        <v>15</v>
      </c>
    </row>
    <row r="444" spans="1:15" x14ac:dyDescent="0.25">
      <c r="A444" s="14">
        <v>26651</v>
      </c>
      <c r="B444" s="18" t="s">
        <v>37</v>
      </c>
      <c r="C444" s="18" t="s">
        <v>39</v>
      </c>
      <c r="D444" s="6">
        <v>80000</v>
      </c>
      <c r="E444" s="18" t="str" cm="1">
        <f t="array" ref="E444">_xlfn.IFS(Cleaned_Working_Sheet!$D444&lt;=50000,"Low Income",Cleaned_Working_Sheet!$D444&lt;100000,"Middle Income",TRUE,"High Income")</f>
        <v>Middle Income</v>
      </c>
      <c r="F444" s="16">
        <v>4</v>
      </c>
      <c r="G444" s="18" t="s">
        <v>31</v>
      </c>
      <c r="H444" s="18" t="s">
        <v>28</v>
      </c>
      <c r="I444" s="18" t="s">
        <v>15</v>
      </c>
      <c r="J444" s="16">
        <v>0</v>
      </c>
      <c r="K444" s="18" t="s">
        <v>16</v>
      </c>
      <c r="L444" s="18" t="s">
        <v>24</v>
      </c>
      <c r="M444" s="14">
        <v>36</v>
      </c>
      <c r="N444" s="18" t="str" cm="1">
        <f t="array" ref="N444">_xlfn.IFS(Cleaned_Working_Sheet!$M444&lt;=34,"Young",Cleaned_Working_Sheet!$M444&lt;=54,"Middle-aged",Cleaned_Working_Sheet!$M444&gt;54,"Old")</f>
        <v>Middle-aged</v>
      </c>
      <c r="O444" s="18" t="s">
        <v>15</v>
      </c>
    </row>
    <row r="445" spans="1:15" x14ac:dyDescent="0.25">
      <c r="A445" s="14">
        <v>21108</v>
      </c>
      <c r="B445" s="18" t="s">
        <v>36</v>
      </c>
      <c r="C445" s="18" t="s">
        <v>38</v>
      </c>
      <c r="D445" s="6">
        <v>40000</v>
      </c>
      <c r="E445" s="18" t="str" cm="1">
        <f t="array" ref="E445">_xlfn.IFS(Cleaned_Working_Sheet!$D445&lt;=50000,"Low Income",Cleaned_Working_Sheet!$D445&lt;100000,"Middle Income",TRUE,"High Income")</f>
        <v>Low Income</v>
      </c>
      <c r="F445" s="16">
        <v>1</v>
      </c>
      <c r="G445" s="18" t="s">
        <v>13</v>
      </c>
      <c r="H445" s="18" t="s">
        <v>14</v>
      </c>
      <c r="I445" s="18" t="s">
        <v>15</v>
      </c>
      <c r="J445" s="16">
        <v>1</v>
      </c>
      <c r="K445" s="18" t="s">
        <v>16</v>
      </c>
      <c r="L445" s="18" t="s">
        <v>17</v>
      </c>
      <c r="M445" s="14">
        <v>43</v>
      </c>
      <c r="N445" s="18" t="str" cm="1">
        <f t="array" ref="N445">_xlfn.IFS(Cleaned_Working_Sheet!$M445&lt;=34,"Young",Cleaned_Working_Sheet!$M445&lt;=54,"Middle-aged",Cleaned_Working_Sheet!$M445&gt;54,"Old")</f>
        <v>Middle-aged</v>
      </c>
      <c r="O445" s="18" t="s">
        <v>15</v>
      </c>
    </row>
    <row r="446" spans="1:15" x14ac:dyDescent="0.25">
      <c r="A446" s="14">
        <v>12731</v>
      </c>
      <c r="B446" s="18" t="s">
        <v>37</v>
      </c>
      <c r="C446" s="18" t="s">
        <v>39</v>
      </c>
      <c r="D446" s="6">
        <v>30000</v>
      </c>
      <c r="E446" s="18" t="str" cm="1">
        <f t="array" ref="E446">_xlfn.IFS(Cleaned_Working_Sheet!$D446&lt;=50000,"Low Income",Cleaned_Working_Sheet!$D446&lt;100000,"Middle Income",TRUE,"High Income")</f>
        <v>Low Income</v>
      </c>
      <c r="F446" s="16">
        <v>0</v>
      </c>
      <c r="G446" s="18" t="s">
        <v>27</v>
      </c>
      <c r="H446" s="18" t="s">
        <v>25</v>
      </c>
      <c r="I446" s="18" t="s">
        <v>18</v>
      </c>
      <c r="J446" s="16">
        <v>1</v>
      </c>
      <c r="K446" s="18" t="s">
        <v>26</v>
      </c>
      <c r="L446" s="18" t="s">
        <v>17</v>
      </c>
      <c r="M446" s="14">
        <v>32</v>
      </c>
      <c r="N446" s="18" t="str" cm="1">
        <f t="array" ref="N446">_xlfn.IFS(Cleaned_Working_Sheet!$M446&lt;=34,"Young",Cleaned_Working_Sheet!$M446&lt;=54,"Middle-aged",Cleaned_Working_Sheet!$M446&gt;54,"Old")</f>
        <v>Young</v>
      </c>
      <c r="O446" s="18" t="s">
        <v>18</v>
      </c>
    </row>
    <row r="447" spans="1:15" x14ac:dyDescent="0.25">
      <c r="A447" s="14">
        <v>25307</v>
      </c>
      <c r="B447" s="18" t="s">
        <v>36</v>
      </c>
      <c r="C447" s="18" t="s">
        <v>38</v>
      </c>
      <c r="D447" s="6">
        <v>40000</v>
      </c>
      <c r="E447" s="18" t="str" cm="1">
        <f t="array" ref="E447">_xlfn.IFS(Cleaned_Working_Sheet!$D447&lt;=50000,"Low Income",Cleaned_Working_Sheet!$D447&lt;100000,"Middle Income",TRUE,"High Income")</f>
        <v>Low Income</v>
      </c>
      <c r="F447" s="16">
        <v>1</v>
      </c>
      <c r="G447" s="18" t="s">
        <v>13</v>
      </c>
      <c r="H447" s="18" t="s">
        <v>14</v>
      </c>
      <c r="I447" s="18" t="s">
        <v>15</v>
      </c>
      <c r="J447" s="16">
        <v>1</v>
      </c>
      <c r="K447" s="18" t="s">
        <v>26</v>
      </c>
      <c r="L447" s="18" t="s">
        <v>17</v>
      </c>
      <c r="M447" s="14">
        <v>32</v>
      </c>
      <c r="N447" s="18" t="str" cm="1">
        <f t="array" ref="N447">_xlfn.IFS(Cleaned_Working_Sheet!$M447&lt;=34,"Young",Cleaned_Working_Sheet!$M447&lt;=54,"Middle-aged",Cleaned_Working_Sheet!$M447&gt;54,"Old")</f>
        <v>Young</v>
      </c>
      <c r="O447" s="18" t="s">
        <v>15</v>
      </c>
    </row>
    <row r="448" spans="1:15" x14ac:dyDescent="0.25">
      <c r="A448" s="14">
        <v>14278</v>
      </c>
      <c r="B448" s="18" t="s">
        <v>36</v>
      </c>
      <c r="C448" s="18" t="s">
        <v>38</v>
      </c>
      <c r="D448" s="6">
        <v>130000</v>
      </c>
      <c r="E448" s="18" t="str" cm="1">
        <f t="array" ref="E448">_xlfn.IFS(Cleaned_Working_Sheet!$D448&lt;=50000,"Low Income",Cleaned_Working_Sheet!$D448&lt;100000,"Middle Income",TRUE,"High Income")</f>
        <v>High Income</v>
      </c>
      <c r="F448" s="16">
        <v>0</v>
      </c>
      <c r="G448" s="18" t="s">
        <v>31</v>
      </c>
      <c r="H448" s="18" t="s">
        <v>28</v>
      </c>
      <c r="I448" s="18" t="s">
        <v>15</v>
      </c>
      <c r="J448" s="16">
        <v>1</v>
      </c>
      <c r="K448" s="18" t="s">
        <v>43</v>
      </c>
      <c r="L448" s="18" t="s">
        <v>24</v>
      </c>
      <c r="M448" s="14">
        <v>48</v>
      </c>
      <c r="N448" s="18" t="str" cm="1">
        <f t="array" ref="N448">_xlfn.IFS(Cleaned_Working_Sheet!$M448&lt;=34,"Young",Cleaned_Working_Sheet!$M448&lt;=54,"Middle-aged",Cleaned_Working_Sheet!$M448&gt;54,"Old")</f>
        <v>Middle-aged</v>
      </c>
      <c r="O448" s="18" t="s">
        <v>18</v>
      </c>
    </row>
    <row r="449" spans="1:15" x14ac:dyDescent="0.25">
      <c r="A449" s="14">
        <v>20711</v>
      </c>
      <c r="B449" s="18" t="s">
        <v>36</v>
      </c>
      <c r="C449" s="18" t="s">
        <v>38</v>
      </c>
      <c r="D449" s="6">
        <v>40000</v>
      </c>
      <c r="E449" s="18" t="str" cm="1">
        <f t="array" ref="E449">_xlfn.IFS(Cleaned_Working_Sheet!$D449&lt;=50000,"Low Income",Cleaned_Working_Sheet!$D449&lt;100000,"Middle Income",TRUE,"High Income")</f>
        <v>Low Income</v>
      </c>
      <c r="F449" s="16">
        <v>1</v>
      </c>
      <c r="G449" s="18" t="s">
        <v>13</v>
      </c>
      <c r="H449" s="18" t="s">
        <v>14</v>
      </c>
      <c r="I449" s="18" t="s">
        <v>15</v>
      </c>
      <c r="J449" s="16">
        <v>0</v>
      </c>
      <c r="K449" s="18" t="s">
        <v>26</v>
      </c>
      <c r="L449" s="18" t="s">
        <v>17</v>
      </c>
      <c r="M449" s="14">
        <v>32</v>
      </c>
      <c r="N449" s="18" t="str" cm="1">
        <f t="array" ref="N449">_xlfn.IFS(Cleaned_Working_Sheet!$M449&lt;=34,"Young",Cleaned_Working_Sheet!$M449&lt;=54,"Middle-aged",Cleaned_Working_Sheet!$M449&gt;54,"Old")</f>
        <v>Young</v>
      </c>
      <c r="O449" s="18" t="s">
        <v>15</v>
      </c>
    </row>
    <row r="450" spans="1:15" x14ac:dyDescent="0.25">
      <c r="A450" s="14">
        <v>11383</v>
      </c>
      <c r="B450" s="18" t="s">
        <v>36</v>
      </c>
      <c r="C450" s="18" t="s">
        <v>38</v>
      </c>
      <c r="D450" s="6">
        <v>30000</v>
      </c>
      <c r="E450" s="18" t="str" cm="1">
        <f t="array" ref="E450">_xlfn.IFS(Cleaned_Working_Sheet!$D450&lt;=50000,"Low Income",Cleaned_Working_Sheet!$D450&lt;100000,"Middle Income",TRUE,"High Income")</f>
        <v>Low Income</v>
      </c>
      <c r="F450" s="16">
        <v>3</v>
      </c>
      <c r="G450" s="18" t="s">
        <v>31</v>
      </c>
      <c r="H450" s="18" t="s">
        <v>20</v>
      </c>
      <c r="I450" s="18" t="s">
        <v>15</v>
      </c>
      <c r="J450" s="16">
        <v>0</v>
      </c>
      <c r="K450" s="18" t="s">
        <v>16</v>
      </c>
      <c r="L450" s="18" t="s">
        <v>17</v>
      </c>
      <c r="M450" s="14">
        <v>46</v>
      </c>
      <c r="N450" s="18" t="str" cm="1">
        <f t="array" ref="N450">_xlfn.IFS(Cleaned_Working_Sheet!$M450&lt;=34,"Young",Cleaned_Working_Sheet!$M450&lt;=54,"Middle-aged",Cleaned_Working_Sheet!$M450&gt;54,"Old")</f>
        <v>Middle-aged</v>
      </c>
      <c r="O450" s="18" t="s">
        <v>18</v>
      </c>
    </row>
    <row r="451" spans="1:15" x14ac:dyDescent="0.25">
      <c r="A451" s="14">
        <v>12497</v>
      </c>
      <c r="B451" s="18" t="s">
        <v>36</v>
      </c>
      <c r="C451" s="18" t="s">
        <v>38</v>
      </c>
      <c r="D451" s="6">
        <v>40000</v>
      </c>
      <c r="E451" s="18" t="str" cm="1">
        <f t="array" ref="E451">_xlfn.IFS(Cleaned_Working_Sheet!$D451&lt;=50000,"Low Income",Cleaned_Working_Sheet!$D451&lt;100000,"Middle Income",TRUE,"High Income")</f>
        <v>Low Income</v>
      </c>
      <c r="F451" s="16">
        <v>1</v>
      </c>
      <c r="G451" s="18" t="s">
        <v>13</v>
      </c>
      <c r="H451" s="18" t="s">
        <v>14</v>
      </c>
      <c r="I451" s="18" t="s">
        <v>15</v>
      </c>
      <c r="J451" s="16">
        <v>0</v>
      </c>
      <c r="K451" s="18" t="s">
        <v>16</v>
      </c>
      <c r="L451" s="18" t="s">
        <v>17</v>
      </c>
      <c r="M451" s="14">
        <v>42</v>
      </c>
      <c r="N451" s="18" t="str" cm="1">
        <f t="array" ref="N451">_xlfn.IFS(Cleaned_Working_Sheet!$M451&lt;=34,"Young",Cleaned_Working_Sheet!$M451&lt;=54,"Middle-aged",Cleaned_Working_Sheet!$M451&gt;54,"Old")</f>
        <v>Middle-aged</v>
      </c>
      <c r="O451" s="18" t="s">
        <v>18</v>
      </c>
    </row>
    <row r="452" spans="1:15" x14ac:dyDescent="0.25">
      <c r="A452" s="14">
        <v>16559</v>
      </c>
      <c r="B452" s="18" t="s">
        <v>37</v>
      </c>
      <c r="C452" s="18" t="s">
        <v>38</v>
      </c>
      <c r="D452" s="6">
        <v>10000</v>
      </c>
      <c r="E452" s="18" t="str" cm="1">
        <f t="array" ref="E452">_xlfn.IFS(Cleaned_Working_Sheet!$D452&lt;=50000,"Low Income",Cleaned_Working_Sheet!$D452&lt;100000,"Middle Income",TRUE,"High Income")</f>
        <v>Low Income</v>
      </c>
      <c r="F452" s="16">
        <v>2</v>
      </c>
      <c r="G452" s="18" t="s">
        <v>27</v>
      </c>
      <c r="H452" s="18" t="s">
        <v>25</v>
      </c>
      <c r="I452" s="18" t="s">
        <v>15</v>
      </c>
      <c r="J452" s="16">
        <v>0</v>
      </c>
      <c r="K452" s="18" t="s">
        <v>16</v>
      </c>
      <c r="L452" s="18" t="s">
        <v>17</v>
      </c>
      <c r="M452" s="14">
        <v>36</v>
      </c>
      <c r="N452" s="18" t="str" cm="1">
        <f t="array" ref="N452">_xlfn.IFS(Cleaned_Working_Sheet!$M452&lt;=34,"Young",Cleaned_Working_Sheet!$M452&lt;=54,"Middle-aged",Cleaned_Working_Sheet!$M452&gt;54,"Old")</f>
        <v>Middle-aged</v>
      </c>
      <c r="O452" s="18" t="s">
        <v>15</v>
      </c>
    </row>
    <row r="453" spans="1:15" x14ac:dyDescent="0.25">
      <c r="A453" s="14">
        <v>11585</v>
      </c>
      <c r="B453" s="18" t="s">
        <v>36</v>
      </c>
      <c r="C453" s="18" t="s">
        <v>38</v>
      </c>
      <c r="D453" s="6">
        <v>40000</v>
      </c>
      <c r="E453" s="18" t="str" cm="1">
        <f t="array" ref="E453">_xlfn.IFS(Cleaned_Working_Sheet!$D453&lt;=50000,"Low Income",Cleaned_Working_Sheet!$D453&lt;100000,"Middle Income",TRUE,"High Income")</f>
        <v>Low Income</v>
      </c>
      <c r="F453" s="16">
        <v>1</v>
      </c>
      <c r="G453" s="18" t="s">
        <v>13</v>
      </c>
      <c r="H453" s="18" t="s">
        <v>14</v>
      </c>
      <c r="I453" s="18" t="s">
        <v>15</v>
      </c>
      <c r="J453" s="16">
        <v>0</v>
      </c>
      <c r="K453" s="18" t="s">
        <v>16</v>
      </c>
      <c r="L453" s="18" t="s">
        <v>17</v>
      </c>
      <c r="M453" s="14">
        <v>41</v>
      </c>
      <c r="N453" s="18" t="str" cm="1">
        <f t="array" ref="N453">_xlfn.IFS(Cleaned_Working_Sheet!$M453&lt;=34,"Young",Cleaned_Working_Sheet!$M453&lt;=54,"Middle-aged",Cleaned_Working_Sheet!$M453&gt;54,"Old")</f>
        <v>Middle-aged</v>
      </c>
      <c r="O453" s="18" t="s">
        <v>18</v>
      </c>
    </row>
    <row r="454" spans="1:15" x14ac:dyDescent="0.25">
      <c r="A454" s="14">
        <v>20277</v>
      </c>
      <c r="B454" s="18" t="s">
        <v>36</v>
      </c>
      <c r="C454" s="18" t="s">
        <v>38</v>
      </c>
      <c r="D454" s="6">
        <v>30000</v>
      </c>
      <c r="E454" s="18" t="str" cm="1">
        <f t="array" ref="E454">_xlfn.IFS(Cleaned_Working_Sheet!$D454&lt;=50000,"Low Income",Cleaned_Working_Sheet!$D454&lt;100000,"Middle Income",TRUE,"High Income")</f>
        <v>Low Income</v>
      </c>
      <c r="F454" s="16">
        <v>2</v>
      </c>
      <c r="G454" s="18" t="s">
        <v>19</v>
      </c>
      <c r="H454" s="18" t="s">
        <v>20</v>
      </c>
      <c r="I454" s="18" t="s">
        <v>18</v>
      </c>
      <c r="J454" s="16">
        <v>2</v>
      </c>
      <c r="K454" s="18" t="s">
        <v>16</v>
      </c>
      <c r="L454" s="18" t="s">
        <v>24</v>
      </c>
      <c r="M454" s="14">
        <v>69</v>
      </c>
      <c r="N454" s="18" t="str" cm="1">
        <f t="array" ref="N454">_xlfn.IFS(Cleaned_Working_Sheet!$M454&lt;=34,"Young",Cleaned_Working_Sheet!$M454&lt;=54,"Middle-aged",Cleaned_Working_Sheet!$M454&gt;54,"Old")</f>
        <v>Old</v>
      </c>
      <c r="O454" s="18" t="s">
        <v>18</v>
      </c>
    </row>
    <row r="455" spans="1:15" x14ac:dyDescent="0.25">
      <c r="A455" s="14">
        <v>26765</v>
      </c>
      <c r="B455" s="18" t="s">
        <v>37</v>
      </c>
      <c r="C455" s="18" t="s">
        <v>38</v>
      </c>
      <c r="D455" s="6">
        <v>70000</v>
      </c>
      <c r="E455" s="18" t="str" cm="1">
        <f t="array" ref="E455">_xlfn.IFS(Cleaned_Working_Sheet!$D455&lt;=50000,"Low Income",Cleaned_Working_Sheet!$D455&lt;100000,"Middle Income",TRUE,"High Income")</f>
        <v>Middle Income</v>
      </c>
      <c r="F455" s="16">
        <v>5</v>
      </c>
      <c r="G455" s="18" t="s">
        <v>19</v>
      </c>
      <c r="H455" s="18" t="s">
        <v>14</v>
      </c>
      <c r="I455" s="18" t="s">
        <v>15</v>
      </c>
      <c r="J455" s="16">
        <v>2</v>
      </c>
      <c r="K455" s="18" t="s">
        <v>23</v>
      </c>
      <c r="L455" s="18" t="s">
        <v>24</v>
      </c>
      <c r="M455" s="14">
        <v>45</v>
      </c>
      <c r="N455" s="18" t="str" cm="1">
        <f t="array" ref="N455">_xlfn.IFS(Cleaned_Working_Sheet!$M455&lt;=34,"Young",Cleaned_Working_Sheet!$M455&lt;=54,"Middle-aged",Cleaned_Working_Sheet!$M455&gt;54,"Old")</f>
        <v>Middle-aged</v>
      </c>
      <c r="O455" s="18" t="s">
        <v>18</v>
      </c>
    </row>
    <row r="456" spans="1:15" x14ac:dyDescent="0.25">
      <c r="A456" s="14">
        <v>12389</v>
      </c>
      <c r="B456" s="18" t="s">
        <v>37</v>
      </c>
      <c r="C456" s="18" t="s">
        <v>39</v>
      </c>
      <c r="D456" s="6">
        <v>30000</v>
      </c>
      <c r="E456" s="18" t="str" cm="1">
        <f t="array" ref="E456">_xlfn.IFS(Cleaned_Working_Sheet!$D456&lt;=50000,"Low Income",Cleaned_Working_Sheet!$D456&lt;100000,"Middle Income",TRUE,"High Income")</f>
        <v>Low Income</v>
      </c>
      <c r="F456" s="16">
        <v>0</v>
      </c>
      <c r="G456" s="18" t="s">
        <v>27</v>
      </c>
      <c r="H456" s="18" t="s">
        <v>25</v>
      </c>
      <c r="I456" s="18" t="s">
        <v>18</v>
      </c>
      <c r="J456" s="16">
        <v>1</v>
      </c>
      <c r="K456" s="18" t="s">
        <v>22</v>
      </c>
      <c r="L456" s="18" t="s">
        <v>17</v>
      </c>
      <c r="M456" s="14">
        <v>34</v>
      </c>
      <c r="N456" s="18" t="str" cm="1">
        <f t="array" ref="N456">_xlfn.IFS(Cleaned_Working_Sheet!$M456&lt;=34,"Young",Cleaned_Working_Sheet!$M456&lt;=54,"Middle-aged",Cleaned_Working_Sheet!$M456&gt;54,"Old")</f>
        <v>Young</v>
      </c>
      <c r="O456" s="18" t="s">
        <v>18</v>
      </c>
    </row>
    <row r="457" spans="1:15" x14ac:dyDescent="0.25">
      <c r="A457" s="14">
        <v>13585</v>
      </c>
      <c r="B457" s="18" t="s">
        <v>36</v>
      </c>
      <c r="C457" s="18" t="s">
        <v>38</v>
      </c>
      <c r="D457" s="6">
        <v>80000</v>
      </c>
      <c r="E457" s="18" t="str" cm="1">
        <f t="array" ref="E457">_xlfn.IFS(Cleaned_Working_Sheet!$D457&lt;=50000,"Low Income",Cleaned_Working_Sheet!$D457&lt;100000,"Middle Income",TRUE,"High Income")</f>
        <v>Middle Income</v>
      </c>
      <c r="F457" s="16">
        <v>4</v>
      </c>
      <c r="G457" s="18" t="s">
        <v>19</v>
      </c>
      <c r="H457" s="18" t="s">
        <v>21</v>
      </c>
      <c r="I457" s="18" t="s">
        <v>18</v>
      </c>
      <c r="J457" s="16">
        <v>1</v>
      </c>
      <c r="K457" s="18" t="s">
        <v>22</v>
      </c>
      <c r="L457" s="18" t="s">
        <v>17</v>
      </c>
      <c r="M457" s="14">
        <v>53</v>
      </c>
      <c r="N457" s="18" t="str" cm="1">
        <f t="array" ref="N457">_xlfn.IFS(Cleaned_Working_Sheet!$M457&lt;=34,"Young",Cleaned_Working_Sheet!$M457&lt;=54,"Middle-aged",Cleaned_Working_Sheet!$M457&gt;54,"Old")</f>
        <v>Middle-aged</v>
      </c>
      <c r="O457" s="18" t="s">
        <v>15</v>
      </c>
    </row>
    <row r="458" spans="1:15" x14ac:dyDescent="0.25">
      <c r="A458" s="14">
        <v>26385</v>
      </c>
      <c r="B458" s="18" t="s">
        <v>37</v>
      </c>
      <c r="C458" s="18" t="s">
        <v>39</v>
      </c>
      <c r="D458" s="6">
        <v>120000</v>
      </c>
      <c r="E458" s="18" t="str" cm="1">
        <f t="array" ref="E458">_xlfn.IFS(Cleaned_Working_Sheet!$D458&lt;=50000,"Low Income",Cleaned_Working_Sheet!$D458&lt;100000,"Middle Income",TRUE,"High Income")</f>
        <v>High Income</v>
      </c>
      <c r="F458" s="16">
        <v>3</v>
      </c>
      <c r="G458" s="18" t="s">
        <v>27</v>
      </c>
      <c r="H458" s="18" t="s">
        <v>21</v>
      </c>
      <c r="I458" s="18" t="s">
        <v>18</v>
      </c>
      <c r="J458" s="16">
        <v>4</v>
      </c>
      <c r="K458" s="18" t="s">
        <v>23</v>
      </c>
      <c r="L458" s="18" t="s">
        <v>17</v>
      </c>
      <c r="M458" s="14">
        <v>50</v>
      </c>
      <c r="N458" s="18" t="str" cm="1">
        <f t="array" ref="N458">_xlfn.IFS(Cleaned_Working_Sheet!$M458&lt;=34,"Young",Cleaned_Working_Sheet!$M458&lt;=54,"Middle-aged",Cleaned_Working_Sheet!$M458&gt;54,"Old")</f>
        <v>Middle-aged</v>
      </c>
      <c r="O458" s="18" t="s">
        <v>18</v>
      </c>
    </row>
    <row r="459" spans="1:15" x14ac:dyDescent="0.25">
      <c r="A459" s="14">
        <v>12236</v>
      </c>
      <c r="B459" s="18" t="s">
        <v>36</v>
      </c>
      <c r="C459" s="18" t="s">
        <v>38</v>
      </c>
      <c r="D459" s="6">
        <v>20000</v>
      </c>
      <c r="E459" s="18" t="str" cm="1">
        <f t="array" ref="E459">_xlfn.IFS(Cleaned_Working_Sheet!$D459&lt;=50000,"Low Income",Cleaned_Working_Sheet!$D459&lt;100000,"Middle Income",TRUE,"High Income")</f>
        <v>Low Income</v>
      </c>
      <c r="F459" s="16">
        <v>1</v>
      </c>
      <c r="G459" s="18" t="s">
        <v>19</v>
      </c>
      <c r="H459" s="18" t="s">
        <v>25</v>
      </c>
      <c r="I459" s="18" t="s">
        <v>15</v>
      </c>
      <c r="J459" s="16">
        <v>0</v>
      </c>
      <c r="K459" s="18" t="s">
        <v>16</v>
      </c>
      <c r="L459" s="18" t="s">
        <v>17</v>
      </c>
      <c r="M459" s="14">
        <v>65</v>
      </c>
      <c r="N459" s="18" t="str" cm="1">
        <f t="array" ref="N459">_xlfn.IFS(Cleaned_Working_Sheet!$M459&lt;=34,"Young",Cleaned_Working_Sheet!$M459&lt;=54,"Middle-aged",Cleaned_Working_Sheet!$M459&gt;54,"Old")</f>
        <v>Old</v>
      </c>
      <c r="O459" s="18" t="s">
        <v>18</v>
      </c>
    </row>
    <row r="460" spans="1:15" x14ac:dyDescent="0.25">
      <c r="A460" s="14">
        <v>21560</v>
      </c>
      <c r="B460" s="18" t="s">
        <v>36</v>
      </c>
      <c r="C460" s="18" t="s">
        <v>39</v>
      </c>
      <c r="D460" s="6">
        <v>120000</v>
      </c>
      <c r="E460" s="18" t="str" cm="1">
        <f t="array" ref="E460">_xlfn.IFS(Cleaned_Working_Sheet!$D460&lt;=50000,"Low Income",Cleaned_Working_Sheet!$D460&lt;100000,"Middle Income",TRUE,"High Income")</f>
        <v>High Income</v>
      </c>
      <c r="F460" s="16">
        <v>0</v>
      </c>
      <c r="G460" s="18" t="s">
        <v>29</v>
      </c>
      <c r="H460" s="18" t="s">
        <v>21</v>
      </c>
      <c r="I460" s="18" t="s">
        <v>15</v>
      </c>
      <c r="J460" s="16">
        <v>4</v>
      </c>
      <c r="K460" s="18" t="s">
        <v>43</v>
      </c>
      <c r="L460" s="18" t="s">
        <v>24</v>
      </c>
      <c r="M460" s="14">
        <v>32</v>
      </c>
      <c r="N460" s="18" t="str" cm="1">
        <f t="array" ref="N460">_xlfn.IFS(Cleaned_Working_Sheet!$M460&lt;=34,"Young",Cleaned_Working_Sheet!$M460&lt;=54,"Middle-aged",Cleaned_Working_Sheet!$M460&gt;54,"Old")</f>
        <v>Young</v>
      </c>
      <c r="O460" s="18" t="s">
        <v>15</v>
      </c>
    </row>
    <row r="461" spans="1:15" x14ac:dyDescent="0.25">
      <c r="A461" s="14">
        <v>21554</v>
      </c>
      <c r="B461" s="18" t="s">
        <v>37</v>
      </c>
      <c r="C461" s="18" t="s">
        <v>38</v>
      </c>
      <c r="D461" s="6">
        <v>80000</v>
      </c>
      <c r="E461" s="18" t="str" cm="1">
        <f t="array" ref="E461">_xlfn.IFS(Cleaned_Working_Sheet!$D461&lt;=50000,"Low Income",Cleaned_Working_Sheet!$D461&lt;100000,"Middle Income",TRUE,"High Income")</f>
        <v>Middle Income</v>
      </c>
      <c r="F461" s="16">
        <v>0</v>
      </c>
      <c r="G461" s="18" t="s">
        <v>13</v>
      </c>
      <c r="H461" s="18" t="s">
        <v>21</v>
      </c>
      <c r="I461" s="18" t="s">
        <v>18</v>
      </c>
      <c r="J461" s="16">
        <v>3</v>
      </c>
      <c r="K461" s="18" t="s">
        <v>43</v>
      </c>
      <c r="L461" s="18" t="s">
        <v>24</v>
      </c>
      <c r="M461" s="14">
        <v>33</v>
      </c>
      <c r="N461" s="18" t="str" cm="1">
        <f t="array" ref="N461">_xlfn.IFS(Cleaned_Working_Sheet!$M461&lt;=34,"Young",Cleaned_Working_Sheet!$M461&lt;=54,"Middle-aged",Cleaned_Working_Sheet!$M461&gt;54,"Old")</f>
        <v>Young</v>
      </c>
      <c r="O461" s="18" t="s">
        <v>18</v>
      </c>
    </row>
    <row r="462" spans="1:15" x14ac:dyDescent="0.25">
      <c r="A462" s="14">
        <v>13662</v>
      </c>
      <c r="B462" s="18" t="s">
        <v>37</v>
      </c>
      <c r="C462" s="18" t="s">
        <v>39</v>
      </c>
      <c r="D462" s="6">
        <v>20000</v>
      </c>
      <c r="E462" s="18" t="str" cm="1">
        <f t="array" ref="E462">_xlfn.IFS(Cleaned_Working_Sheet!$D462&lt;=50000,"Low Income",Cleaned_Working_Sheet!$D462&lt;100000,"Middle Income",TRUE,"High Income")</f>
        <v>Low Income</v>
      </c>
      <c r="F462" s="16">
        <v>0</v>
      </c>
      <c r="G462" s="18" t="s">
        <v>29</v>
      </c>
      <c r="H462" s="18" t="s">
        <v>25</v>
      </c>
      <c r="I462" s="18" t="s">
        <v>15</v>
      </c>
      <c r="J462" s="16">
        <v>2</v>
      </c>
      <c r="K462" s="18" t="s">
        <v>26</v>
      </c>
      <c r="L462" s="18" t="s">
        <v>17</v>
      </c>
      <c r="M462" s="14">
        <v>31</v>
      </c>
      <c r="N462" s="18" t="str" cm="1">
        <f t="array" ref="N462">_xlfn.IFS(Cleaned_Working_Sheet!$M462&lt;=34,"Young",Cleaned_Working_Sheet!$M462&lt;=54,"Middle-aged",Cleaned_Working_Sheet!$M462&gt;54,"Old")</f>
        <v>Young</v>
      </c>
      <c r="O462" s="18" t="s">
        <v>15</v>
      </c>
    </row>
    <row r="463" spans="1:15" x14ac:dyDescent="0.25">
      <c r="A463" s="14">
        <v>13089</v>
      </c>
      <c r="B463" s="18" t="s">
        <v>36</v>
      </c>
      <c r="C463" s="18" t="s">
        <v>38</v>
      </c>
      <c r="D463" s="6">
        <v>120000</v>
      </c>
      <c r="E463" s="18" t="str" cm="1">
        <f t="array" ref="E463">_xlfn.IFS(Cleaned_Working_Sheet!$D463&lt;=50000,"Low Income",Cleaned_Working_Sheet!$D463&lt;100000,"Middle Income",TRUE,"High Income")</f>
        <v>High Income</v>
      </c>
      <c r="F463" s="16">
        <v>1</v>
      </c>
      <c r="G463" s="18" t="s">
        <v>13</v>
      </c>
      <c r="H463" s="18" t="s">
        <v>28</v>
      </c>
      <c r="I463" s="18" t="s">
        <v>15</v>
      </c>
      <c r="J463" s="16">
        <v>2</v>
      </c>
      <c r="K463" s="18" t="s">
        <v>16</v>
      </c>
      <c r="L463" s="18" t="s">
        <v>24</v>
      </c>
      <c r="M463" s="14">
        <v>46</v>
      </c>
      <c r="N463" s="18" t="str" cm="1">
        <f t="array" ref="N463">_xlfn.IFS(Cleaned_Working_Sheet!$M463&lt;=34,"Young",Cleaned_Working_Sheet!$M463&lt;=54,"Middle-aged",Cleaned_Working_Sheet!$M463&gt;54,"Old")</f>
        <v>Middle-aged</v>
      </c>
      <c r="O463" s="18" t="s">
        <v>15</v>
      </c>
    </row>
    <row r="464" spans="1:15" x14ac:dyDescent="0.25">
      <c r="A464" s="14">
        <v>14791</v>
      </c>
      <c r="B464" s="18" t="s">
        <v>36</v>
      </c>
      <c r="C464" s="18" t="s">
        <v>38</v>
      </c>
      <c r="D464" s="6">
        <v>40000</v>
      </c>
      <c r="E464" s="18" t="str" cm="1">
        <f t="array" ref="E464">_xlfn.IFS(Cleaned_Working_Sheet!$D464&lt;=50000,"Low Income",Cleaned_Working_Sheet!$D464&lt;100000,"Middle Income",TRUE,"High Income")</f>
        <v>Low Income</v>
      </c>
      <c r="F464" s="16">
        <v>0</v>
      </c>
      <c r="G464" s="18" t="s">
        <v>13</v>
      </c>
      <c r="H464" s="18" t="s">
        <v>20</v>
      </c>
      <c r="I464" s="18" t="s">
        <v>15</v>
      </c>
      <c r="J464" s="16">
        <v>0</v>
      </c>
      <c r="K464" s="18" t="s">
        <v>16</v>
      </c>
      <c r="L464" s="18" t="s">
        <v>17</v>
      </c>
      <c r="M464" s="14">
        <v>39</v>
      </c>
      <c r="N464" s="18" t="str" cm="1">
        <f t="array" ref="N464">_xlfn.IFS(Cleaned_Working_Sheet!$M464&lt;=34,"Young",Cleaned_Working_Sheet!$M464&lt;=54,"Middle-aged",Cleaned_Working_Sheet!$M464&gt;54,"Old")</f>
        <v>Middle-aged</v>
      </c>
      <c r="O464" s="18" t="s">
        <v>15</v>
      </c>
    </row>
    <row r="465" spans="1:15" x14ac:dyDescent="0.25">
      <c r="A465" s="14">
        <v>19331</v>
      </c>
      <c r="B465" s="18" t="s">
        <v>37</v>
      </c>
      <c r="C465" s="18" t="s">
        <v>39</v>
      </c>
      <c r="D465" s="6">
        <v>20000</v>
      </c>
      <c r="E465" s="18" t="str" cm="1">
        <f t="array" ref="E465">_xlfn.IFS(Cleaned_Working_Sheet!$D465&lt;=50000,"Low Income",Cleaned_Working_Sheet!$D465&lt;100000,"Middle Income",TRUE,"High Income")</f>
        <v>Low Income</v>
      </c>
      <c r="F465" s="16">
        <v>2</v>
      </c>
      <c r="G465" s="18" t="s">
        <v>27</v>
      </c>
      <c r="H465" s="18" t="s">
        <v>25</v>
      </c>
      <c r="I465" s="18" t="s">
        <v>15</v>
      </c>
      <c r="J465" s="16">
        <v>1</v>
      </c>
      <c r="K465" s="18" t="s">
        <v>16</v>
      </c>
      <c r="L465" s="18" t="s">
        <v>17</v>
      </c>
      <c r="M465" s="14">
        <v>40</v>
      </c>
      <c r="N465" s="18" t="str" cm="1">
        <f t="array" ref="N465">_xlfn.IFS(Cleaned_Working_Sheet!$M465&lt;=34,"Young",Cleaned_Working_Sheet!$M465&lt;=54,"Middle-aged",Cleaned_Working_Sheet!$M465&gt;54,"Old")</f>
        <v>Middle-aged</v>
      </c>
      <c r="O465" s="18" t="s">
        <v>18</v>
      </c>
    </row>
    <row r="466" spans="1:15" x14ac:dyDescent="0.25">
      <c r="A466" s="14">
        <v>17754</v>
      </c>
      <c r="B466" s="18" t="s">
        <v>37</v>
      </c>
      <c r="C466" s="18" t="s">
        <v>38</v>
      </c>
      <c r="D466" s="6">
        <v>30000</v>
      </c>
      <c r="E466" s="18" t="str" cm="1">
        <f t="array" ref="E466">_xlfn.IFS(Cleaned_Working_Sheet!$D466&lt;=50000,"Low Income",Cleaned_Working_Sheet!$D466&lt;100000,"Middle Income",TRUE,"High Income")</f>
        <v>Low Income</v>
      </c>
      <c r="F466" s="16">
        <v>3</v>
      </c>
      <c r="G466" s="18" t="s">
        <v>13</v>
      </c>
      <c r="H466" s="18" t="s">
        <v>20</v>
      </c>
      <c r="I466" s="18" t="s">
        <v>15</v>
      </c>
      <c r="J466" s="16">
        <v>0</v>
      </c>
      <c r="K466" s="18" t="s">
        <v>16</v>
      </c>
      <c r="L466" s="18" t="s">
        <v>17</v>
      </c>
      <c r="M466" s="14">
        <v>46</v>
      </c>
      <c r="N466" s="18" t="str" cm="1">
        <f t="array" ref="N466">_xlfn.IFS(Cleaned_Working_Sheet!$M466&lt;=34,"Young",Cleaned_Working_Sheet!$M466&lt;=54,"Middle-aged",Cleaned_Working_Sheet!$M466&gt;54,"Old")</f>
        <v>Middle-aged</v>
      </c>
      <c r="O466" s="18" t="s">
        <v>15</v>
      </c>
    </row>
    <row r="467" spans="1:15" x14ac:dyDescent="0.25">
      <c r="A467" s="14">
        <v>11149</v>
      </c>
      <c r="B467" s="18" t="s">
        <v>36</v>
      </c>
      <c r="C467" s="18" t="s">
        <v>39</v>
      </c>
      <c r="D467" s="6">
        <v>40000</v>
      </c>
      <c r="E467" s="18" t="str" cm="1">
        <f t="array" ref="E467">_xlfn.IFS(Cleaned_Working_Sheet!$D467&lt;=50000,"Low Income",Cleaned_Working_Sheet!$D467&lt;100000,"Middle Income",TRUE,"High Income")</f>
        <v>Low Income</v>
      </c>
      <c r="F467" s="16">
        <v>2</v>
      </c>
      <c r="G467" s="18" t="s">
        <v>13</v>
      </c>
      <c r="H467" s="18" t="s">
        <v>28</v>
      </c>
      <c r="I467" s="18" t="s">
        <v>15</v>
      </c>
      <c r="J467" s="16">
        <v>2</v>
      </c>
      <c r="K467" s="18" t="s">
        <v>16</v>
      </c>
      <c r="L467" s="18" t="s">
        <v>24</v>
      </c>
      <c r="M467" s="14">
        <v>65</v>
      </c>
      <c r="N467" s="18" t="str" cm="1">
        <f t="array" ref="N467">_xlfn.IFS(Cleaned_Working_Sheet!$M467&lt;=34,"Young",Cleaned_Working_Sheet!$M467&lt;=54,"Middle-aged",Cleaned_Working_Sheet!$M467&gt;54,"Old")</f>
        <v>Old</v>
      </c>
      <c r="O467" s="18" t="s">
        <v>18</v>
      </c>
    </row>
    <row r="468" spans="1:15" x14ac:dyDescent="0.25">
      <c r="A468" s="14">
        <v>16549</v>
      </c>
      <c r="B468" s="18" t="s">
        <v>37</v>
      </c>
      <c r="C468" s="18" t="s">
        <v>38</v>
      </c>
      <c r="D468" s="6">
        <v>30000</v>
      </c>
      <c r="E468" s="18" t="str" cm="1">
        <f t="array" ref="E468">_xlfn.IFS(Cleaned_Working_Sheet!$D468&lt;=50000,"Low Income",Cleaned_Working_Sheet!$D468&lt;100000,"Middle Income",TRUE,"High Income")</f>
        <v>Low Income</v>
      </c>
      <c r="F468" s="16">
        <v>3</v>
      </c>
      <c r="G468" s="18" t="s">
        <v>13</v>
      </c>
      <c r="H468" s="18" t="s">
        <v>20</v>
      </c>
      <c r="I468" s="18" t="s">
        <v>15</v>
      </c>
      <c r="J468" s="16">
        <v>0</v>
      </c>
      <c r="K468" s="18" t="s">
        <v>16</v>
      </c>
      <c r="L468" s="18" t="s">
        <v>17</v>
      </c>
      <c r="M468" s="14">
        <v>47</v>
      </c>
      <c r="N468" s="18" t="str" cm="1">
        <f t="array" ref="N468">_xlfn.IFS(Cleaned_Working_Sheet!$M468&lt;=34,"Young",Cleaned_Working_Sheet!$M468&lt;=54,"Middle-aged",Cleaned_Working_Sheet!$M468&gt;54,"Old")</f>
        <v>Middle-aged</v>
      </c>
      <c r="O468" s="18" t="s">
        <v>15</v>
      </c>
    </row>
    <row r="469" spans="1:15" x14ac:dyDescent="0.25">
      <c r="A469" s="14">
        <v>24305</v>
      </c>
      <c r="B469" s="18" t="s">
        <v>37</v>
      </c>
      <c r="C469" s="18" t="s">
        <v>39</v>
      </c>
      <c r="D469" s="6">
        <v>100000</v>
      </c>
      <c r="E469" s="18" t="str" cm="1">
        <f t="array" ref="E469">_xlfn.IFS(Cleaned_Working_Sheet!$D469&lt;=50000,"Low Income",Cleaned_Working_Sheet!$D469&lt;100000,"Middle Income",TRUE,"High Income")</f>
        <v>High Income</v>
      </c>
      <c r="F469" s="16">
        <v>1</v>
      </c>
      <c r="G469" s="18" t="s">
        <v>13</v>
      </c>
      <c r="H469" s="18" t="s">
        <v>28</v>
      </c>
      <c r="I469" s="18" t="s">
        <v>18</v>
      </c>
      <c r="J469" s="16">
        <v>3</v>
      </c>
      <c r="K469" s="18" t="s">
        <v>16</v>
      </c>
      <c r="L469" s="18" t="s">
        <v>24</v>
      </c>
      <c r="M469" s="14">
        <v>46</v>
      </c>
      <c r="N469" s="18" t="str" cm="1">
        <f t="array" ref="N469">_xlfn.IFS(Cleaned_Working_Sheet!$M469&lt;=34,"Young",Cleaned_Working_Sheet!$M469&lt;=54,"Middle-aged",Cleaned_Working_Sheet!$M469&gt;54,"Old")</f>
        <v>Middle-aged</v>
      </c>
      <c r="O469" s="18" t="s">
        <v>15</v>
      </c>
    </row>
    <row r="470" spans="1:15" x14ac:dyDescent="0.25">
      <c r="A470" s="14">
        <v>18253</v>
      </c>
      <c r="B470" s="18" t="s">
        <v>36</v>
      </c>
      <c r="C470" s="18" t="s">
        <v>38</v>
      </c>
      <c r="D470" s="6">
        <v>80000</v>
      </c>
      <c r="E470" s="18" t="str" cm="1">
        <f t="array" ref="E470">_xlfn.IFS(Cleaned_Working_Sheet!$D470&lt;=50000,"Low Income",Cleaned_Working_Sheet!$D470&lt;100000,"Middle Income",TRUE,"High Income")</f>
        <v>Middle Income</v>
      </c>
      <c r="F470" s="16">
        <v>5</v>
      </c>
      <c r="G470" s="18" t="s">
        <v>31</v>
      </c>
      <c r="H470" s="18" t="s">
        <v>28</v>
      </c>
      <c r="I470" s="18" t="s">
        <v>15</v>
      </c>
      <c r="J470" s="16">
        <v>3</v>
      </c>
      <c r="K470" s="18" t="s">
        <v>16</v>
      </c>
      <c r="L470" s="18" t="s">
        <v>24</v>
      </c>
      <c r="M470" s="14">
        <v>40</v>
      </c>
      <c r="N470" s="18" t="str" cm="1">
        <f t="array" ref="N470">_xlfn.IFS(Cleaned_Working_Sheet!$M470&lt;=34,"Young",Cleaned_Working_Sheet!$M470&lt;=54,"Middle-aged",Cleaned_Working_Sheet!$M470&gt;54,"Old")</f>
        <v>Middle-aged</v>
      </c>
      <c r="O470" s="18" t="s">
        <v>18</v>
      </c>
    </row>
    <row r="471" spans="1:15" x14ac:dyDescent="0.25">
      <c r="A471" s="14">
        <v>20147</v>
      </c>
      <c r="B471" s="18" t="s">
        <v>36</v>
      </c>
      <c r="C471" s="18" t="s">
        <v>38</v>
      </c>
      <c r="D471" s="6">
        <v>30000</v>
      </c>
      <c r="E471" s="18" t="str" cm="1">
        <f t="array" ref="E471">_xlfn.IFS(Cleaned_Working_Sheet!$D471&lt;=50000,"Low Income",Cleaned_Working_Sheet!$D471&lt;100000,"Middle Income",TRUE,"High Income")</f>
        <v>Low Income</v>
      </c>
      <c r="F471" s="16">
        <v>1</v>
      </c>
      <c r="G471" s="18" t="s">
        <v>13</v>
      </c>
      <c r="H471" s="18" t="s">
        <v>20</v>
      </c>
      <c r="I471" s="18" t="s">
        <v>15</v>
      </c>
      <c r="J471" s="16">
        <v>0</v>
      </c>
      <c r="K471" s="18" t="s">
        <v>16</v>
      </c>
      <c r="L471" s="18" t="s">
        <v>17</v>
      </c>
      <c r="M471" s="14">
        <v>65</v>
      </c>
      <c r="N471" s="18" t="str" cm="1">
        <f t="array" ref="N471">_xlfn.IFS(Cleaned_Working_Sheet!$M471&lt;=34,"Young",Cleaned_Working_Sheet!$M471&lt;=54,"Middle-aged",Cleaned_Working_Sheet!$M471&gt;54,"Old")</f>
        <v>Old</v>
      </c>
      <c r="O471" s="18" t="s">
        <v>18</v>
      </c>
    </row>
    <row r="472" spans="1:15" x14ac:dyDescent="0.25">
      <c r="A472" s="14">
        <v>15612</v>
      </c>
      <c r="B472" s="18" t="s">
        <v>37</v>
      </c>
      <c r="C472" s="18" t="s">
        <v>39</v>
      </c>
      <c r="D472" s="6">
        <v>30000</v>
      </c>
      <c r="E472" s="18" t="str" cm="1">
        <f t="array" ref="E472">_xlfn.IFS(Cleaned_Working_Sheet!$D472&lt;=50000,"Low Income",Cleaned_Working_Sheet!$D472&lt;100000,"Middle Income",TRUE,"High Income")</f>
        <v>Low Income</v>
      </c>
      <c r="F472" s="16">
        <v>0</v>
      </c>
      <c r="G472" s="18" t="s">
        <v>27</v>
      </c>
      <c r="H472" s="18" t="s">
        <v>25</v>
      </c>
      <c r="I472" s="18" t="s">
        <v>18</v>
      </c>
      <c r="J472" s="16">
        <v>1</v>
      </c>
      <c r="K472" s="18" t="s">
        <v>26</v>
      </c>
      <c r="L472" s="18" t="s">
        <v>17</v>
      </c>
      <c r="M472" s="14">
        <v>28</v>
      </c>
      <c r="N472" s="18" t="str" cm="1">
        <f t="array" ref="N472">_xlfn.IFS(Cleaned_Working_Sheet!$M472&lt;=34,"Young",Cleaned_Working_Sheet!$M472&lt;=54,"Middle-aged",Cleaned_Working_Sheet!$M472&gt;54,"Old")</f>
        <v>Young</v>
      </c>
      <c r="O472" s="18" t="s">
        <v>18</v>
      </c>
    </row>
    <row r="473" spans="1:15" x14ac:dyDescent="0.25">
      <c r="A473" s="14">
        <v>28323</v>
      </c>
      <c r="B473" s="18" t="s">
        <v>37</v>
      </c>
      <c r="C473" s="18" t="s">
        <v>39</v>
      </c>
      <c r="D473" s="6">
        <v>70000</v>
      </c>
      <c r="E473" s="18" t="str" cm="1">
        <f t="array" ref="E473">_xlfn.IFS(Cleaned_Working_Sheet!$D473&lt;=50000,"Low Income",Cleaned_Working_Sheet!$D473&lt;100000,"Middle Income",TRUE,"High Income")</f>
        <v>Middle Income</v>
      </c>
      <c r="F473" s="16">
        <v>0</v>
      </c>
      <c r="G473" s="18" t="s">
        <v>13</v>
      </c>
      <c r="H473" s="18" t="s">
        <v>21</v>
      </c>
      <c r="I473" s="18" t="s">
        <v>18</v>
      </c>
      <c r="J473" s="16">
        <v>2</v>
      </c>
      <c r="K473" s="18" t="s">
        <v>23</v>
      </c>
      <c r="L473" s="18" t="s">
        <v>24</v>
      </c>
      <c r="M473" s="14">
        <v>43</v>
      </c>
      <c r="N473" s="18" t="str" cm="1">
        <f t="array" ref="N473">_xlfn.IFS(Cleaned_Working_Sheet!$M473&lt;=34,"Young",Cleaned_Working_Sheet!$M473&lt;=54,"Middle-aged",Cleaned_Working_Sheet!$M473&gt;54,"Old")</f>
        <v>Middle-aged</v>
      </c>
      <c r="O473" s="18" t="s">
        <v>15</v>
      </c>
    </row>
    <row r="474" spans="1:15" x14ac:dyDescent="0.25">
      <c r="A474" s="14">
        <v>22634</v>
      </c>
      <c r="B474" s="18" t="s">
        <v>37</v>
      </c>
      <c r="C474" s="18" t="s">
        <v>38</v>
      </c>
      <c r="D474" s="6">
        <v>40000</v>
      </c>
      <c r="E474" s="18" t="str" cm="1">
        <f t="array" ref="E474">_xlfn.IFS(Cleaned_Working_Sheet!$D474&lt;=50000,"Low Income",Cleaned_Working_Sheet!$D474&lt;100000,"Middle Income",TRUE,"High Income")</f>
        <v>Low Income</v>
      </c>
      <c r="F474" s="16">
        <v>0</v>
      </c>
      <c r="G474" s="18" t="s">
        <v>31</v>
      </c>
      <c r="H474" s="18" t="s">
        <v>20</v>
      </c>
      <c r="I474" s="18" t="s">
        <v>15</v>
      </c>
      <c r="J474" s="16">
        <v>0</v>
      </c>
      <c r="K474" s="18" t="s">
        <v>16</v>
      </c>
      <c r="L474" s="18" t="s">
        <v>17</v>
      </c>
      <c r="M474" s="14">
        <v>38</v>
      </c>
      <c r="N474" s="18" t="str" cm="1">
        <f t="array" ref="N474">_xlfn.IFS(Cleaned_Working_Sheet!$M474&lt;=34,"Young",Cleaned_Working_Sheet!$M474&lt;=54,"Middle-aged",Cleaned_Working_Sheet!$M474&gt;54,"Old")</f>
        <v>Middle-aged</v>
      </c>
      <c r="O474" s="18" t="s">
        <v>15</v>
      </c>
    </row>
    <row r="475" spans="1:15" x14ac:dyDescent="0.25">
      <c r="A475" s="14">
        <v>15665</v>
      </c>
      <c r="B475" s="18" t="s">
        <v>36</v>
      </c>
      <c r="C475" s="18" t="s">
        <v>38</v>
      </c>
      <c r="D475" s="6">
        <v>30000</v>
      </c>
      <c r="E475" s="18" t="str" cm="1">
        <f t="array" ref="E475">_xlfn.IFS(Cleaned_Working_Sheet!$D475&lt;=50000,"Low Income",Cleaned_Working_Sheet!$D475&lt;100000,"Middle Income",TRUE,"High Income")</f>
        <v>Low Income</v>
      </c>
      <c r="F475" s="16">
        <v>0</v>
      </c>
      <c r="G475" s="18" t="s">
        <v>13</v>
      </c>
      <c r="H475" s="18" t="s">
        <v>20</v>
      </c>
      <c r="I475" s="18" t="s">
        <v>15</v>
      </c>
      <c r="J475" s="16">
        <v>0</v>
      </c>
      <c r="K475" s="18" t="s">
        <v>16</v>
      </c>
      <c r="L475" s="18" t="s">
        <v>17</v>
      </c>
      <c r="M475" s="14">
        <v>47</v>
      </c>
      <c r="N475" s="18" t="str" cm="1">
        <f t="array" ref="N475">_xlfn.IFS(Cleaned_Working_Sheet!$M475&lt;=34,"Young",Cleaned_Working_Sheet!$M475&lt;=54,"Middle-aged",Cleaned_Working_Sheet!$M475&gt;54,"Old")</f>
        <v>Middle-aged</v>
      </c>
      <c r="O475" s="18" t="s">
        <v>15</v>
      </c>
    </row>
    <row r="476" spans="1:15" x14ac:dyDescent="0.25">
      <c r="A476" s="14">
        <v>27585</v>
      </c>
      <c r="B476" s="18" t="s">
        <v>36</v>
      </c>
      <c r="C476" s="18" t="s">
        <v>38</v>
      </c>
      <c r="D476" s="6">
        <v>90000</v>
      </c>
      <c r="E476" s="18" t="str" cm="1">
        <f t="array" ref="E476">_xlfn.IFS(Cleaned_Working_Sheet!$D476&lt;=50000,"Low Income",Cleaned_Working_Sheet!$D476&lt;100000,"Middle Income",TRUE,"High Income")</f>
        <v>Middle Income</v>
      </c>
      <c r="F476" s="16">
        <v>2</v>
      </c>
      <c r="G476" s="18" t="s">
        <v>13</v>
      </c>
      <c r="H476" s="18" t="s">
        <v>21</v>
      </c>
      <c r="I476" s="18" t="s">
        <v>18</v>
      </c>
      <c r="J476" s="16">
        <v>0</v>
      </c>
      <c r="K476" s="18" t="s">
        <v>16</v>
      </c>
      <c r="L476" s="18" t="s">
        <v>24</v>
      </c>
      <c r="M476" s="14">
        <v>36</v>
      </c>
      <c r="N476" s="18" t="str" cm="1">
        <f t="array" ref="N476">_xlfn.IFS(Cleaned_Working_Sheet!$M476&lt;=34,"Young",Cleaned_Working_Sheet!$M476&lt;=54,"Middle-aged",Cleaned_Working_Sheet!$M476&gt;54,"Old")</f>
        <v>Middle-aged</v>
      </c>
      <c r="O476" s="18" t="s">
        <v>15</v>
      </c>
    </row>
    <row r="477" spans="1:15" x14ac:dyDescent="0.25">
      <c r="A477" s="14">
        <v>19748</v>
      </c>
      <c r="B477" s="18" t="s">
        <v>36</v>
      </c>
      <c r="C477" s="18" t="s">
        <v>39</v>
      </c>
      <c r="D477" s="6">
        <v>20000</v>
      </c>
      <c r="E477" s="18" t="str" cm="1">
        <f t="array" ref="E477">_xlfn.IFS(Cleaned_Working_Sheet!$D477&lt;=50000,"Low Income",Cleaned_Working_Sheet!$D477&lt;100000,"Middle Income",TRUE,"High Income")</f>
        <v>Low Income</v>
      </c>
      <c r="F477" s="16">
        <v>4</v>
      </c>
      <c r="G477" s="18" t="s">
        <v>27</v>
      </c>
      <c r="H477" s="18" t="s">
        <v>14</v>
      </c>
      <c r="I477" s="18" t="s">
        <v>18</v>
      </c>
      <c r="J477" s="16">
        <v>2</v>
      </c>
      <c r="K477" s="18" t="s">
        <v>26</v>
      </c>
      <c r="L477" s="18" t="s">
        <v>24</v>
      </c>
      <c r="M477" s="14">
        <v>60</v>
      </c>
      <c r="N477" s="18" t="str" cm="1">
        <f t="array" ref="N477">_xlfn.IFS(Cleaned_Working_Sheet!$M477&lt;=34,"Young",Cleaned_Working_Sheet!$M477&lt;=54,"Middle-aged",Cleaned_Working_Sheet!$M477&gt;54,"Old")</f>
        <v>Old</v>
      </c>
      <c r="O477" s="18" t="s">
        <v>18</v>
      </c>
    </row>
    <row r="478" spans="1:15" x14ac:dyDescent="0.25">
      <c r="A478" s="14">
        <v>21974</v>
      </c>
      <c r="B478" s="18" t="s">
        <v>37</v>
      </c>
      <c r="C478" s="18" t="s">
        <v>38</v>
      </c>
      <c r="D478" s="6">
        <v>70000</v>
      </c>
      <c r="E478" s="18" t="str" cm="1">
        <f t="array" ref="E478">_xlfn.IFS(Cleaned_Working_Sheet!$D478&lt;=50000,"Low Income",Cleaned_Working_Sheet!$D478&lt;100000,"Middle Income",TRUE,"High Income")</f>
        <v>Middle Income</v>
      </c>
      <c r="F478" s="16">
        <v>0</v>
      </c>
      <c r="G478" s="18" t="s">
        <v>13</v>
      </c>
      <c r="H478" s="18" t="s">
        <v>21</v>
      </c>
      <c r="I478" s="18" t="s">
        <v>15</v>
      </c>
      <c r="J478" s="16">
        <v>1</v>
      </c>
      <c r="K478" s="18" t="s">
        <v>23</v>
      </c>
      <c r="L478" s="18" t="s">
        <v>24</v>
      </c>
      <c r="M478" s="14">
        <v>42</v>
      </c>
      <c r="N478" s="18" t="str" cm="1">
        <f t="array" ref="N478">_xlfn.IFS(Cleaned_Working_Sheet!$M478&lt;=34,"Young",Cleaned_Working_Sheet!$M478&lt;=54,"Middle-aged",Cleaned_Working_Sheet!$M478&gt;54,"Old")</f>
        <v>Middle-aged</v>
      </c>
      <c r="O478" s="18" t="s">
        <v>15</v>
      </c>
    </row>
    <row r="479" spans="1:15" x14ac:dyDescent="0.25">
      <c r="A479" s="14">
        <v>14032</v>
      </c>
      <c r="B479" s="18" t="s">
        <v>36</v>
      </c>
      <c r="C479" s="18" t="s">
        <v>39</v>
      </c>
      <c r="D479" s="6">
        <v>70000</v>
      </c>
      <c r="E479" s="18" t="str" cm="1">
        <f t="array" ref="E479">_xlfn.IFS(Cleaned_Working_Sheet!$D479&lt;=50000,"Low Income",Cleaned_Working_Sheet!$D479&lt;100000,"Middle Income",TRUE,"High Income")</f>
        <v>Middle Income</v>
      </c>
      <c r="F479" s="16">
        <v>2</v>
      </c>
      <c r="G479" s="18" t="s">
        <v>27</v>
      </c>
      <c r="H479" s="18" t="s">
        <v>14</v>
      </c>
      <c r="I479" s="18" t="s">
        <v>18</v>
      </c>
      <c r="J479" s="16">
        <v>2</v>
      </c>
      <c r="K479" s="18" t="s">
        <v>26</v>
      </c>
      <c r="L479" s="18" t="s">
        <v>24</v>
      </c>
      <c r="M479" s="14">
        <v>50</v>
      </c>
      <c r="N479" s="18" t="str" cm="1">
        <f t="array" ref="N479">_xlfn.IFS(Cleaned_Working_Sheet!$M479&lt;=34,"Young",Cleaned_Working_Sheet!$M479&lt;=54,"Middle-aged",Cleaned_Working_Sheet!$M479&gt;54,"Old")</f>
        <v>Middle-aged</v>
      </c>
      <c r="O479" s="18" t="s">
        <v>15</v>
      </c>
    </row>
    <row r="480" spans="1:15" x14ac:dyDescent="0.25">
      <c r="A480" s="14">
        <v>22610</v>
      </c>
      <c r="B480" s="18" t="s">
        <v>36</v>
      </c>
      <c r="C480" s="18" t="s">
        <v>39</v>
      </c>
      <c r="D480" s="6">
        <v>30000</v>
      </c>
      <c r="E480" s="18" t="str" cm="1">
        <f t="array" ref="E480">_xlfn.IFS(Cleaned_Working_Sheet!$D480&lt;=50000,"Low Income",Cleaned_Working_Sheet!$D480&lt;100000,"Middle Income",TRUE,"High Income")</f>
        <v>Low Income</v>
      </c>
      <c r="F480" s="16">
        <v>0</v>
      </c>
      <c r="G480" s="18" t="s">
        <v>13</v>
      </c>
      <c r="H480" s="18" t="s">
        <v>20</v>
      </c>
      <c r="I480" s="18" t="s">
        <v>15</v>
      </c>
      <c r="J480" s="16">
        <v>0</v>
      </c>
      <c r="K480" s="18" t="s">
        <v>16</v>
      </c>
      <c r="L480" s="18" t="s">
        <v>17</v>
      </c>
      <c r="M480" s="14">
        <v>35</v>
      </c>
      <c r="N480" s="18" t="str" cm="1">
        <f t="array" ref="N480">_xlfn.IFS(Cleaned_Working_Sheet!$M480&lt;=34,"Young",Cleaned_Working_Sheet!$M480&lt;=54,"Middle-aged",Cleaned_Working_Sheet!$M480&gt;54,"Old")</f>
        <v>Middle-aged</v>
      </c>
      <c r="O480" s="18" t="s">
        <v>15</v>
      </c>
    </row>
    <row r="481" spans="1:15" x14ac:dyDescent="0.25">
      <c r="A481" s="14">
        <v>26984</v>
      </c>
      <c r="B481" s="18" t="s">
        <v>36</v>
      </c>
      <c r="C481" s="18" t="s">
        <v>39</v>
      </c>
      <c r="D481" s="6">
        <v>40000</v>
      </c>
      <c r="E481" s="18" t="str" cm="1">
        <f t="array" ref="E481">_xlfn.IFS(Cleaned_Working_Sheet!$D481&lt;=50000,"Low Income",Cleaned_Working_Sheet!$D481&lt;100000,"Middle Income",TRUE,"High Income")</f>
        <v>Low Income</v>
      </c>
      <c r="F481" s="16">
        <v>1</v>
      </c>
      <c r="G481" s="18" t="s">
        <v>13</v>
      </c>
      <c r="H481" s="18" t="s">
        <v>14</v>
      </c>
      <c r="I481" s="18" t="s">
        <v>15</v>
      </c>
      <c r="J481" s="16">
        <v>1</v>
      </c>
      <c r="K481" s="18" t="s">
        <v>16</v>
      </c>
      <c r="L481" s="18" t="s">
        <v>17</v>
      </c>
      <c r="M481" s="14">
        <v>32</v>
      </c>
      <c r="N481" s="18" t="str" cm="1">
        <f t="array" ref="N481">_xlfn.IFS(Cleaned_Working_Sheet!$M481&lt;=34,"Young",Cleaned_Working_Sheet!$M481&lt;=54,"Middle-aged",Cleaned_Working_Sheet!$M481&gt;54,"Old")</f>
        <v>Young</v>
      </c>
      <c r="O481" s="18" t="s">
        <v>15</v>
      </c>
    </row>
    <row r="482" spans="1:15" x14ac:dyDescent="0.25">
      <c r="A482" s="14">
        <v>18294</v>
      </c>
      <c r="B482" s="18" t="s">
        <v>36</v>
      </c>
      <c r="C482" s="18" t="s">
        <v>38</v>
      </c>
      <c r="D482" s="6">
        <v>90000</v>
      </c>
      <c r="E482" s="18" t="str" cm="1">
        <f t="array" ref="E482">_xlfn.IFS(Cleaned_Working_Sheet!$D482&lt;=50000,"Low Income",Cleaned_Working_Sheet!$D482&lt;100000,"Middle Income",TRUE,"High Income")</f>
        <v>Middle Income</v>
      </c>
      <c r="F482" s="16">
        <v>1</v>
      </c>
      <c r="G482" s="18" t="s">
        <v>13</v>
      </c>
      <c r="H482" s="18" t="s">
        <v>21</v>
      </c>
      <c r="I482" s="18" t="s">
        <v>15</v>
      </c>
      <c r="J482" s="16">
        <v>1</v>
      </c>
      <c r="K482" s="18" t="s">
        <v>23</v>
      </c>
      <c r="L482" s="18" t="s">
        <v>24</v>
      </c>
      <c r="M482" s="14">
        <v>46</v>
      </c>
      <c r="N482" s="18" t="str" cm="1">
        <f t="array" ref="N482">_xlfn.IFS(Cleaned_Working_Sheet!$M482&lt;=34,"Young",Cleaned_Working_Sheet!$M482&lt;=54,"Middle-aged",Cleaned_Working_Sheet!$M482&gt;54,"Old")</f>
        <v>Middle-aged</v>
      </c>
      <c r="O482" s="18" t="s">
        <v>18</v>
      </c>
    </row>
    <row r="483" spans="1:15" x14ac:dyDescent="0.25">
      <c r="A483" s="14">
        <v>28564</v>
      </c>
      <c r="B483" s="18" t="s">
        <v>37</v>
      </c>
      <c r="C483" s="18" t="s">
        <v>38</v>
      </c>
      <c r="D483" s="6">
        <v>40000</v>
      </c>
      <c r="E483" s="18" t="str" cm="1">
        <f t="array" ref="E483">_xlfn.IFS(Cleaned_Working_Sheet!$D483&lt;=50000,"Low Income",Cleaned_Working_Sheet!$D483&lt;100000,"Middle Income",TRUE,"High Income")</f>
        <v>Low Income</v>
      </c>
      <c r="F483" s="16">
        <v>2</v>
      </c>
      <c r="G483" s="18" t="s">
        <v>19</v>
      </c>
      <c r="H483" s="18" t="s">
        <v>20</v>
      </c>
      <c r="I483" s="18" t="s">
        <v>15</v>
      </c>
      <c r="J483" s="16">
        <v>0</v>
      </c>
      <c r="K483" s="18" t="s">
        <v>26</v>
      </c>
      <c r="L483" s="18" t="s">
        <v>17</v>
      </c>
      <c r="M483" s="14">
        <v>33</v>
      </c>
      <c r="N483" s="18" t="str" cm="1">
        <f t="array" ref="N483">_xlfn.IFS(Cleaned_Working_Sheet!$M483&lt;=34,"Young",Cleaned_Working_Sheet!$M483&lt;=54,"Middle-aged",Cleaned_Working_Sheet!$M483&gt;54,"Old")</f>
        <v>Young</v>
      </c>
      <c r="O483" s="18" t="s">
        <v>15</v>
      </c>
    </row>
    <row r="484" spans="1:15" x14ac:dyDescent="0.25">
      <c r="A484" s="14">
        <v>28521</v>
      </c>
      <c r="B484" s="18" t="s">
        <v>37</v>
      </c>
      <c r="C484" s="18" t="s">
        <v>39</v>
      </c>
      <c r="D484" s="6">
        <v>40000</v>
      </c>
      <c r="E484" s="18" t="str" cm="1">
        <f t="array" ref="E484">_xlfn.IFS(Cleaned_Working_Sheet!$D484&lt;=50000,"Low Income",Cleaned_Working_Sheet!$D484&lt;100000,"Middle Income",TRUE,"High Income")</f>
        <v>Low Income</v>
      </c>
      <c r="F484" s="16">
        <v>0</v>
      </c>
      <c r="G484" s="18" t="s">
        <v>31</v>
      </c>
      <c r="H484" s="18" t="s">
        <v>20</v>
      </c>
      <c r="I484" s="18" t="s">
        <v>18</v>
      </c>
      <c r="J484" s="16">
        <v>0</v>
      </c>
      <c r="K484" s="18" t="s">
        <v>16</v>
      </c>
      <c r="L484" s="18" t="s">
        <v>17</v>
      </c>
      <c r="M484" s="14">
        <v>36</v>
      </c>
      <c r="N484" s="18" t="str" cm="1">
        <f t="array" ref="N484">_xlfn.IFS(Cleaned_Working_Sheet!$M484&lt;=34,"Young",Cleaned_Working_Sheet!$M484&lt;=54,"Middle-aged",Cleaned_Working_Sheet!$M484&gt;54,"Old")</f>
        <v>Middle-aged</v>
      </c>
      <c r="O484" s="18" t="s">
        <v>15</v>
      </c>
    </row>
    <row r="485" spans="1:15" x14ac:dyDescent="0.25">
      <c r="A485" s="14">
        <v>15450</v>
      </c>
      <c r="B485" s="18" t="s">
        <v>36</v>
      </c>
      <c r="C485" s="18" t="s">
        <v>39</v>
      </c>
      <c r="D485" s="6">
        <v>10000</v>
      </c>
      <c r="E485" s="18" t="str" cm="1">
        <f t="array" ref="E485">_xlfn.IFS(Cleaned_Working_Sheet!$D485&lt;=50000,"Low Income",Cleaned_Working_Sheet!$D485&lt;100000,"Middle Income",TRUE,"High Income")</f>
        <v>Low Income</v>
      </c>
      <c r="F485" s="16">
        <v>1</v>
      </c>
      <c r="G485" s="18" t="s">
        <v>31</v>
      </c>
      <c r="H485" s="18" t="s">
        <v>20</v>
      </c>
      <c r="I485" s="18" t="s">
        <v>15</v>
      </c>
      <c r="J485" s="16">
        <v>0</v>
      </c>
      <c r="K485" s="18" t="s">
        <v>16</v>
      </c>
      <c r="L485" s="18" t="s">
        <v>17</v>
      </c>
      <c r="M485" s="14">
        <v>70</v>
      </c>
      <c r="N485" s="18" t="str" cm="1">
        <f t="array" ref="N485">_xlfn.IFS(Cleaned_Working_Sheet!$M485&lt;=34,"Young",Cleaned_Working_Sheet!$M485&lt;=54,"Middle-aged",Cleaned_Working_Sheet!$M485&gt;54,"Old")</f>
        <v>Old</v>
      </c>
      <c r="O485" s="18" t="s">
        <v>18</v>
      </c>
    </row>
    <row r="486" spans="1:15" x14ac:dyDescent="0.25">
      <c r="A486" s="14">
        <v>25681</v>
      </c>
      <c r="B486" s="18" t="s">
        <v>37</v>
      </c>
      <c r="C486" s="18" t="s">
        <v>38</v>
      </c>
      <c r="D486" s="6">
        <v>30000</v>
      </c>
      <c r="E486" s="18" t="str" cm="1">
        <f t="array" ref="E486">_xlfn.IFS(Cleaned_Working_Sheet!$D486&lt;=50000,"Low Income",Cleaned_Working_Sheet!$D486&lt;100000,"Middle Income",TRUE,"High Income")</f>
        <v>Low Income</v>
      </c>
      <c r="F486" s="16">
        <v>0</v>
      </c>
      <c r="G486" s="18" t="s">
        <v>19</v>
      </c>
      <c r="H486" s="18" t="s">
        <v>20</v>
      </c>
      <c r="I486" s="18" t="s">
        <v>18</v>
      </c>
      <c r="J486" s="16">
        <v>1</v>
      </c>
      <c r="K486" s="18" t="s">
        <v>22</v>
      </c>
      <c r="L486" s="18" t="s">
        <v>17</v>
      </c>
      <c r="M486" s="14">
        <v>31</v>
      </c>
      <c r="N486" s="18" t="str" cm="1">
        <f t="array" ref="N486">_xlfn.IFS(Cleaned_Working_Sheet!$M486&lt;=34,"Young",Cleaned_Working_Sheet!$M486&lt;=54,"Middle-aged",Cleaned_Working_Sheet!$M486&gt;54,"Old")</f>
        <v>Young</v>
      </c>
      <c r="O486" s="18" t="s">
        <v>15</v>
      </c>
    </row>
    <row r="487" spans="1:15" x14ac:dyDescent="0.25">
      <c r="A487" s="14">
        <v>19491</v>
      </c>
      <c r="B487" s="18" t="s">
        <v>37</v>
      </c>
      <c r="C487" s="18" t="s">
        <v>39</v>
      </c>
      <c r="D487" s="6">
        <v>30000</v>
      </c>
      <c r="E487" s="18" t="str" cm="1">
        <f t="array" ref="E487">_xlfn.IFS(Cleaned_Working_Sheet!$D487&lt;=50000,"Low Income",Cleaned_Working_Sheet!$D487&lt;100000,"Middle Income",TRUE,"High Income")</f>
        <v>Low Income</v>
      </c>
      <c r="F487" s="16">
        <v>2</v>
      </c>
      <c r="G487" s="18" t="s">
        <v>19</v>
      </c>
      <c r="H487" s="18" t="s">
        <v>20</v>
      </c>
      <c r="I487" s="18" t="s">
        <v>15</v>
      </c>
      <c r="J487" s="16">
        <v>2</v>
      </c>
      <c r="K487" s="18" t="s">
        <v>16</v>
      </c>
      <c r="L487" s="18" t="s">
        <v>17</v>
      </c>
      <c r="M487" s="14">
        <v>42</v>
      </c>
      <c r="N487" s="18" t="str" cm="1">
        <f t="array" ref="N487">_xlfn.IFS(Cleaned_Working_Sheet!$M487&lt;=34,"Young",Cleaned_Working_Sheet!$M487&lt;=54,"Middle-aged",Cleaned_Working_Sheet!$M487&gt;54,"Old")</f>
        <v>Middle-aged</v>
      </c>
      <c r="O487" s="18" t="s">
        <v>18</v>
      </c>
    </row>
    <row r="488" spans="1:15" x14ac:dyDescent="0.25">
      <c r="A488" s="14">
        <v>26415</v>
      </c>
      <c r="B488" s="18" t="s">
        <v>36</v>
      </c>
      <c r="C488" s="18" t="s">
        <v>38</v>
      </c>
      <c r="D488" s="6">
        <v>90000</v>
      </c>
      <c r="E488" s="18" t="str" cm="1">
        <f t="array" ref="E488">_xlfn.IFS(Cleaned_Working_Sheet!$D488&lt;=50000,"Low Income",Cleaned_Working_Sheet!$D488&lt;100000,"Middle Income",TRUE,"High Income")</f>
        <v>Middle Income</v>
      </c>
      <c r="F488" s="16">
        <v>4</v>
      </c>
      <c r="G488" s="18" t="s">
        <v>29</v>
      </c>
      <c r="H488" s="18" t="s">
        <v>14</v>
      </c>
      <c r="I488" s="18" t="s">
        <v>15</v>
      </c>
      <c r="J488" s="16">
        <v>4</v>
      </c>
      <c r="K488" s="18" t="s">
        <v>43</v>
      </c>
      <c r="L488" s="18" t="s">
        <v>17</v>
      </c>
      <c r="M488" s="14">
        <v>58</v>
      </c>
      <c r="N488" s="18" t="str" cm="1">
        <f t="array" ref="N488">_xlfn.IFS(Cleaned_Working_Sheet!$M488&lt;=34,"Young",Cleaned_Working_Sheet!$M488&lt;=54,"Middle-aged",Cleaned_Working_Sheet!$M488&gt;54,"Old")</f>
        <v>Old</v>
      </c>
      <c r="O488" s="18" t="s">
        <v>18</v>
      </c>
    </row>
    <row r="489" spans="1:15" x14ac:dyDescent="0.25">
      <c r="A489" s="14">
        <v>12821</v>
      </c>
      <c r="B489" s="18" t="s">
        <v>36</v>
      </c>
      <c r="C489" s="18" t="s">
        <v>39</v>
      </c>
      <c r="D489" s="6">
        <v>40000</v>
      </c>
      <c r="E489" s="18" t="str" cm="1">
        <f t="array" ref="E489">_xlfn.IFS(Cleaned_Working_Sheet!$D489&lt;=50000,"Low Income",Cleaned_Working_Sheet!$D489&lt;100000,"Middle Income",TRUE,"High Income")</f>
        <v>Low Income</v>
      </c>
      <c r="F489" s="16">
        <v>0</v>
      </c>
      <c r="G489" s="18" t="s">
        <v>13</v>
      </c>
      <c r="H489" s="18" t="s">
        <v>20</v>
      </c>
      <c r="I489" s="18" t="s">
        <v>15</v>
      </c>
      <c r="J489" s="16">
        <v>0</v>
      </c>
      <c r="K489" s="18" t="s">
        <v>16</v>
      </c>
      <c r="L489" s="18" t="s">
        <v>17</v>
      </c>
      <c r="M489" s="14">
        <v>39</v>
      </c>
      <c r="N489" s="18" t="str" cm="1">
        <f t="array" ref="N489">_xlfn.IFS(Cleaned_Working_Sheet!$M489&lt;=34,"Young",Cleaned_Working_Sheet!$M489&lt;=54,"Middle-aged",Cleaned_Working_Sheet!$M489&gt;54,"Old")</f>
        <v>Middle-aged</v>
      </c>
      <c r="O489" s="18" t="s">
        <v>18</v>
      </c>
    </row>
    <row r="490" spans="1:15" x14ac:dyDescent="0.25">
      <c r="A490" s="14">
        <v>15629</v>
      </c>
      <c r="B490" s="18" t="s">
        <v>37</v>
      </c>
      <c r="C490" s="18" t="s">
        <v>38</v>
      </c>
      <c r="D490" s="6">
        <v>10000</v>
      </c>
      <c r="E490" s="18" t="str" cm="1">
        <f t="array" ref="E490">_xlfn.IFS(Cleaned_Working_Sheet!$D490&lt;=50000,"Low Income",Cleaned_Working_Sheet!$D490&lt;100000,"Middle Income",TRUE,"High Income")</f>
        <v>Low Income</v>
      </c>
      <c r="F490" s="16">
        <v>0</v>
      </c>
      <c r="G490" s="18" t="s">
        <v>29</v>
      </c>
      <c r="H490" s="18" t="s">
        <v>25</v>
      </c>
      <c r="I490" s="18" t="s">
        <v>15</v>
      </c>
      <c r="J490" s="16">
        <v>2</v>
      </c>
      <c r="K490" s="18" t="s">
        <v>26</v>
      </c>
      <c r="L490" s="18" t="s">
        <v>17</v>
      </c>
      <c r="M490" s="14">
        <v>34</v>
      </c>
      <c r="N490" s="18" t="str" cm="1">
        <f t="array" ref="N490">_xlfn.IFS(Cleaned_Working_Sheet!$M490&lt;=34,"Young",Cleaned_Working_Sheet!$M490&lt;=54,"Middle-aged",Cleaned_Working_Sheet!$M490&gt;54,"Old")</f>
        <v>Young</v>
      </c>
      <c r="O490" s="18" t="s">
        <v>18</v>
      </c>
    </row>
    <row r="491" spans="1:15" x14ac:dyDescent="0.25">
      <c r="A491" s="14">
        <v>27835</v>
      </c>
      <c r="B491" s="18" t="s">
        <v>36</v>
      </c>
      <c r="C491" s="18" t="s">
        <v>39</v>
      </c>
      <c r="D491" s="6">
        <v>20000</v>
      </c>
      <c r="E491" s="18" t="str" cm="1">
        <f t="array" ref="E491">_xlfn.IFS(Cleaned_Working_Sheet!$D491&lt;=50000,"Low Income",Cleaned_Working_Sheet!$D491&lt;100000,"Middle Income",TRUE,"High Income")</f>
        <v>Low Income</v>
      </c>
      <c r="F491" s="16">
        <v>0</v>
      </c>
      <c r="G491" s="18" t="s">
        <v>29</v>
      </c>
      <c r="H491" s="18" t="s">
        <v>25</v>
      </c>
      <c r="I491" s="18" t="s">
        <v>15</v>
      </c>
      <c r="J491" s="16">
        <v>2</v>
      </c>
      <c r="K491" s="18" t="s">
        <v>16</v>
      </c>
      <c r="L491" s="18" t="s">
        <v>17</v>
      </c>
      <c r="M491" s="14">
        <v>32</v>
      </c>
      <c r="N491" s="18" t="str" cm="1">
        <f t="array" ref="N491">_xlfn.IFS(Cleaned_Working_Sheet!$M491&lt;=34,"Young",Cleaned_Working_Sheet!$M491&lt;=54,"Middle-aged",Cleaned_Working_Sheet!$M491&gt;54,"Old")</f>
        <v>Young</v>
      </c>
      <c r="O491" s="18" t="s">
        <v>18</v>
      </c>
    </row>
    <row r="492" spans="1:15" x14ac:dyDescent="0.25">
      <c r="A492" s="14">
        <v>11738</v>
      </c>
      <c r="B492" s="18" t="s">
        <v>36</v>
      </c>
      <c r="C492" s="18" t="s">
        <v>39</v>
      </c>
      <c r="D492" s="6">
        <v>60000</v>
      </c>
      <c r="E492" s="18" t="str" cm="1">
        <f t="array" ref="E492">_xlfn.IFS(Cleaned_Working_Sheet!$D492&lt;=50000,"Low Income",Cleaned_Working_Sheet!$D492&lt;100000,"Middle Income",TRUE,"High Income")</f>
        <v>Middle Income</v>
      </c>
      <c r="F492" s="16">
        <v>4</v>
      </c>
      <c r="G492" s="18" t="s">
        <v>13</v>
      </c>
      <c r="H492" s="18" t="s">
        <v>21</v>
      </c>
      <c r="I492" s="18" t="s">
        <v>15</v>
      </c>
      <c r="J492" s="16">
        <v>0</v>
      </c>
      <c r="K492" s="18" t="s">
        <v>22</v>
      </c>
      <c r="L492" s="18" t="s">
        <v>32</v>
      </c>
      <c r="M492" s="14">
        <v>46</v>
      </c>
      <c r="N492" s="18" t="str" cm="1">
        <f t="array" ref="N492">_xlfn.IFS(Cleaned_Working_Sheet!$M492&lt;=34,"Young",Cleaned_Working_Sheet!$M492&lt;=54,"Middle-aged",Cleaned_Working_Sheet!$M492&gt;54,"Old")</f>
        <v>Middle-aged</v>
      </c>
      <c r="O492" s="18" t="s">
        <v>18</v>
      </c>
    </row>
    <row r="493" spans="1:15" x14ac:dyDescent="0.25">
      <c r="A493" s="14">
        <v>25065</v>
      </c>
      <c r="B493" s="18" t="s">
        <v>36</v>
      </c>
      <c r="C493" s="18" t="s">
        <v>39</v>
      </c>
      <c r="D493" s="6">
        <v>70000</v>
      </c>
      <c r="E493" s="18" t="str" cm="1">
        <f t="array" ref="E493">_xlfn.IFS(Cleaned_Working_Sheet!$D493&lt;=50000,"Low Income",Cleaned_Working_Sheet!$D493&lt;100000,"Middle Income",TRUE,"High Income")</f>
        <v>Middle Income</v>
      </c>
      <c r="F493" s="16">
        <v>2</v>
      </c>
      <c r="G493" s="18" t="s">
        <v>29</v>
      </c>
      <c r="H493" s="18" t="s">
        <v>14</v>
      </c>
      <c r="I493" s="18" t="s">
        <v>15</v>
      </c>
      <c r="J493" s="16">
        <v>2</v>
      </c>
      <c r="K493" s="18" t="s">
        <v>23</v>
      </c>
      <c r="L493" s="18" t="s">
        <v>32</v>
      </c>
      <c r="M493" s="14">
        <v>48</v>
      </c>
      <c r="N493" s="18" t="str" cm="1">
        <f t="array" ref="N493">_xlfn.IFS(Cleaned_Working_Sheet!$M493&lt;=34,"Young",Cleaned_Working_Sheet!$M493&lt;=54,"Middle-aged",Cleaned_Working_Sheet!$M493&gt;54,"Old")</f>
        <v>Middle-aged</v>
      </c>
      <c r="O493" s="18" t="s">
        <v>18</v>
      </c>
    </row>
    <row r="494" spans="1:15" x14ac:dyDescent="0.25">
      <c r="A494" s="14">
        <v>26238</v>
      </c>
      <c r="B494" s="18" t="s">
        <v>37</v>
      </c>
      <c r="C494" s="18" t="s">
        <v>38</v>
      </c>
      <c r="D494" s="6">
        <v>40000</v>
      </c>
      <c r="E494" s="18" t="str" cm="1">
        <f t="array" ref="E494">_xlfn.IFS(Cleaned_Working_Sheet!$D494&lt;=50000,"Low Income",Cleaned_Working_Sheet!$D494&lt;100000,"Middle Income",TRUE,"High Income")</f>
        <v>Low Income</v>
      </c>
      <c r="F494" s="16">
        <v>3</v>
      </c>
      <c r="G494" s="18" t="s">
        <v>19</v>
      </c>
      <c r="H494" s="18" t="s">
        <v>20</v>
      </c>
      <c r="I494" s="18" t="s">
        <v>15</v>
      </c>
      <c r="J494" s="16">
        <v>1</v>
      </c>
      <c r="K494" s="18" t="s">
        <v>26</v>
      </c>
      <c r="L494" s="18" t="s">
        <v>32</v>
      </c>
      <c r="M494" s="14">
        <v>31</v>
      </c>
      <c r="N494" s="18" t="str" cm="1">
        <f t="array" ref="N494">_xlfn.IFS(Cleaned_Working_Sheet!$M494&lt;=34,"Young",Cleaned_Working_Sheet!$M494&lt;=54,"Middle-aged",Cleaned_Working_Sheet!$M494&gt;54,"Old")</f>
        <v>Young</v>
      </c>
      <c r="O494" s="18" t="s">
        <v>15</v>
      </c>
    </row>
    <row r="495" spans="1:15" x14ac:dyDescent="0.25">
      <c r="A495" s="14">
        <v>23707</v>
      </c>
      <c r="B495" s="18" t="s">
        <v>37</v>
      </c>
      <c r="C495" s="18" t="s">
        <v>39</v>
      </c>
      <c r="D495" s="6">
        <v>70000</v>
      </c>
      <c r="E495" s="18" t="str" cm="1">
        <f t="array" ref="E495">_xlfn.IFS(Cleaned_Working_Sheet!$D495&lt;=50000,"Low Income",Cleaned_Working_Sheet!$D495&lt;100000,"Middle Income",TRUE,"High Income")</f>
        <v>Middle Income</v>
      </c>
      <c r="F495" s="16">
        <v>5</v>
      </c>
      <c r="G495" s="18" t="s">
        <v>13</v>
      </c>
      <c r="H495" s="18" t="s">
        <v>28</v>
      </c>
      <c r="I495" s="18" t="s">
        <v>15</v>
      </c>
      <c r="J495" s="16">
        <v>3</v>
      </c>
      <c r="K495" s="18" t="s">
        <v>43</v>
      </c>
      <c r="L495" s="18" t="s">
        <v>32</v>
      </c>
      <c r="M495" s="14">
        <v>60</v>
      </c>
      <c r="N495" s="18" t="str" cm="1">
        <f t="array" ref="N495">_xlfn.IFS(Cleaned_Working_Sheet!$M495&lt;=34,"Young",Cleaned_Working_Sheet!$M495&lt;=54,"Middle-aged",Cleaned_Working_Sheet!$M495&gt;54,"Old")</f>
        <v>Old</v>
      </c>
      <c r="O495" s="18" t="s">
        <v>15</v>
      </c>
    </row>
    <row r="496" spans="1:15" x14ac:dyDescent="0.25">
      <c r="A496" s="14">
        <v>27650</v>
      </c>
      <c r="B496" s="18" t="s">
        <v>36</v>
      </c>
      <c r="C496" s="18" t="s">
        <v>39</v>
      </c>
      <c r="D496" s="6">
        <v>70000</v>
      </c>
      <c r="E496" s="18" t="str" cm="1">
        <f t="array" ref="E496">_xlfn.IFS(Cleaned_Working_Sheet!$D496&lt;=50000,"Low Income",Cleaned_Working_Sheet!$D496&lt;100000,"Middle Income",TRUE,"High Income")</f>
        <v>Middle Income</v>
      </c>
      <c r="F496" s="16">
        <v>4</v>
      </c>
      <c r="G496" s="18" t="s">
        <v>27</v>
      </c>
      <c r="H496" s="18" t="s">
        <v>21</v>
      </c>
      <c r="I496" s="18" t="s">
        <v>15</v>
      </c>
      <c r="J496" s="16">
        <v>0</v>
      </c>
      <c r="K496" s="18" t="s">
        <v>23</v>
      </c>
      <c r="L496" s="18" t="s">
        <v>32</v>
      </c>
      <c r="M496" s="14">
        <v>51</v>
      </c>
      <c r="N496" s="18" t="str" cm="1">
        <f t="array" ref="N496">_xlfn.IFS(Cleaned_Working_Sheet!$M496&lt;=34,"Young",Cleaned_Working_Sheet!$M496&lt;=54,"Middle-aged",Cleaned_Working_Sheet!$M496&gt;54,"Old")</f>
        <v>Middle-aged</v>
      </c>
      <c r="O496" s="18" t="s">
        <v>18</v>
      </c>
    </row>
    <row r="497" spans="1:15" x14ac:dyDescent="0.25">
      <c r="A497" s="14">
        <v>24981</v>
      </c>
      <c r="B497" s="18" t="s">
        <v>36</v>
      </c>
      <c r="C497" s="18" t="s">
        <v>39</v>
      </c>
      <c r="D497" s="6">
        <v>60000</v>
      </c>
      <c r="E497" s="18" t="str" cm="1">
        <f t="array" ref="E497">_xlfn.IFS(Cleaned_Working_Sheet!$D497&lt;=50000,"Low Income",Cleaned_Working_Sheet!$D497&lt;100000,"Middle Income",TRUE,"High Income")</f>
        <v>Middle Income</v>
      </c>
      <c r="F497" s="16">
        <v>2</v>
      </c>
      <c r="G497" s="18" t="s">
        <v>19</v>
      </c>
      <c r="H497" s="18" t="s">
        <v>21</v>
      </c>
      <c r="I497" s="18" t="s">
        <v>15</v>
      </c>
      <c r="J497" s="16">
        <v>2</v>
      </c>
      <c r="K497" s="18" t="s">
        <v>43</v>
      </c>
      <c r="L497" s="18" t="s">
        <v>32</v>
      </c>
      <c r="M497" s="14">
        <v>56</v>
      </c>
      <c r="N497" s="18" t="str" cm="1">
        <f t="array" ref="N497">_xlfn.IFS(Cleaned_Working_Sheet!$M497&lt;=34,"Young",Cleaned_Working_Sheet!$M497&lt;=54,"Middle-aged",Cleaned_Working_Sheet!$M497&gt;54,"Old")</f>
        <v>Old</v>
      </c>
      <c r="O497" s="18" t="s">
        <v>18</v>
      </c>
    </row>
    <row r="498" spans="1:15" x14ac:dyDescent="0.25">
      <c r="A498" s="14">
        <v>20678</v>
      </c>
      <c r="B498" s="18" t="s">
        <v>37</v>
      </c>
      <c r="C498" s="18" t="s">
        <v>38</v>
      </c>
      <c r="D498" s="6">
        <v>60000</v>
      </c>
      <c r="E498" s="18" t="str" cm="1">
        <f t="array" ref="E498">_xlfn.IFS(Cleaned_Working_Sheet!$D498&lt;=50000,"Low Income",Cleaned_Working_Sheet!$D498&lt;100000,"Middle Income",TRUE,"High Income")</f>
        <v>Middle Income</v>
      </c>
      <c r="F498" s="16">
        <v>3</v>
      </c>
      <c r="G498" s="18" t="s">
        <v>13</v>
      </c>
      <c r="H498" s="18" t="s">
        <v>14</v>
      </c>
      <c r="I498" s="18" t="s">
        <v>15</v>
      </c>
      <c r="J498" s="16">
        <v>1</v>
      </c>
      <c r="K498" s="18" t="s">
        <v>22</v>
      </c>
      <c r="L498" s="18" t="s">
        <v>32</v>
      </c>
      <c r="M498" s="14">
        <v>40</v>
      </c>
      <c r="N498" s="18" t="str" cm="1">
        <f t="array" ref="N498">_xlfn.IFS(Cleaned_Working_Sheet!$M498&lt;=34,"Young",Cleaned_Working_Sheet!$M498&lt;=54,"Middle-aged",Cleaned_Working_Sheet!$M498&gt;54,"Old")</f>
        <v>Middle-aged</v>
      </c>
      <c r="O498" s="18" t="s">
        <v>15</v>
      </c>
    </row>
    <row r="499" spans="1:15" x14ac:dyDescent="0.25">
      <c r="A499" s="14">
        <v>15302</v>
      </c>
      <c r="B499" s="18" t="s">
        <v>37</v>
      </c>
      <c r="C499" s="18" t="s">
        <v>38</v>
      </c>
      <c r="D499" s="6">
        <v>70000</v>
      </c>
      <c r="E499" s="18" t="str" cm="1">
        <f t="array" ref="E499">_xlfn.IFS(Cleaned_Working_Sheet!$D499&lt;=50000,"Low Income",Cleaned_Working_Sheet!$D499&lt;100000,"Middle Income",TRUE,"High Income")</f>
        <v>Middle Income</v>
      </c>
      <c r="F499" s="16">
        <v>1</v>
      </c>
      <c r="G499" s="18" t="s">
        <v>31</v>
      </c>
      <c r="H499" s="18" t="s">
        <v>21</v>
      </c>
      <c r="I499" s="18" t="s">
        <v>15</v>
      </c>
      <c r="J499" s="16">
        <v>0</v>
      </c>
      <c r="K499" s="18" t="s">
        <v>22</v>
      </c>
      <c r="L499" s="18" t="s">
        <v>32</v>
      </c>
      <c r="M499" s="14">
        <v>34</v>
      </c>
      <c r="N499" s="18" t="str" cm="1">
        <f t="array" ref="N499">_xlfn.IFS(Cleaned_Working_Sheet!$M499&lt;=34,"Young",Cleaned_Working_Sheet!$M499&lt;=54,"Middle-aged",Cleaned_Working_Sheet!$M499&gt;54,"Old")</f>
        <v>Young</v>
      </c>
      <c r="O499" s="18" t="s">
        <v>15</v>
      </c>
    </row>
    <row r="500" spans="1:15" x14ac:dyDescent="0.25">
      <c r="A500" s="14">
        <v>26012</v>
      </c>
      <c r="B500" s="18" t="s">
        <v>36</v>
      </c>
      <c r="C500" s="18" t="s">
        <v>39</v>
      </c>
      <c r="D500" s="6">
        <v>80000</v>
      </c>
      <c r="E500" s="18" t="str" cm="1">
        <f t="array" ref="E500">_xlfn.IFS(Cleaned_Working_Sheet!$D500&lt;=50000,"Low Income",Cleaned_Working_Sheet!$D500&lt;100000,"Middle Income",TRUE,"High Income")</f>
        <v>Middle Income</v>
      </c>
      <c r="F500" s="16">
        <v>1</v>
      </c>
      <c r="G500" s="18" t="s">
        <v>19</v>
      </c>
      <c r="H500" s="18" t="s">
        <v>14</v>
      </c>
      <c r="I500" s="18" t="s">
        <v>15</v>
      </c>
      <c r="J500" s="16">
        <v>1</v>
      </c>
      <c r="K500" s="18" t="s">
        <v>22</v>
      </c>
      <c r="L500" s="18" t="s">
        <v>32</v>
      </c>
      <c r="M500" s="14">
        <v>48</v>
      </c>
      <c r="N500" s="18" t="str" cm="1">
        <f t="array" ref="N500">_xlfn.IFS(Cleaned_Working_Sheet!$M500&lt;=34,"Young",Cleaned_Working_Sheet!$M500&lt;=54,"Middle-aged",Cleaned_Working_Sheet!$M500&gt;54,"Old")</f>
        <v>Middle-aged</v>
      </c>
      <c r="O500" s="18" t="s">
        <v>15</v>
      </c>
    </row>
    <row r="501" spans="1:15" x14ac:dyDescent="0.25">
      <c r="A501" s="14">
        <v>26575</v>
      </c>
      <c r="B501" s="18" t="s">
        <v>37</v>
      </c>
      <c r="C501" s="18" t="s">
        <v>38</v>
      </c>
      <c r="D501" s="6">
        <v>40000</v>
      </c>
      <c r="E501" s="18" t="str" cm="1">
        <f t="array" ref="E501">_xlfn.IFS(Cleaned_Working_Sheet!$D501&lt;=50000,"Low Income",Cleaned_Working_Sheet!$D501&lt;100000,"Middle Income",TRUE,"High Income")</f>
        <v>Low Income</v>
      </c>
      <c r="F501" s="16">
        <v>0</v>
      </c>
      <c r="G501" s="18" t="s">
        <v>27</v>
      </c>
      <c r="H501" s="18" t="s">
        <v>14</v>
      </c>
      <c r="I501" s="18" t="s">
        <v>18</v>
      </c>
      <c r="J501" s="16">
        <v>2</v>
      </c>
      <c r="K501" s="18" t="s">
        <v>26</v>
      </c>
      <c r="L501" s="18" t="s">
        <v>32</v>
      </c>
      <c r="M501" s="14">
        <v>31</v>
      </c>
      <c r="N501" s="18" t="str" cm="1">
        <f t="array" ref="N501">_xlfn.IFS(Cleaned_Working_Sheet!$M501&lt;=34,"Young",Cleaned_Working_Sheet!$M501&lt;=54,"Middle-aged",Cleaned_Working_Sheet!$M501&gt;54,"Old")</f>
        <v>Young</v>
      </c>
      <c r="O501" s="18" t="s">
        <v>15</v>
      </c>
    </row>
    <row r="502" spans="1:15" x14ac:dyDescent="0.25">
      <c r="A502" s="14">
        <v>15559</v>
      </c>
      <c r="B502" s="18" t="s">
        <v>36</v>
      </c>
      <c r="C502" s="18" t="s">
        <v>39</v>
      </c>
      <c r="D502" s="6">
        <v>60000</v>
      </c>
      <c r="E502" s="18" t="str" cm="1">
        <f t="array" ref="E502">_xlfn.IFS(Cleaned_Working_Sheet!$D502&lt;=50000,"Low Income",Cleaned_Working_Sheet!$D502&lt;100000,"Middle Income",TRUE,"High Income")</f>
        <v>Middle Income</v>
      </c>
      <c r="F502" s="16">
        <v>5</v>
      </c>
      <c r="G502" s="18" t="s">
        <v>13</v>
      </c>
      <c r="H502" s="18" t="s">
        <v>21</v>
      </c>
      <c r="I502" s="18" t="s">
        <v>15</v>
      </c>
      <c r="J502" s="16">
        <v>1</v>
      </c>
      <c r="K502" s="18" t="s">
        <v>22</v>
      </c>
      <c r="L502" s="18" t="s">
        <v>32</v>
      </c>
      <c r="M502" s="14">
        <v>47</v>
      </c>
      <c r="N502" s="18" t="str" cm="1">
        <f t="array" ref="N502">_xlfn.IFS(Cleaned_Working_Sheet!$M502&lt;=34,"Young",Cleaned_Working_Sheet!$M502&lt;=54,"Middle-aged",Cleaned_Working_Sheet!$M502&gt;54,"Old")</f>
        <v>Middle-aged</v>
      </c>
      <c r="O502" s="18" t="s">
        <v>18</v>
      </c>
    </row>
    <row r="503" spans="1:15" x14ac:dyDescent="0.25">
      <c r="A503" s="14">
        <v>19235</v>
      </c>
      <c r="B503" s="18" t="s">
        <v>36</v>
      </c>
      <c r="C503" s="18" t="s">
        <v>38</v>
      </c>
      <c r="D503" s="6">
        <v>50000</v>
      </c>
      <c r="E503" s="18" t="str" cm="1">
        <f t="array" ref="E503">_xlfn.IFS(Cleaned_Working_Sheet!$D503&lt;=50000,"Low Income",Cleaned_Working_Sheet!$D503&lt;100000,"Middle Income",TRUE,"High Income")</f>
        <v>Low Income</v>
      </c>
      <c r="F503" s="16">
        <v>0</v>
      </c>
      <c r="G503" s="18" t="s">
        <v>31</v>
      </c>
      <c r="H503" s="18" t="s">
        <v>14</v>
      </c>
      <c r="I503" s="18" t="s">
        <v>15</v>
      </c>
      <c r="J503" s="16">
        <v>0</v>
      </c>
      <c r="K503" s="18" t="s">
        <v>16</v>
      </c>
      <c r="L503" s="18" t="s">
        <v>32</v>
      </c>
      <c r="M503" s="14">
        <v>34</v>
      </c>
      <c r="N503" s="18" t="str" cm="1">
        <f t="array" ref="N503">_xlfn.IFS(Cleaned_Working_Sheet!$M503&lt;=34,"Young",Cleaned_Working_Sheet!$M503&lt;=54,"Middle-aged",Cleaned_Working_Sheet!$M503&gt;54,"Old")</f>
        <v>Young</v>
      </c>
      <c r="O503" s="18" t="s">
        <v>18</v>
      </c>
    </row>
    <row r="504" spans="1:15" x14ac:dyDescent="0.25">
      <c r="A504" s="14">
        <v>15275</v>
      </c>
      <c r="B504" s="18" t="s">
        <v>36</v>
      </c>
      <c r="C504" s="18" t="s">
        <v>39</v>
      </c>
      <c r="D504" s="6">
        <v>40000</v>
      </c>
      <c r="E504" s="18" t="str" cm="1">
        <f t="array" ref="E504">_xlfn.IFS(Cleaned_Working_Sheet!$D504&lt;=50000,"Low Income",Cleaned_Working_Sheet!$D504&lt;100000,"Middle Income",TRUE,"High Income")</f>
        <v>Low Income</v>
      </c>
      <c r="F504" s="16">
        <v>0</v>
      </c>
      <c r="G504" s="18" t="s">
        <v>19</v>
      </c>
      <c r="H504" s="18" t="s">
        <v>14</v>
      </c>
      <c r="I504" s="18" t="s">
        <v>15</v>
      </c>
      <c r="J504" s="16">
        <v>1</v>
      </c>
      <c r="K504" s="18" t="s">
        <v>23</v>
      </c>
      <c r="L504" s="18" t="s">
        <v>32</v>
      </c>
      <c r="M504" s="14">
        <v>29</v>
      </c>
      <c r="N504" s="18" t="str" cm="1">
        <f t="array" ref="N504">_xlfn.IFS(Cleaned_Working_Sheet!$M504&lt;=34,"Young",Cleaned_Working_Sheet!$M504&lt;=54,"Middle-aged",Cleaned_Working_Sheet!$M504&gt;54,"Old")</f>
        <v>Young</v>
      </c>
      <c r="O504" s="18" t="s">
        <v>18</v>
      </c>
    </row>
    <row r="505" spans="1:15" x14ac:dyDescent="0.25">
      <c r="A505" s="14">
        <v>20339</v>
      </c>
      <c r="B505" s="18" t="s">
        <v>36</v>
      </c>
      <c r="C505" s="18" t="s">
        <v>38</v>
      </c>
      <c r="D505" s="6">
        <v>130000</v>
      </c>
      <c r="E505" s="18" t="str" cm="1">
        <f t="array" ref="E505">_xlfn.IFS(Cleaned_Working_Sheet!$D505&lt;=50000,"Low Income",Cleaned_Working_Sheet!$D505&lt;100000,"Middle Income",TRUE,"High Income")</f>
        <v>High Income</v>
      </c>
      <c r="F505" s="16">
        <v>1</v>
      </c>
      <c r="G505" s="18" t="s">
        <v>13</v>
      </c>
      <c r="H505" s="18" t="s">
        <v>28</v>
      </c>
      <c r="I505" s="18" t="s">
        <v>15</v>
      </c>
      <c r="J505" s="16">
        <v>4</v>
      </c>
      <c r="K505" s="18" t="s">
        <v>22</v>
      </c>
      <c r="L505" s="18" t="s">
        <v>32</v>
      </c>
      <c r="M505" s="14">
        <v>44</v>
      </c>
      <c r="N505" s="18" t="str" cm="1">
        <f t="array" ref="N505">_xlfn.IFS(Cleaned_Working_Sheet!$M505&lt;=34,"Young",Cleaned_Working_Sheet!$M505&lt;=54,"Middle-aged",Cleaned_Working_Sheet!$M505&gt;54,"Old")</f>
        <v>Middle-aged</v>
      </c>
      <c r="O505" s="18" t="s">
        <v>15</v>
      </c>
    </row>
    <row r="506" spans="1:15" x14ac:dyDescent="0.25">
      <c r="A506" s="14">
        <v>25405</v>
      </c>
      <c r="B506" s="18" t="s">
        <v>36</v>
      </c>
      <c r="C506" s="18" t="s">
        <v>39</v>
      </c>
      <c r="D506" s="6">
        <v>70000</v>
      </c>
      <c r="E506" s="18" t="str" cm="1">
        <f t="array" ref="E506">_xlfn.IFS(Cleaned_Working_Sheet!$D506&lt;=50000,"Low Income",Cleaned_Working_Sheet!$D506&lt;100000,"Middle Income",TRUE,"High Income")</f>
        <v>Middle Income</v>
      </c>
      <c r="F506" s="16">
        <v>2</v>
      </c>
      <c r="G506" s="18" t="s">
        <v>13</v>
      </c>
      <c r="H506" s="18" t="s">
        <v>14</v>
      </c>
      <c r="I506" s="18" t="s">
        <v>15</v>
      </c>
      <c r="J506" s="16">
        <v>1</v>
      </c>
      <c r="K506" s="18" t="s">
        <v>22</v>
      </c>
      <c r="L506" s="18" t="s">
        <v>32</v>
      </c>
      <c r="M506" s="14">
        <v>38</v>
      </c>
      <c r="N506" s="18" t="str" cm="1">
        <f t="array" ref="N506">_xlfn.IFS(Cleaned_Working_Sheet!$M506&lt;=34,"Young",Cleaned_Working_Sheet!$M506&lt;=54,"Middle-aged",Cleaned_Working_Sheet!$M506&gt;54,"Old")</f>
        <v>Middle-aged</v>
      </c>
      <c r="O506" s="18" t="s">
        <v>15</v>
      </c>
    </row>
    <row r="507" spans="1:15" x14ac:dyDescent="0.25">
      <c r="A507" s="14">
        <v>15940</v>
      </c>
      <c r="B507" s="18" t="s">
        <v>36</v>
      </c>
      <c r="C507" s="18" t="s">
        <v>39</v>
      </c>
      <c r="D507" s="6">
        <v>100000</v>
      </c>
      <c r="E507" s="18" t="str" cm="1">
        <f t="array" ref="E507">_xlfn.IFS(Cleaned_Working_Sheet!$D507&lt;=50000,"Low Income",Cleaned_Working_Sheet!$D507&lt;100000,"Middle Income",TRUE,"High Income")</f>
        <v>High Income</v>
      </c>
      <c r="F507" s="16">
        <v>4</v>
      </c>
      <c r="G507" s="18" t="s">
        <v>19</v>
      </c>
      <c r="H507" s="18" t="s">
        <v>21</v>
      </c>
      <c r="I507" s="18" t="s">
        <v>15</v>
      </c>
      <c r="J507" s="16">
        <v>4</v>
      </c>
      <c r="K507" s="18" t="s">
        <v>16</v>
      </c>
      <c r="L507" s="18" t="s">
        <v>32</v>
      </c>
      <c r="M507" s="14">
        <v>40</v>
      </c>
      <c r="N507" s="18" t="str" cm="1">
        <f t="array" ref="N507">_xlfn.IFS(Cleaned_Working_Sheet!$M507&lt;=34,"Young",Cleaned_Working_Sheet!$M507&lt;=54,"Middle-aged",Cleaned_Working_Sheet!$M507&gt;54,"Old")</f>
        <v>Middle-aged</v>
      </c>
      <c r="O507" s="18" t="s">
        <v>18</v>
      </c>
    </row>
    <row r="508" spans="1:15" x14ac:dyDescent="0.25">
      <c r="A508" s="14">
        <v>25074</v>
      </c>
      <c r="B508" s="18" t="s">
        <v>36</v>
      </c>
      <c r="C508" s="18" t="s">
        <v>38</v>
      </c>
      <c r="D508" s="6">
        <v>70000</v>
      </c>
      <c r="E508" s="18" t="str" cm="1">
        <f t="array" ref="E508">_xlfn.IFS(Cleaned_Working_Sheet!$D508&lt;=50000,"Low Income",Cleaned_Working_Sheet!$D508&lt;100000,"Middle Income",TRUE,"High Income")</f>
        <v>Middle Income</v>
      </c>
      <c r="F508" s="16">
        <v>4</v>
      </c>
      <c r="G508" s="18" t="s">
        <v>13</v>
      </c>
      <c r="H508" s="18" t="s">
        <v>21</v>
      </c>
      <c r="I508" s="18" t="s">
        <v>15</v>
      </c>
      <c r="J508" s="16">
        <v>2</v>
      </c>
      <c r="K508" s="18" t="s">
        <v>22</v>
      </c>
      <c r="L508" s="18" t="s">
        <v>32</v>
      </c>
      <c r="M508" s="14">
        <v>42</v>
      </c>
      <c r="N508" s="18" t="str" cm="1">
        <f t="array" ref="N508">_xlfn.IFS(Cleaned_Working_Sheet!$M508&lt;=34,"Young",Cleaned_Working_Sheet!$M508&lt;=54,"Middle-aged",Cleaned_Working_Sheet!$M508&gt;54,"Old")</f>
        <v>Middle-aged</v>
      </c>
      <c r="O508" s="18" t="s">
        <v>15</v>
      </c>
    </row>
    <row r="509" spans="1:15" x14ac:dyDescent="0.25">
      <c r="A509" s="14">
        <v>24738</v>
      </c>
      <c r="B509" s="18" t="s">
        <v>36</v>
      </c>
      <c r="C509" s="18" t="s">
        <v>38</v>
      </c>
      <c r="D509" s="6">
        <v>40000</v>
      </c>
      <c r="E509" s="18" t="str" cm="1">
        <f t="array" ref="E509">_xlfn.IFS(Cleaned_Working_Sheet!$D509&lt;=50000,"Low Income",Cleaned_Working_Sheet!$D509&lt;100000,"Middle Income",TRUE,"High Income")</f>
        <v>Low Income</v>
      </c>
      <c r="F509" s="16">
        <v>1</v>
      </c>
      <c r="G509" s="18" t="s">
        <v>19</v>
      </c>
      <c r="H509" s="18" t="s">
        <v>20</v>
      </c>
      <c r="I509" s="18" t="s">
        <v>15</v>
      </c>
      <c r="J509" s="16">
        <v>1</v>
      </c>
      <c r="K509" s="18" t="s">
        <v>26</v>
      </c>
      <c r="L509" s="18" t="s">
        <v>32</v>
      </c>
      <c r="M509" s="14">
        <v>51</v>
      </c>
      <c r="N509" s="18" t="str" cm="1">
        <f t="array" ref="N509">_xlfn.IFS(Cleaned_Working_Sheet!$M509&lt;=34,"Young",Cleaned_Working_Sheet!$M509&lt;=54,"Middle-aged",Cleaned_Working_Sheet!$M509&gt;54,"Old")</f>
        <v>Middle-aged</v>
      </c>
      <c r="O509" s="18" t="s">
        <v>15</v>
      </c>
    </row>
    <row r="510" spans="1:15" x14ac:dyDescent="0.25">
      <c r="A510" s="14">
        <v>16337</v>
      </c>
      <c r="B510" s="18" t="s">
        <v>36</v>
      </c>
      <c r="C510" s="18" t="s">
        <v>39</v>
      </c>
      <c r="D510" s="6">
        <v>60000</v>
      </c>
      <c r="E510" s="18" t="str" cm="1">
        <f t="array" ref="E510">_xlfn.IFS(Cleaned_Working_Sheet!$D510&lt;=50000,"Low Income",Cleaned_Working_Sheet!$D510&lt;100000,"Middle Income",TRUE,"High Income")</f>
        <v>Middle Income</v>
      </c>
      <c r="F510" s="16">
        <v>0</v>
      </c>
      <c r="G510" s="18" t="s">
        <v>19</v>
      </c>
      <c r="H510" s="18" t="s">
        <v>14</v>
      </c>
      <c r="I510" s="18" t="s">
        <v>18</v>
      </c>
      <c r="J510" s="16">
        <v>2</v>
      </c>
      <c r="K510" s="18" t="s">
        <v>26</v>
      </c>
      <c r="L510" s="18" t="s">
        <v>32</v>
      </c>
      <c r="M510" s="14">
        <v>29</v>
      </c>
      <c r="N510" s="18" t="str" cm="1">
        <f t="array" ref="N510">_xlfn.IFS(Cleaned_Working_Sheet!$M510&lt;=34,"Young",Cleaned_Working_Sheet!$M510&lt;=54,"Middle-aged",Cleaned_Working_Sheet!$M510&gt;54,"Old")</f>
        <v>Young</v>
      </c>
      <c r="O510" s="18" t="s">
        <v>18</v>
      </c>
    </row>
    <row r="511" spans="1:15" x14ac:dyDescent="0.25">
      <c r="A511" s="14">
        <v>24357</v>
      </c>
      <c r="B511" s="18" t="s">
        <v>36</v>
      </c>
      <c r="C511" s="18" t="s">
        <v>39</v>
      </c>
      <c r="D511" s="6">
        <v>80000</v>
      </c>
      <c r="E511" s="18" t="str" cm="1">
        <f t="array" ref="E511">_xlfn.IFS(Cleaned_Working_Sheet!$D511&lt;=50000,"Low Income",Cleaned_Working_Sheet!$D511&lt;100000,"Middle Income",TRUE,"High Income")</f>
        <v>Middle Income</v>
      </c>
      <c r="F511" s="16">
        <v>3</v>
      </c>
      <c r="G511" s="18" t="s">
        <v>13</v>
      </c>
      <c r="H511" s="18" t="s">
        <v>21</v>
      </c>
      <c r="I511" s="18" t="s">
        <v>15</v>
      </c>
      <c r="J511" s="16">
        <v>1</v>
      </c>
      <c r="K511" s="18" t="s">
        <v>22</v>
      </c>
      <c r="L511" s="18" t="s">
        <v>32</v>
      </c>
      <c r="M511" s="14">
        <v>48</v>
      </c>
      <c r="N511" s="18" t="str" cm="1">
        <f t="array" ref="N511">_xlfn.IFS(Cleaned_Working_Sheet!$M511&lt;=34,"Young",Cleaned_Working_Sheet!$M511&lt;=54,"Middle-aged",Cleaned_Working_Sheet!$M511&gt;54,"Old")</f>
        <v>Middle-aged</v>
      </c>
      <c r="O511" s="18" t="s">
        <v>15</v>
      </c>
    </row>
    <row r="512" spans="1:15" x14ac:dyDescent="0.25">
      <c r="A512" s="14">
        <v>18613</v>
      </c>
      <c r="B512" s="18" t="s">
        <v>37</v>
      </c>
      <c r="C512" s="18" t="s">
        <v>39</v>
      </c>
      <c r="D512" s="6">
        <v>70000</v>
      </c>
      <c r="E512" s="18" t="str" cm="1">
        <f t="array" ref="E512">_xlfn.IFS(Cleaned_Working_Sheet!$D512&lt;=50000,"Low Income",Cleaned_Working_Sheet!$D512&lt;100000,"Middle Income",TRUE,"High Income")</f>
        <v>Middle Income</v>
      </c>
      <c r="F512" s="16">
        <v>0</v>
      </c>
      <c r="G512" s="18" t="s">
        <v>13</v>
      </c>
      <c r="H512" s="18" t="s">
        <v>21</v>
      </c>
      <c r="I512" s="18" t="s">
        <v>18</v>
      </c>
      <c r="J512" s="16">
        <v>1</v>
      </c>
      <c r="K512" s="18" t="s">
        <v>22</v>
      </c>
      <c r="L512" s="18" t="s">
        <v>32</v>
      </c>
      <c r="M512" s="14">
        <v>37</v>
      </c>
      <c r="N512" s="18" t="str" cm="1">
        <f t="array" ref="N512">_xlfn.IFS(Cleaned_Working_Sheet!$M512&lt;=34,"Young",Cleaned_Working_Sheet!$M512&lt;=54,"Middle-aged",Cleaned_Working_Sheet!$M512&gt;54,"Old")</f>
        <v>Middle-aged</v>
      </c>
      <c r="O512" s="18" t="s">
        <v>15</v>
      </c>
    </row>
    <row r="513" spans="1:15" x14ac:dyDescent="0.25">
      <c r="A513" s="14">
        <v>12207</v>
      </c>
      <c r="B513" s="18" t="s">
        <v>37</v>
      </c>
      <c r="C513" s="18" t="s">
        <v>39</v>
      </c>
      <c r="D513" s="6">
        <v>80000</v>
      </c>
      <c r="E513" s="18" t="str" cm="1">
        <f t="array" ref="E513">_xlfn.IFS(Cleaned_Working_Sheet!$D513&lt;=50000,"Low Income",Cleaned_Working_Sheet!$D513&lt;100000,"Middle Income",TRUE,"High Income")</f>
        <v>Middle Income</v>
      </c>
      <c r="F513" s="16">
        <v>4</v>
      </c>
      <c r="G513" s="18" t="s">
        <v>13</v>
      </c>
      <c r="H513" s="18" t="s">
        <v>28</v>
      </c>
      <c r="I513" s="18" t="s">
        <v>15</v>
      </c>
      <c r="J513" s="16">
        <v>0</v>
      </c>
      <c r="K513" s="18" t="s">
        <v>23</v>
      </c>
      <c r="L513" s="18" t="s">
        <v>32</v>
      </c>
      <c r="M513" s="14">
        <v>66</v>
      </c>
      <c r="N513" s="18" t="str" cm="1">
        <f t="array" ref="N513">_xlfn.IFS(Cleaned_Working_Sheet!$M513&lt;=34,"Young",Cleaned_Working_Sheet!$M513&lt;=54,"Middle-aged",Cleaned_Working_Sheet!$M513&gt;54,"Old")</f>
        <v>Old</v>
      </c>
      <c r="O513" s="18" t="s">
        <v>15</v>
      </c>
    </row>
    <row r="514" spans="1:15" x14ac:dyDescent="0.25">
      <c r="A514" s="14">
        <v>18052</v>
      </c>
      <c r="B514" s="18" t="s">
        <v>36</v>
      </c>
      <c r="C514" s="18" t="s">
        <v>38</v>
      </c>
      <c r="D514" s="6">
        <v>60000</v>
      </c>
      <c r="E514" s="18" t="str" cm="1">
        <f t="array" ref="E514">_xlfn.IFS(Cleaned_Working_Sheet!$D514&lt;=50000,"Low Income",Cleaned_Working_Sheet!$D514&lt;100000,"Middle Income",TRUE,"High Income")</f>
        <v>Middle Income</v>
      </c>
      <c r="F514" s="16">
        <v>1</v>
      </c>
      <c r="G514" s="18" t="s">
        <v>19</v>
      </c>
      <c r="H514" s="18" t="s">
        <v>14</v>
      </c>
      <c r="I514" s="18" t="s">
        <v>15</v>
      </c>
      <c r="J514" s="16">
        <v>1</v>
      </c>
      <c r="K514" s="18" t="s">
        <v>16</v>
      </c>
      <c r="L514" s="18" t="s">
        <v>32</v>
      </c>
      <c r="M514" s="14">
        <v>45</v>
      </c>
      <c r="N514" s="18" t="str" cm="1">
        <f t="array" ref="N514">_xlfn.IFS(Cleaned_Working_Sheet!$M514&lt;=34,"Young",Cleaned_Working_Sheet!$M514&lt;=54,"Middle-aged",Cleaned_Working_Sheet!$M514&gt;54,"Old")</f>
        <v>Middle-aged</v>
      </c>
      <c r="O514" s="18" t="s">
        <v>15</v>
      </c>
    </row>
    <row r="515" spans="1:15" x14ac:dyDescent="0.25">
      <c r="A515" s="14">
        <v>13353</v>
      </c>
      <c r="B515" s="18" t="s">
        <v>37</v>
      </c>
      <c r="C515" s="18" t="s">
        <v>38</v>
      </c>
      <c r="D515" s="6">
        <v>60000</v>
      </c>
      <c r="E515" s="18" t="str" cm="1">
        <f t="array" ref="E515">_xlfn.IFS(Cleaned_Working_Sheet!$D515&lt;=50000,"Low Income",Cleaned_Working_Sheet!$D515&lt;100000,"Middle Income",TRUE,"High Income")</f>
        <v>Middle Income</v>
      </c>
      <c r="F515" s="16">
        <v>4</v>
      </c>
      <c r="G515" s="18" t="s">
        <v>31</v>
      </c>
      <c r="H515" s="18" t="s">
        <v>28</v>
      </c>
      <c r="I515" s="18" t="s">
        <v>15</v>
      </c>
      <c r="J515" s="16">
        <v>2</v>
      </c>
      <c r="K515" s="18" t="s">
        <v>43</v>
      </c>
      <c r="L515" s="18" t="s">
        <v>32</v>
      </c>
      <c r="M515" s="14">
        <v>61</v>
      </c>
      <c r="N515" s="18" t="str" cm="1">
        <f t="array" ref="N515">_xlfn.IFS(Cleaned_Working_Sheet!$M515&lt;=34,"Young",Cleaned_Working_Sheet!$M515&lt;=54,"Middle-aged",Cleaned_Working_Sheet!$M515&gt;54,"Old")</f>
        <v>Old</v>
      </c>
      <c r="O515" s="18" t="s">
        <v>15</v>
      </c>
    </row>
    <row r="516" spans="1:15" x14ac:dyDescent="0.25">
      <c r="A516" s="14">
        <v>19399</v>
      </c>
      <c r="B516" s="18" t="s">
        <v>37</v>
      </c>
      <c r="C516" s="18" t="s">
        <v>39</v>
      </c>
      <c r="D516" s="6">
        <v>40000</v>
      </c>
      <c r="E516" s="18" t="str" cm="1">
        <f t="array" ref="E516">_xlfn.IFS(Cleaned_Working_Sheet!$D516&lt;=50000,"Low Income",Cleaned_Working_Sheet!$D516&lt;100000,"Middle Income",TRUE,"High Income")</f>
        <v>Low Income</v>
      </c>
      <c r="F516" s="16">
        <v>0</v>
      </c>
      <c r="G516" s="18" t="s">
        <v>13</v>
      </c>
      <c r="H516" s="18" t="s">
        <v>21</v>
      </c>
      <c r="I516" s="18" t="s">
        <v>18</v>
      </c>
      <c r="J516" s="16">
        <v>1</v>
      </c>
      <c r="K516" s="18" t="s">
        <v>22</v>
      </c>
      <c r="L516" s="18" t="s">
        <v>32</v>
      </c>
      <c r="M516" s="14">
        <v>45</v>
      </c>
      <c r="N516" s="18" t="str" cm="1">
        <f t="array" ref="N516">_xlfn.IFS(Cleaned_Working_Sheet!$M516&lt;=34,"Young",Cleaned_Working_Sheet!$M516&lt;=54,"Middle-aged",Cleaned_Working_Sheet!$M516&gt;54,"Old")</f>
        <v>Middle-aged</v>
      </c>
      <c r="O516" s="18" t="s">
        <v>18</v>
      </c>
    </row>
    <row r="517" spans="1:15" x14ac:dyDescent="0.25">
      <c r="A517" s="14">
        <v>16154</v>
      </c>
      <c r="B517" s="18" t="s">
        <v>36</v>
      </c>
      <c r="C517" s="18" t="s">
        <v>38</v>
      </c>
      <c r="D517" s="6">
        <v>70000</v>
      </c>
      <c r="E517" s="18" t="str" cm="1">
        <f t="array" ref="E517">_xlfn.IFS(Cleaned_Working_Sheet!$D517&lt;=50000,"Low Income",Cleaned_Working_Sheet!$D517&lt;100000,"Middle Income",TRUE,"High Income")</f>
        <v>Middle Income</v>
      </c>
      <c r="F517" s="16">
        <v>5</v>
      </c>
      <c r="G517" s="18" t="s">
        <v>13</v>
      </c>
      <c r="H517" s="18" t="s">
        <v>21</v>
      </c>
      <c r="I517" s="18" t="s">
        <v>15</v>
      </c>
      <c r="J517" s="16">
        <v>2</v>
      </c>
      <c r="K517" s="18" t="s">
        <v>22</v>
      </c>
      <c r="L517" s="18" t="s">
        <v>32</v>
      </c>
      <c r="M517" s="14">
        <v>47</v>
      </c>
      <c r="N517" s="18" t="str" cm="1">
        <f t="array" ref="N517">_xlfn.IFS(Cleaned_Working_Sheet!$M517&lt;=34,"Young",Cleaned_Working_Sheet!$M517&lt;=54,"Middle-aged",Cleaned_Working_Sheet!$M517&gt;54,"Old")</f>
        <v>Middle-aged</v>
      </c>
      <c r="O517" s="18" t="s">
        <v>18</v>
      </c>
    </row>
    <row r="518" spans="1:15" x14ac:dyDescent="0.25">
      <c r="A518" s="14">
        <v>22219</v>
      </c>
      <c r="B518" s="18" t="s">
        <v>36</v>
      </c>
      <c r="C518" s="18" t="s">
        <v>38</v>
      </c>
      <c r="D518" s="6">
        <v>60000</v>
      </c>
      <c r="E518" s="18" t="str" cm="1">
        <f t="array" ref="E518">_xlfn.IFS(Cleaned_Working_Sheet!$D518&lt;=50000,"Low Income",Cleaned_Working_Sheet!$D518&lt;100000,"Middle Income",TRUE,"High Income")</f>
        <v>Middle Income</v>
      </c>
      <c r="F518" s="16">
        <v>2</v>
      </c>
      <c r="G518" s="18" t="s">
        <v>27</v>
      </c>
      <c r="H518" s="18" t="s">
        <v>21</v>
      </c>
      <c r="I518" s="18" t="s">
        <v>15</v>
      </c>
      <c r="J518" s="16">
        <v>2</v>
      </c>
      <c r="K518" s="18" t="s">
        <v>23</v>
      </c>
      <c r="L518" s="18" t="s">
        <v>32</v>
      </c>
      <c r="M518" s="14">
        <v>49</v>
      </c>
      <c r="N518" s="18" t="str" cm="1">
        <f t="array" ref="N518">_xlfn.IFS(Cleaned_Working_Sheet!$M518&lt;=34,"Young",Cleaned_Working_Sheet!$M518&lt;=54,"Middle-aged",Cleaned_Working_Sheet!$M518&gt;54,"Old")</f>
        <v>Middle-aged</v>
      </c>
      <c r="O518" s="18" t="s">
        <v>18</v>
      </c>
    </row>
    <row r="519" spans="1:15" x14ac:dyDescent="0.25">
      <c r="A519" s="14">
        <v>17269</v>
      </c>
      <c r="B519" s="18" t="s">
        <v>37</v>
      </c>
      <c r="C519" s="18" t="s">
        <v>39</v>
      </c>
      <c r="D519" s="6">
        <v>60000</v>
      </c>
      <c r="E519" s="18" t="str" cm="1">
        <f t="array" ref="E519">_xlfn.IFS(Cleaned_Working_Sheet!$D519&lt;=50000,"Low Income",Cleaned_Working_Sheet!$D519&lt;100000,"Middle Income",TRUE,"High Income")</f>
        <v>Middle Income</v>
      </c>
      <c r="F519" s="16">
        <v>3</v>
      </c>
      <c r="G519" s="18" t="s">
        <v>13</v>
      </c>
      <c r="H519" s="18" t="s">
        <v>21</v>
      </c>
      <c r="I519" s="18" t="s">
        <v>18</v>
      </c>
      <c r="J519" s="16">
        <v>0</v>
      </c>
      <c r="K519" s="18" t="s">
        <v>16</v>
      </c>
      <c r="L519" s="18" t="s">
        <v>32</v>
      </c>
      <c r="M519" s="14">
        <v>47</v>
      </c>
      <c r="N519" s="18" t="str" cm="1">
        <f t="array" ref="N519">_xlfn.IFS(Cleaned_Working_Sheet!$M519&lt;=34,"Young",Cleaned_Working_Sheet!$M519&lt;=54,"Middle-aged",Cleaned_Working_Sheet!$M519&gt;54,"Old")</f>
        <v>Middle-aged</v>
      </c>
      <c r="O519" s="18" t="s">
        <v>15</v>
      </c>
    </row>
    <row r="520" spans="1:15" x14ac:dyDescent="0.25">
      <c r="A520" s="14">
        <v>23586</v>
      </c>
      <c r="B520" s="18" t="s">
        <v>36</v>
      </c>
      <c r="C520" s="18" t="s">
        <v>38</v>
      </c>
      <c r="D520" s="6">
        <v>80000</v>
      </c>
      <c r="E520" s="18" t="str" cm="1">
        <f t="array" ref="E520">_xlfn.IFS(Cleaned_Working_Sheet!$D520&lt;=50000,"Low Income",Cleaned_Working_Sheet!$D520&lt;100000,"Middle Income",TRUE,"High Income")</f>
        <v>Middle Income</v>
      </c>
      <c r="F520" s="16">
        <v>0</v>
      </c>
      <c r="G520" s="18" t="s">
        <v>13</v>
      </c>
      <c r="H520" s="18" t="s">
        <v>28</v>
      </c>
      <c r="I520" s="18" t="s">
        <v>15</v>
      </c>
      <c r="J520" s="16">
        <v>1</v>
      </c>
      <c r="K520" s="18" t="s">
        <v>26</v>
      </c>
      <c r="L520" s="18" t="s">
        <v>32</v>
      </c>
      <c r="M520" s="14">
        <v>34</v>
      </c>
      <c r="N520" s="18" t="str" cm="1">
        <f t="array" ref="N520">_xlfn.IFS(Cleaned_Working_Sheet!$M520&lt;=34,"Young",Cleaned_Working_Sheet!$M520&lt;=54,"Middle-aged",Cleaned_Working_Sheet!$M520&gt;54,"Old")</f>
        <v>Young</v>
      </c>
      <c r="O520" s="18" t="s">
        <v>15</v>
      </c>
    </row>
    <row r="521" spans="1:15" x14ac:dyDescent="0.25">
      <c r="A521" s="14">
        <v>15740</v>
      </c>
      <c r="B521" s="18" t="s">
        <v>36</v>
      </c>
      <c r="C521" s="18" t="s">
        <v>39</v>
      </c>
      <c r="D521" s="6">
        <v>80000</v>
      </c>
      <c r="E521" s="18" t="str" cm="1">
        <f t="array" ref="E521">_xlfn.IFS(Cleaned_Working_Sheet!$D521&lt;=50000,"Low Income",Cleaned_Working_Sheet!$D521&lt;100000,"Middle Income",TRUE,"High Income")</f>
        <v>Middle Income</v>
      </c>
      <c r="F521" s="16">
        <v>5</v>
      </c>
      <c r="G521" s="18" t="s">
        <v>13</v>
      </c>
      <c r="H521" s="18" t="s">
        <v>28</v>
      </c>
      <c r="I521" s="18" t="s">
        <v>15</v>
      </c>
      <c r="J521" s="16">
        <v>2</v>
      </c>
      <c r="K521" s="18" t="s">
        <v>26</v>
      </c>
      <c r="L521" s="18" t="s">
        <v>32</v>
      </c>
      <c r="M521" s="14">
        <v>64</v>
      </c>
      <c r="N521" s="18" t="str" cm="1">
        <f t="array" ref="N521">_xlfn.IFS(Cleaned_Working_Sheet!$M521&lt;=34,"Young",Cleaned_Working_Sheet!$M521&lt;=54,"Middle-aged",Cleaned_Working_Sheet!$M521&gt;54,"Old")</f>
        <v>Old</v>
      </c>
      <c r="O521" s="18" t="s">
        <v>18</v>
      </c>
    </row>
    <row r="522" spans="1:15" x14ac:dyDescent="0.25">
      <c r="A522" s="14">
        <v>27638</v>
      </c>
      <c r="B522" s="18" t="s">
        <v>37</v>
      </c>
      <c r="C522" s="18" t="s">
        <v>39</v>
      </c>
      <c r="D522" s="6">
        <v>100000</v>
      </c>
      <c r="E522" s="18" t="str" cm="1">
        <f t="array" ref="E522">_xlfn.IFS(Cleaned_Working_Sheet!$D522&lt;=50000,"Low Income",Cleaned_Working_Sheet!$D522&lt;100000,"Middle Income",TRUE,"High Income")</f>
        <v>High Income</v>
      </c>
      <c r="F522" s="16">
        <v>1</v>
      </c>
      <c r="G522" s="18" t="s">
        <v>19</v>
      </c>
      <c r="H522" s="18" t="s">
        <v>21</v>
      </c>
      <c r="I522" s="18" t="s">
        <v>18</v>
      </c>
      <c r="J522" s="16">
        <v>3</v>
      </c>
      <c r="K522" s="18" t="s">
        <v>26</v>
      </c>
      <c r="L522" s="18" t="s">
        <v>32</v>
      </c>
      <c r="M522" s="14">
        <v>44</v>
      </c>
      <c r="N522" s="18" t="str" cm="1">
        <f t="array" ref="N522">_xlfn.IFS(Cleaned_Working_Sheet!$M522&lt;=34,"Young",Cleaned_Working_Sheet!$M522&lt;=54,"Middle-aged",Cleaned_Working_Sheet!$M522&gt;54,"Old")</f>
        <v>Middle-aged</v>
      </c>
      <c r="O522" s="18" t="s">
        <v>18</v>
      </c>
    </row>
    <row r="523" spans="1:15" x14ac:dyDescent="0.25">
      <c r="A523" s="14">
        <v>18976</v>
      </c>
      <c r="B523" s="18" t="s">
        <v>37</v>
      </c>
      <c r="C523" s="18" t="s">
        <v>39</v>
      </c>
      <c r="D523" s="6">
        <v>40000</v>
      </c>
      <c r="E523" s="18" t="str" cm="1">
        <f t="array" ref="E523">_xlfn.IFS(Cleaned_Working_Sheet!$D523&lt;=50000,"Low Income",Cleaned_Working_Sheet!$D523&lt;100000,"Middle Income",TRUE,"High Income")</f>
        <v>Low Income</v>
      </c>
      <c r="F523" s="16">
        <v>4</v>
      </c>
      <c r="G523" s="18" t="s">
        <v>27</v>
      </c>
      <c r="H523" s="18" t="s">
        <v>21</v>
      </c>
      <c r="I523" s="18" t="s">
        <v>15</v>
      </c>
      <c r="J523" s="16">
        <v>2</v>
      </c>
      <c r="K523" s="18" t="s">
        <v>43</v>
      </c>
      <c r="L523" s="18" t="s">
        <v>32</v>
      </c>
      <c r="M523" s="14">
        <v>62</v>
      </c>
      <c r="N523" s="18" t="str" cm="1">
        <f t="array" ref="N523">_xlfn.IFS(Cleaned_Working_Sheet!$M523&lt;=34,"Young",Cleaned_Working_Sheet!$M523&lt;=54,"Middle-aged",Cleaned_Working_Sheet!$M523&gt;54,"Old")</f>
        <v>Old</v>
      </c>
      <c r="O523" s="18" t="s">
        <v>15</v>
      </c>
    </row>
    <row r="524" spans="1:15" x14ac:dyDescent="0.25">
      <c r="A524" s="14">
        <v>19413</v>
      </c>
      <c r="B524" s="18" t="s">
        <v>37</v>
      </c>
      <c r="C524" s="18" t="s">
        <v>39</v>
      </c>
      <c r="D524" s="6">
        <v>60000</v>
      </c>
      <c r="E524" s="18" t="str" cm="1">
        <f t="array" ref="E524">_xlfn.IFS(Cleaned_Working_Sheet!$D524&lt;=50000,"Low Income",Cleaned_Working_Sheet!$D524&lt;100000,"Middle Income",TRUE,"High Income")</f>
        <v>Middle Income</v>
      </c>
      <c r="F524" s="16">
        <v>3</v>
      </c>
      <c r="G524" s="18" t="s">
        <v>13</v>
      </c>
      <c r="H524" s="18" t="s">
        <v>21</v>
      </c>
      <c r="I524" s="18" t="s">
        <v>18</v>
      </c>
      <c r="J524" s="16">
        <v>1</v>
      </c>
      <c r="K524" s="18" t="s">
        <v>16</v>
      </c>
      <c r="L524" s="18" t="s">
        <v>32</v>
      </c>
      <c r="M524" s="14">
        <v>47</v>
      </c>
      <c r="N524" s="18" t="str" cm="1">
        <f t="array" ref="N524">_xlfn.IFS(Cleaned_Working_Sheet!$M524&lt;=34,"Young",Cleaned_Working_Sheet!$M524&lt;=54,"Middle-aged",Cleaned_Working_Sheet!$M524&gt;54,"Old")</f>
        <v>Middle-aged</v>
      </c>
      <c r="O524" s="18" t="s">
        <v>15</v>
      </c>
    </row>
    <row r="525" spans="1:15" x14ac:dyDescent="0.25">
      <c r="A525" s="14">
        <v>13283</v>
      </c>
      <c r="B525" s="18" t="s">
        <v>36</v>
      </c>
      <c r="C525" s="18" t="s">
        <v>39</v>
      </c>
      <c r="D525" s="6">
        <v>80000</v>
      </c>
      <c r="E525" s="18" t="str" cm="1">
        <f t="array" ref="E525">_xlfn.IFS(Cleaned_Working_Sheet!$D525&lt;=50000,"Low Income",Cleaned_Working_Sheet!$D525&lt;100000,"Middle Income",TRUE,"High Income")</f>
        <v>Middle Income</v>
      </c>
      <c r="F525" s="16">
        <v>3</v>
      </c>
      <c r="G525" s="18" t="s">
        <v>19</v>
      </c>
      <c r="H525" s="18" t="s">
        <v>21</v>
      </c>
      <c r="I525" s="18" t="s">
        <v>18</v>
      </c>
      <c r="J525" s="16">
        <v>2</v>
      </c>
      <c r="K525" s="18" t="s">
        <v>16</v>
      </c>
      <c r="L525" s="18" t="s">
        <v>32</v>
      </c>
      <c r="M525" s="14">
        <v>49</v>
      </c>
      <c r="N525" s="18" t="str" cm="1">
        <f t="array" ref="N525">_xlfn.IFS(Cleaned_Working_Sheet!$M525&lt;=34,"Young",Cleaned_Working_Sheet!$M525&lt;=54,"Middle-aged",Cleaned_Working_Sheet!$M525&gt;54,"Old")</f>
        <v>Middle-aged</v>
      </c>
      <c r="O525" s="18" t="s">
        <v>15</v>
      </c>
    </row>
    <row r="526" spans="1:15" x14ac:dyDescent="0.25">
      <c r="A526" s="14">
        <v>17471</v>
      </c>
      <c r="B526" s="18" t="s">
        <v>37</v>
      </c>
      <c r="C526" s="18" t="s">
        <v>38</v>
      </c>
      <c r="D526" s="6">
        <v>80000</v>
      </c>
      <c r="E526" s="18" t="str" cm="1">
        <f t="array" ref="E526">_xlfn.IFS(Cleaned_Working_Sheet!$D526&lt;=50000,"Low Income",Cleaned_Working_Sheet!$D526&lt;100000,"Middle Income",TRUE,"High Income")</f>
        <v>Middle Income</v>
      </c>
      <c r="F526" s="16">
        <v>4</v>
      </c>
      <c r="G526" s="18" t="s">
        <v>31</v>
      </c>
      <c r="H526" s="18" t="s">
        <v>28</v>
      </c>
      <c r="I526" s="18" t="s">
        <v>15</v>
      </c>
      <c r="J526" s="16">
        <v>2</v>
      </c>
      <c r="K526" s="18" t="s">
        <v>23</v>
      </c>
      <c r="L526" s="18" t="s">
        <v>32</v>
      </c>
      <c r="M526" s="14">
        <v>67</v>
      </c>
      <c r="N526" s="18" t="str" cm="1">
        <f t="array" ref="N526">_xlfn.IFS(Cleaned_Working_Sheet!$M526&lt;=34,"Young",Cleaned_Working_Sheet!$M526&lt;=54,"Middle-aged",Cleaned_Working_Sheet!$M526&gt;54,"Old")</f>
        <v>Old</v>
      </c>
      <c r="O526" s="18" t="s">
        <v>18</v>
      </c>
    </row>
    <row r="527" spans="1:15" x14ac:dyDescent="0.25">
      <c r="A527" s="14">
        <v>16791</v>
      </c>
      <c r="B527" s="18" t="s">
        <v>37</v>
      </c>
      <c r="C527" s="18" t="s">
        <v>39</v>
      </c>
      <c r="D527" s="6">
        <v>60000</v>
      </c>
      <c r="E527" s="18" t="str" cm="1">
        <f t="array" ref="E527">_xlfn.IFS(Cleaned_Working_Sheet!$D527&lt;=50000,"Low Income",Cleaned_Working_Sheet!$D527&lt;100000,"Middle Income",TRUE,"High Income")</f>
        <v>Middle Income</v>
      </c>
      <c r="F527" s="16">
        <v>5</v>
      </c>
      <c r="G527" s="18" t="s">
        <v>13</v>
      </c>
      <c r="H527" s="18" t="s">
        <v>28</v>
      </c>
      <c r="I527" s="18" t="s">
        <v>15</v>
      </c>
      <c r="J527" s="16">
        <v>3</v>
      </c>
      <c r="K527" s="18" t="s">
        <v>43</v>
      </c>
      <c r="L527" s="18" t="s">
        <v>32</v>
      </c>
      <c r="M527" s="14">
        <v>59</v>
      </c>
      <c r="N527" s="18" t="str" cm="1">
        <f t="array" ref="N527">_xlfn.IFS(Cleaned_Working_Sheet!$M527&lt;=34,"Young",Cleaned_Working_Sheet!$M527&lt;=54,"Middle-aged",Cleaned_Working_Sheet!$M527&gt;54,"Old")</f>
        <v>Old</v>
      </c>
      <c r="O527" s="18" t="s">
        <v>15</v>
      </c>
    </row>
    <row r="528" spans="1:15" x14ac:dyDescent="0.25">
      <c r="A528" s="14">
        <v>15382</v>
      </c>
      <c r="B528" s="18" t="s">
        <v>36</v>
      </c>
      <c r="C528" s="18" t="s">
        <v>38</v>
      </c>
      <c r="D528" s="6">
        <v>110000</v>
      </c>
      <c r="E528" s="18" t="str" cm="1">
        <f t="array" ref="E528">_xlfn.IFS(Cleaned_Working_Sheet!$D528&lt;=50000,"Low Income",Cleaned_Working_Sheet!$D528&lt;100000,"Middle Income",TRUE,"High Income")</f>
        <v>High Income</v>
      </c>
      <c r="F528" s="16">
        <v>1</v>
      </c>
      <c r="G528" s="18" t="s">
        <v>13</v>
      </c>
      <c r="H528" s="18" t="s">
        <v>28</v>
      </c>
      <c r="I528" s="18" t="s">
        <v>15</v>
      </c>
      <c r="J528" s="16">
        <v>2</v>
      </c>
      <c r="K528" s="18" t="s">
        <v>26</v>
      </c>
      <c r="L528" s="18" t="s">
        <v>32</v>
      </c>
      <c r="M528" s="14">
        <v>44</v>
      </c>
      <c r="N528" s="18" t="str" cm="1">
        <f t="array" ref="N528">_xlfn.IFS(Cleaned_Working_Sheet!$M528&lt;=34,"Young",Cleaned_Working_Sheet!$M528&lt;=54,"Middle-aged",Cleaned_Working_Sheet!$M528&gt;54,"Old")</f>
        <v>Middle-aged</v>
      </c>
      <c r="O528" s="18" t="s">
        <v>18</v>
      </c>
    </row>
    <row r="529" spans="1:15" x14ac:dyDescent="0.25">
      <c r="A529" s="14">
        <v>11641</v>
      </c>
      <c r="B529" s="18" t="s">
        <v>36</v>
      </c>
      <c r="C529" s="18" t="s">
        <v>39</v>
      </c>
      <c r="D529" s="6">
        <v>50000</v>
      </c>
      <c r="E529" s="18" t="str" cm="1">
        <f t="array" ref="E529">_xlfn.IFS(Cleaned_Working_Sheet!$D529&lt;=50000,"Low Income",Cleaned_Working_Sheet!$D529&lt;100000,"Middle Income",TRUE,"High Income")</f>
        <v>Low Income</v>
      </c>
      <c r="F529" s="16">
        <v>1</v>
      </c>
      <c r="G529" s="18" t="s">
        <v>13</v>
      </c>
      <c r="H529" s="18" t="s">
        <v>14</v>
      </c>
      <c r="I529" s="18" t="s">
        <v>15</v>
      </c>
      <c r="J529" s="16">
        <v>0</v>
      </c>
      <c r="K529" s="18" t="s">
        <v>16</v>
      </c>
      <c r="L529" s="18" t="s">
        <v>32</v>
      </c>
      <c r="M529" s="14">
        <v>36</v>
      </c>
      <c r="N529" s="18" t="str" cm="1">
        <f t="array" ref="N529">_xlfn.IFS(Cleaned_Working_Sheet!$M529&lt;=34,"Young",Cleaned_Working_Sheet!$M529&lt;=54,"Middle-aged",Cleaned_Working_Sheet!$M529&gt;54,"Old")</f>
        <v>Middle-aged</v>
      </c>
      <c r="O529" s="18" t="s">
        <v>18</v>
      </c>
    </row>
    <row r="530" spans="1:15" x14ac:dyDescent="0.25">
      <c r="A530" s="14">
        <v>11935</v>
      </c>
      <c r="B530" s="18" t="s">
        <v>37</v>
      </c>
      <c r="C530" s="18" t="s">
        <v>38</v>
      </c>
      <c r="D530" s="6">
        <v>30000</v>
      </c>
      <c r="E530" s="18" t="str" cm="1">
        <f t="array" ref="E530">_xlfn.IFS(Cleaned_Working_Sheet!$D530&lt;=50000,"Low Income",Cleaned_Working_Sheet!$D530&lt;100000,"Middle Income",TRUE,"High Income")</f>
        <v>Low Income</v>
      </c>
      <c r="F530" s="16">
        <v>0</v>
      </c>
      <c r="G530" s="18" t="s">
        <v>19</v>
      </c>
      <c r="H530" s="18" t="s">
        <v>14</v>
      </c>
      <c r="I530" s="18" t="s">
        <v>15</v>
      </c>
      <c r="J530" s="16">
        <v>1</v>
      </c>
      <c r="K530" s="18" t="s">
        <v>23</v>
      </c>
      <c r="L530" s="18" t="s">
        <v>32</v>
      </c>
      <c r="M530" s="14">
        <v>28</v>
      </c>
      <c r="N530" s="18" t="str" cm="1">
        <f t="array" ref="N530">_xlfn.IFS(Cleaned_Working_Sheet!$M530&lt;=34,"Young",Cleaned_Working_Sheet!$M530&lt;=54,"Middle-aged",Cleaned_Working_Sheet!$M530&gt;54,"Old")</f>
        <v>Young</v>
      </c>
      <c r="O530" s="18" t="s">
        <v>18</v>
      </c>
    </row>
    <row r="531" spans="1:15" x14ac:dyDescent="0.25">
      <c r="A531" s="14">
        <v>13233</v>
      </c>
      <c r="B531" s="18" t="s">
        <v>36</v>
      </c>
      <c r="C531" s="18" t="s">
        <v>39</v>
      </c>
      <c r="D531" s="6">
        <v>60000</v>
      </c>
      <c r="E531" s="18" t="str" cm="1">
        <f t="array" ref="E531">_xlfn.IFS(Cleaned_Working_Sheet!$D531&lt;=50000,"Low Income",Cleaned_Working_Sheet!$D531&lt;100000,"Middle Income",TRUE,"High Income")</f>
        <v>Middle Income</v>
      </c>
      <c r="F531" s="16">
        <v>2</v>
      </c>
      <c r="G531" s="18" t="s">
        <v>19</v>
      </c>
      <c r="H531" s="18" t="s">
        <v>21</v>
      </c>
      <c r="I531" s="18" t="s">
        <v>15</v>
      </c>
      <c r="J531" s="16">
        <v>1</v>
      </c>
      <c r="K531" s="18" t="s">
        <v>43</v>
      </c>
      <c r="L531" s="18" t="s">
        <v>32</v>
      </c>
      <c r="M531" s="14">
        <v>57</v>
      </c>
      <c r="N531" s="18" t="str" cm="1">
        <f t="array" ref="N531">_xlfn.IFS(Cleaned_Working_Sheet!$M531&lt;=34,"Young",Cleaned_Working_Sheet!$M531&lt;=54,"Middle-aged",Cleaned_Working_Sheet!$M531&gt;54,"Old")</f>
        <v>Old</v>
      </c>
      <c r="O531" s="18" t="s">
        <v>15</v>
      </c>
    </row>
    <row r="532" spans="1:15" x14ac:dyDescent="0.25">
      <c r="A532" s="14">
        <v>25909</v>
      </c>
      <c r="B532" s="18" t="s">
        <v>36</v>
      </c>
      <c r="C532" s="18" t="s">
        <v>39</v>
      </c>
      <c r="D532" s="6">
        <v>60000</v>
      </c>
      <c r="E532" s="18" t="str" cm="1">
        <f t="array" ref="E532">_xlfn.IFS(Cleaned_Working_Sheet!$D532&lt;=50000,"Low Income",Cleaned_Working_Sheet!$D532&lt;100000,"Middle Income",TRUE,"High Income")</f>
        <v>Middle Income</v>
      </c>
      <c r="F532" s="16">
        <v>0</v>
      </c>
      <c r="G532" s="18" t="s">
        <v>19</v>
      </c>
      <c r="H532" s="18" t="s">
        <v>14</v>
      </c>
      <c r="I532" s="18" t="s">
        <v>15</v>
      </c>
      <c r="J532" s="16">
        <v>1</v>
      </c>
      <c r="K532" s="18" t="s">
        <v>23</v>
      </c>
      <c r="L532" s="18" t="s">
        <v>32</v>
      </c>
      <c r="M532" s="14">
        <v>27</v>
      </c>
      <c r="N532" s="18" t="str" cm="1">
        <f t="array" ref="N532">_xlfn.IFS(Cleaned_Working_Sheet!$M532&lt;=34,"Young",Cleaned_Working_Sheet!$M532&lt;=54,"Middle-aged",Cleaned_Working_Sheet!$M532&gt;54,"Old")</f>
        <v>Young</v>
      </c>
      <c r="O532" s="18" t="s">
        <v>15</v>
      </c>
    </row>
    <row r="533" spans="1:15" x14ac:dyDescent="0.25">
      <c r="A533" s="14">
        <v>14092</v>
      </c>
      <c r="B533" s="18" t="s">
        <v>37</v>
      </c>
      <c r="C533" s="18" t="s">
        <v>39</v>
      </c>
      <c r="D533" s="6">
        <v>30000</v>
      </c>
      <c r="E533" s="18" t="str" cm="1">
        <f t="array" ref="E533">_xlfn.IFS(Cleaned_Working_Sheet!$D533&lt;=50000,"Low Income",Cleaned_Working_Sheet!$D533&lt;100000,"Middle Income",TRUE,"High Income")</f>
        <v>Low Income</v>
      </c>
      <c r="F533" s="16">
        <v>0</v>
      </c>
      <c r="G533" s="18" t="s">
        <v>29</v>
      </c>
      <c r="H533" s="18" t="s">
        <v>20</v>
      </c>
      <c r="I533" s="18" t="s">
        <v>15</v>
      </c>
      <c r="J533" s="16">
        <v>2</v>
      </c>
      <c r="K533" s="18" t="s">
        <v>23</v>
      </c>
      <c r="L533" s="18" t="s">
        <v>32</v>
      </c>
      <c r="M533" s="14">
        <v>28</v>
      </c>
      <c r="N533" s="18" t="str" cm="1">
        <f t="array" ref="N533">_xlfn.IFS(Cleaned_Working_Sheet!$M533&lt;=34,"Young",Cleaned_Working_Sheet!$M533&lt;=54,"Middle-aged",Cleaned_Working_Sheet!$M533&gt;54,"Old")</f>
        <v>Young</v>
      </c>
      <c r="O533" s="18" t="s">
        <v>18</v>
      </c>
    </row>
    <row r="534" spans="1:15" x14ac:dyDescent="0.25">
      <c r="A534" s="14">
        <v>29143</v>
      </c>
      <c r="B534" s="18" t="s">
        <v>37</v>
      </c>
      <c r="C534" s="18" t="s">
        <v>38</v>
      </c>
      <c r="D534" s="6">
        <v>60000</v>
      </c>
      <c r="E534" s="18" t="str" cm="1">
        <f t="array" ref="E534">_xlfn.IFS(Cleaned_Working_Sheet!$D534&lt;=50000,"Low Income",Cleaned_Working_Sheet!$D534&lt;100000,"Middle Income",TRUE,"High Income")</f>
        <v>Middle Income</v>
      </c>
      <c r="F534" s="16">
        <v>1</v>
      </c>
      <c r="G534" s="18" t="s">
        <v>13</v>
      </c>
      <c r="H534" s="18" t="s">
        <v>21</v>
      </c>
      <c r="I534" s="18" t="s">
        <v>18</v>
      </c>
      <c r="J534" s="16">
        <v>1</v>
      </c>
      <c r="K534" s="18" t="s">
        <v>16</v>
      </c>
      <c r="L534" s="18" t="s">
        <v>32</v>
      </c>
      <c r="M534" s="14">
        <v>44</v>
      </c>
      <c r="N534" s="18" t="str" cm="1">
        <f t="array" ref="N534">_xlfn.IFS(Cleaned_Working_Sheet!$M534&lt;=34,"Young",Cleaned_Working_Sheet!$M534&lt;=54,"Middle-aged",Cleaned_Working_Sheet!$M534&gt;54,"Old")</f>
        <v>Middle-aged</v>
      </c>
      <c r="O534" s="18" t="s">
        <v>15</v>
      </c>
    </row>
    <row r="535" spans="1:15" x14ac:dyDescent="0.25">
      <c r="A535" s="14">
        <v>24941</v>
      </c>
      <c r="B535" s="18" t="s">
        <v>36</v>
      </c>
      <c r="C535" s="18" t="s">
        <v>39</v>
      </c>
      <c r="D535" s="6">
        <v>60000</v>
      </c>
      <c r="E535" s="18" t="str" cm="1">
        <f t="array" ref="E535">_xlfn.IFS(Cleaned_Working_Sheet!$D535&lt;=50000,"Low Income",Cleaned_Working_Sheet!$D535&lt;100000,"Middle Income",TRUE,"High Income")</f>
        <v>Middle Income</v>
      </c>
      <c r="F535" s="16">
        <v>3</v>
      </c>
      <c r="G535" s="18" t="s">
        <v>13</v>
      </c>
      <c r="H535" s="18" t="s">
        <v>28</v>
      </c>
      <c r="I535" s="18" t="s">
        <v>15</v>
      </c>
      <c r="J535" s="16">
        <v>2</v>
      </c>
      <c r="K535" s="18" t="s">
        <v>43</v>
      </c>
      <c r="L535" s="18" t="s">
        <v>32</v>
      </c>
      <c r="M535" s="14">
        <v>66</v>
      </c>
      <c r="N535" s="18" t="str" cm="1">
        <f t="array" ref="N535">_xlfn.IFS(Cleaned_Working_Sheet!$M535&lt;=34,"Young",Cleaned_Working_Sheet!$M535&lt;=54,"Middle-aged",Cleaned_Working_Sheet!$M535&gt;54,"Old")</f>
        <v>Old</v>
      </c>
      <c r="O535" s="18" t="s">
        <v>18</v>
      </c>
    </row>
    <row r="536" spans="1:15" x14ac:dyDescent="0.25">
      <c r="A536" s="14">
        <v>24637</v>
      </c>
      <c r="B536" s="18" t="s">
        <v>36</v>
      </c>
      <c r="C536" s="18" t="s">
        <v>39</v>
      </c>
      <c r="D536" s="6">
        <v>40000</v>
      </c>
      <c r="E536" s="18" t="str" cm="1">
        <f t="array" ref="E536">_xlfn.IFS(Cleaned_Working_Sheet!$D536&lt;=50000,"Low Income",Cleaned_Working_Sheet!$D536&lt;100000,"Middle Income",TRUE,"High Income")</f>
        <v>Low Income</v>
      </c>
      <c r="F536" s="16">
        <v>4</v>
      </c>
      <c r="G536" s="18" t="s">
        <v>27</v>
      </c>
      <c r="H536" s="18" t="s">
        <v>21</v>
      </c>
      <c r="I536" s="18" t="s">
        <v>15</v>
      </c>
      <c r="J536" s="16">
        <v>2</v>
      </c>
      <c r="K536" s="18" t="s">
        <v>43</v>
      </c>
      <c r="L536" s="18" t="s">
        <v>32</v>
      </c>
      <c r="M536" s="14">
        <v>64</v>
      </c>
      <c r="N536" s="18" t="str" cm="1">
        <f t="array" ref="N536">_xlfn.IFS(Cleaned_Working_Sheet!$M536&lt;=34,"Young",Cleaned_Working_Sheet!$M536&lt;=54,"Middle-aged",Cleaned_Working_Sheet!$M536&gt;54,"Old")</f>
        <v>Old</v>
      </c>
      <c r="O536" s="18" t="s">
        <v>18</v>
      </c>
    </row>
    <row r="537" spans="1:15" x14ac:dyDescent="0.25">
      <c r="A537" s="14">
        <v>23893</v>
      </c>
      <c r="B537" s="18" t="s">
        <v>36</v>
      </c>
      <c r="C537" s="18" t="s">
        <v>39</v>
      </c>
      <c r="D537" s="6">
        <v>50000</v>
      </c>
      <c r="E537" s="18" t="str" cm="1">
        <f t="array" ref="E537">_xlfn.IFS(Cleaned_Working_Sheet!$D537&lt;=50000,"Low Income",Cleaned_Working_Sheet!$D537&lt;100000,"Middle Income",TRUE,"High Income")</f>
        <v>Low Income</v>
      </c>
      <c r="F537" s="16">
        <v>3</v>
      </c>
      <c r="G537" s="18" t="s">
        <v>13</v>
      </c>
      <c r="H537" s="18" t="s">
        <v>14</v>
      </c>
      <c r="I537" s="18" t="s">
        <v>15</v>
      </c>
      <c r="J537" s="16">
        <v>3</v>
      </c>
      <c r="K537" s="18" t="s">
        <v>43</v>
      </c>
      <c r="L537" s="18" t="s">
        <v>32</v>
      </c>
      <c r="M537" s="14">
        <v>41</v>
      </c>
      <c r="N537" s="18" t="str" cm="1">
        <f t="array" ref="N537">_xlfn.IFS(Cleaned_Working_Sheet!$M537&lt;=34,"Young",Cleaned_Working_Sheet!$M537&lt;=54,"Middle-aged",Cleaned_Working_Sheet!$M537&gt;54,"Old")</f>
        <v>Middle-aged</v>
      </c>
      <c r="O537" s="18" t="s">
        <v>18</v>
      </c>
    </row>
    <row r="538" spans="1:15" x14ac:dyDescent="0.25">
      <c r="A538" s="14">
        <v>13907</v>
      </c>
      <c r="B538" s="18" t="s">
        <v>37</v>
      </c>
      <c r="C538" s="18" t="s">
        <v>38</v>
      </c>
      <c r="D538" s="6">
        <v>80000</v>
      </c>
      <c r="E538" s="18" t="str" cm="1">
        <f t="array" ref="E538">_xlfn.IFS(Cleaned_Working_Sheet!$D538&lt;=50000,"Low Income",Cleaned_Working_Sheet!$D538&lt;100000,"Middle Income",TRUE,"High Income")</f>
        <v>Middle Income</v>
      </c>
      <c r="F538" s="16">
        <v>3</v>
      </c>
      <c r="G538" s="18" t="s">
        <v>13</v>
      </c>
      <c r="H538" s="18" t="s">
        <v>14</v>
      </c>
      <c r="I538" s="18" t="s">
        <v>15</v>
      </c>
      <c r="J538" s="16">
        <v>1</v>
      </c>
      <c r="K538" s="18" t="s">
        <v>16</v>
      </c>
      <c r="L538" s="18" t="s">
        <v>32</v>
      </c>
      <c r="M538" s="14">
        <v>41</v>
      </c>
      <c r="N538" s="18" t="str" cm="1">
        <f t="array" ref="N538">_xlfn.IFS(Cleaned_Working_Sheet!$M538&lt;=34,"Young",Cleaned_Working_Sheet!$M538&lt;=54,"Middle-aged",Cleaned_Working_Sheet!$M538&gt;54,"Old")</f>
        <v>Middle-aged</v>
      </c>
      <c r="O538" s="18" t="s">
        <v>15</v>
      </c>
    </row>
    <row r="539" spans="1:15" x14ac:dyDescent="0.25">
      <c r="A539" s="14">
        <v>14900</v>
      </c>
      <c r="B539" s="18" t="s">
        <v>36</v>
      </c>
      <c r="C539" s="18" t="s">
        <v>38</v>
      </c>
      <c r="D539" s="6">
        <v>40000</v>
      </c>
      <c r="E539" s="18" t="str" cm="1">
        <f t="array" ref="E539">_xlfn.IFS(Cleaned_Working_Sheet!$D539&lt;=50000,"Low Income",Cleaned_Working_Sheet!$D539&lt;100000,"Middle Income",TRUE,"High Income")</f>
        <v>Low Income</v>
      </c>
      <c r="F539" s="16">
        <v>1</v>
      </c>
      <c r="G539" s="18" t="s">
        <v>19</v>
      </c>
      <c r="H539" s="18" t="s">
        <v>20</v>
      </c>
      <c r="I539" s="18" t="s">
        <v>15</v>
      </c>
      <c r="J539" s="16">
        <v>1</v>
      </c>
      <c r="K539" s="18" t="s">
        <v>26</v>
      </c>
      <c r="L539" s="18" t="s">
        <v>32</v>
      </c>
      <c r="M539" s="14">
        <v>49</v>
      </c>
      <c r="N539" s="18" t="str" cm="1">
        <f t="array" ref="N539">_xlfn.IFS(Cleaned_Working_Sheet!$M539&lt;=34,"Young",Cleaned_Working_Sheet!$M539&lt;=54,"Middle-aged",Cleaned_Working_Sheet!$M539&gt;54,"Old")</f>
        <v>Middle-aged</v>
      </c>
      <c r="O539" s="18" t="s">
        <v>15</v>
      </c>
    </row>
    <row r="540" spans="1:15" x14ac:dyDescent="0.25">
      <c r="A540" s="14">
        <v>11262</v>
      </c>
      <c r="B540" s="18" t="s">
        <v>36</v>
      </c>
      <c r="C540" s="18" t="s">
        <v>38</v>
      </c>
      <c r="D540" s="6">
        <v>80000</v>
      </c>
      <c r="E540" s="18" t="str" cm="1">
        <f t="array" ref="E540">_xlfn.IFS(Cleaned_Working_Sheet!$D540&lt;=50000,"Low Income",Cleaned_Working_Sheet!$D540&lt;100000,"Middle Income",TRUE,"High Income")</f>
        <v>Middle Income</v>
      </c>
      <c r="F540" s="16">
        <v>4</v>
      </c>
      <c r="G540" s="18" t="s">
        <v>13</v>
      </c>
      <c r="H540" s="18" t="s">
        <v>28</v>
      </c>
      <c r="I540" s="18" t="s">
        <v>15</v>
      </c>
      <c r="J540" s="16">
        <v>0</v>
      </c>
      <c r="K540" s="18" t="s">
        <v>16</v>
      </c>
      <c r="L540" s="18" t="s">
        <v>32</v>
      </c>
      <c r="M540" s="14">
        <v>42</v>
      </c>
      <c r="N540" s="18" t="str" cm="1">
        <f t="array" ref="N540">_xlfn.IFS(Cleaned_Working_Sheet!$M540&lt;=34,"Young",Cleaned_Working_Sheet!$M540&lt;=54,"Middle-aged",Cleaned_Working_Sheet!$M540&gt;54,"Old")</f>
        <v>Middle-aged</v>
      </c>
      <c r="O540" s="18" t="s">
        <v>18</v>
      </c>
    </row>
    <row r="541" spans="1:15" x14ac:dyDescent="0.25">
      <c r="A541" s="14">
        <v>22294</v>
      </c>
      <c r="B541" s="18" t="s">
        <v>37</v>
      </c>
      <c r="C541" s="18" t="s">
        <v>38</v>
      </c>
      <c r="D541" s="6">
        <v>70000</v>
      </c>
      <c r="E541" s="18" t="str" cm="1">
        <f t="array" ref="E541">_xlfn.IFS(Cleaned_Working_Sheet!$D541&lt;=50000,"Low Income",Cleaned_Working_Sheet!$D541&lt;100000,"Middle Income",TRUE,"High Income")</f>
        <v>Middle Income</v>
      </c>
      <c r="F541" s="16">
        <v>0</v>
      </c>
      <c r="G541" s="18" t="s">
        <v>13</v>
      </c>
      <c r="H541" s="18" t="s">
        <v>21</v>
      </c>
      <c r="I541" s="18" t="s">
        <v>18</v>
      </c>
      <c r="J541" s="16">
        <v>1</v>
      </c>
      <c r="K541" s="18" t="s">
        <v>22</v>
      </c>
      <c r="L541" s="18" t="s">
        <v>32</v>
      </c>
      <c r="M541" s="14">
        <v>37</v>
      </c>
      <c r="N541" s="18" t="str" cm="1">
        <f t="array" ref="N541">_xlfn.IFS(Cleaned_Working_Sheet!$M541&lt;=34,"Young",Cleaned_Working_Sheet!$M541&lt;=54,"Middle-aged",Cleaned_Working_Sheet!$M541&gt;54,"Old")</f>
        <v>Middle-aged</v>
      </c>
      <c r="O541" s="18" t="s">
        <v>15</v>
      </c>
    </row>
    <row r="542" spans="1:15" x14ac:dyDescent="0.25">
      <c r="A542" s="14">
        <v>12195</v>
      </c>
      <c r="B542" s="18" t="s">
        <v>37</v>
      </c>
      <c r="C542" s="18" t="s">
        <v>38</v>
      </c>
      <c r="D542" s="6">
        <v>70000</v>
      </c>
      <c r="E542" s="18" t="str" cm="1">
        <f t="array" ref="E542">_xlfn.IFS(Cleaned_Working_Sheet!$D542&lt;=50000,"Low Income",Cleaned_Working_Sheet!$D542&lt;100000,"Middle Income",TRUE,"High Income")</f>
        <v>Middle Income</v>
      </c>
      <c r="F542" s="16">
        <v>3</v>
      </c>
      <c r="G542" s="18" t="s">
        <v>31</v>
      </c>
      <c r="H542" s="18" t="s">
        <v>28</v>
      </c>
      <c r="I542" s="18" t="s">
        <v>15</v>
      </c>
      <c r="J542" s="16">
        <v>2</v>
      </c>
      <c r="K542" s="18" t="s">
        <v>26</v>
      </c>
      <c r="L542" s="18" t="s">
        <v>32</v>
      </c>
      <c r="M542" s="14">
        <v>52</v>
      </c>
      <c r="N542" s="18" t="str" cm="1">
        <f t="array" ref="N542">_xlfn.IFS(Cleaned_Working_Sheet!$M542&lt;=34,"Young",Cleaned_Working_Sheet!$M542&lt;=54,"Middle-aged",Cleaned_Working_Sheet!$M542&gt;54,"Old")</f>
        <v>Middle-aged</v>
      </c>
      <c r="O542" s="18" t="s">
        <v>18</v>
      </c>
    </row>
    <row r="543" spans="1:15" x14ac:dyDescent="0.25">
      <c r="A543" s="14">
        <v>25375</v>
      </c>
      <c r="B543" s="18" t="s">
        <v>36</v>
      </c>
      <c r="C543" s="18" t="s">
        <v>39</v>
      </c>
      <c r="D543" s="6">
        <v>50000</v>
      </c>
      <c r="E543" s="18" t="str" cm="1">
        <f t="array" ref="E543">_xlfn.IFS(Cleaned_Working_Sheet!$D543&lt;=50000,"Low Income",Cleaned_Working_Sheet!$D543&lt;100000,"Middle Income",TRUE,"High Income")</f>
        <v>Low Income</v>
      </c>
      <c r="F543" s="16">
        <v>1</v>
      </c>
      <c r="G543" s="18" t="s">
        <v>31</v>
      </c>
      <c r="H543" s="18" t="s">
        <v>14</v>
      </c>
      <c r="I543" s="18" t="s">
        <v>15</v>
      </c>
      <c r="J543" s="16">
        <v>0</v>
      </c>
      <c r="K543" s="18" t="s">
        <v>26</v>
      </c>
      <c r="L543" s="18" t="s">
        <v>32</v>
      </c>
      <c r="M543" s="14">
        <v>34</v>
      </c>
      <c r="N543" s="18" t="str" cm="1">
        <f t="array" ref="N543">_xlfn.IFS(Cleaned_Working_Sheet!$M543&lt;=34,"Young",Cleaned_Working_Sheet!$M543&lt;=54,"Middle-aged",Cleaned_Working_Sheet!$M543&gt;54,"Old")</f>
        <v>Young</v>
      </c>
      <c r="O543" s="18" t="s">
        <v>18</v>
      </c>
    </row>
    <row r="544" spans="1:15" x14ac:dyDescent="0.25">
      <c r="A544" s="14">
        <v>11143</v>
      </c>
      <c r="B544" s="18" t="s">
        <v>36</v>
      </c>
      <c r="C544" s="18" t="s">
        <v>39</v>
      </c>
      <c r="D544" s="6">
        <v>40000</v>
      </c>
      <c r="E544" s="18" t="str" cm="1">
        <f t="array" ref="E544">_xlfn.IFS(Cleaned_Working_Sheet!$D544&lt;=50000,"Low Income",Cleaned_Working_Sheet!$D544&lt;100000,"Middle Income",TRUE,"High Income")</f>
        <v>Low Income</v>
      </c>
      <c r="F544" s="16">
        <v>0</v>
      </c>
      <c r="G544" s="18" t="s">
        <v>27</v>
      </c>
      <c r="H544" s="18" t="s">
        <v>14</v>
      </c>
      <c r="I544" s="18" t="s">
        <v>15</v>
      </c>
      <c r="J544" s="16">
        <v>2</v>
      </c>
      <c r="K544" s="18" t="s">
        <v>23</v>
      </c>
      <c r="L544" s="18" t="s">
        <v>32</v>
      </c>
      <c r="M544" s="14">
        <v>29</v>
      </c>
      <c r="N544" s="18" t="str" cm="1">
        <f t="array" ref="N544">_xlfn.IFS(Cleaned_Working_Sheet!$M544&lt;=34,"Young",Cleaned_Working_Sheet!$M544&lt;=54,"Middle-aged",Cleaned_Working_Sheet!$M544&gt;54,"Old")</f>
        <v>Young</v>
      </c>
      <c r="O544" s="18" t="s">
        <v>18</v>
      </c>
    </row>
    <row r="545" spans="1:15" x14ac:dyDescent="0.25">
      <c r="A545" s="14">
        <v>25898</v>
      </c>
      <c r="B545" s="18" t="s">
        <v>36</v>
      </c>
      <c r="C545" s="18" t="s">
        <v>38</v>
      </c>
      <c r="D545" s="6">
        <v>70000</v>
      </c>
      <c r="E545" s="18" t="str" cm="1">
        <f t="array" ref="E545">_xlfn.IFS(Cleaned_Working_Sheet!$D545&lt;=50000,"Low Income",Cleaned_Working_Sheet!$D545&lt;100000,"Middle Income",TRUE,"High Income")</f>
        <v>Middle Income</v>
      </c>
      <c r="F545" s="16">
        <v>2</v>
      </c>
      <c r="G545" s="18" t="s">
        <v>27</v>
      </c>
      <c r="H545" s="18" t="s">
        <v>21</v>
      </c>
      <c r="I545" s="18" t="s">
        <v>15</v>
      </c>
      <c r="J545" s="16">
        <v>2</v>
      </c>
      <c r="K545" s="18" t="s">
        <v>22</v>
      </c>
      <c r="L545" s="18" t="s">
        <v>32</v>
      </c>
      <c r="M545" s="14">
        <v>53</v>
      </c>
      <c r="N545" s="18" t="str" cm="1">
        <f t="array" ref="N545">_xlfn.IFS(Cleaned_Working_Sheet!$M545&lt;=34,"Young",Cleaned_Working_Sheet!$M545&lt;=54,"Middle-aged",Cleaned_Working_Sheet!$M545&gt;54,"Old")</f>
        <v>Middle-aged</v>
      </c>
      <c r="O545" s="18" t="s">
        <v>18</v>
      </c>
    </row>
    <row r="546" spans="1:15" x14ac:dyDescent="0.25">
      <c r="A546" s="14">
        <v>24397</v>
      </c>
      <c r="B546" s="18" t="s">
        <v>37</v>
      </c>
      <c r="C546" s="18" t="s">
        <v>39</v>
      </c>
      <c r="D546" s="6">
        <v>120000</v>
      </c>
      <c r="E546" s="18" t="str" cm="1">
        <f t="array" ref="E546">_xlfn.IFS(Cleaned_Working_Sheet!$D546&lt;=50000,"Low Income",Cleaned_Working_Sheet!$D546&lt;100000,"Middle Income",TRUE,"High Income")</f>
        <v>High Income</v>
      </c>
      <c r="F546" s="16">
        <v>2</v>
      </c>
      <c r="G546" s="18" t="s">
        <v>13</v>
      </c>
      <c r="H546" s="18" t="s">
        <v>28</v>
      </c>
      <c r="I546" s="18" t="s">
        <v>18</v>
      </c>
      <c r="J546" s="16">
        <v>4</v>
      </c>
      <c r="K546" s="18" t="s">
        <v>26</v>
      </c>
      <c r="L546" s="18" t="s">
        <v>32</v>
      </c>
      <c r="M546" s="14">
        <v>40</v>
      </c>
      <c r="N546" s="18" t="str" cm="1">
        <f t="array" ref="N546">_xlfn.IFS(Cleaned_Working_Sheet!$M546&lt;=34,"Young",Cleaned_Working_Sheet!$M546&lt;=54,"Middle-aged",Cleaned_Working_Sheet!$M546&gt;54,"Old")</f>
        <v>Middle-aged</v>
      </c>
      <c r="O546" s="18" t="s">
        <v>18</v>
      </c>
    </row>
    <row r="547" spans="1:15" x14ac:dyDescent="0.25">
      <c r="A547" s="14">
        <v>19758</v>
      </c>
      <c r="B547" s="18" t="s">
        <v>37</v>
      </c>
      <c r="C547" s="18" t="s">
        <v>39</v>
      </c>
      <c r="D547" s="6">
        <v>60000</v>
      </c>
      <c r="E547" s="18" t="str" cm="1">
        <f t="array" ref="E547">_xlfn.IFS(Cleaned_Working_Sheet!$D547&lt;=50000,"Low Income",Cleaned_Working_Sheet!$D547&lt;100000,"Middle Income",TRUE,"High Income")</f>
        <v>Middle Income</v>
      </c>
      <c r="F547" s="16">
        <v>0</v>
      </c>
      <c r="G547" s="18" t="s">
        <v>19</v>
      </c>
      <c r="H547" s="18" t="s">
        <v>14</v>
      </c>
      <c r="I547" s="18" t="s">
        <v>18</v>
      </c>
      <c r="J547" s="16">
        <v>2</v>
      </c>
      <c r="K547" s="18" t="s">
        <v>26</v>
      </c>
      <c r="L547" s="18" t="s">
        <v>32</v>
      </c>
      <c r="M547" s="14">
        <v>29</v>
      </c>
      <c r="N547" s="18" t="str" cm="1">
        <f t="array" ref="N547">_xlfn.IFS(Cleaned_Working_Sheet!$M547&lt;=34,"Young",Cleaned_Working_Sheet!$M547&lt;=54,"Middle-aged",Cleaned_Working_Sheet!$M547&gt;54,"Old")</f>
        <v>Young</v>
      </c>
      <c r="O547" s="18" t="s">
        <v>18</v>
      </c>
    </row>
    <row r="548" spans="1:15" x14ac:dyDescent="0.25">
      <c r="A548" s="14">
        <v>15529</v>
      </c>
      <c r="B548" s="18" t="s">
        <v>36</v>
      </c>
      <c r="C548" s="18" t="s">
        <v>39</v>
      </c>
      <c r="D548" s="6">
        <v>60000</v>
      </c>
      <c r="E548" s="18" t="str" cm="1">
        <f t="array" ref="E548">_xlfn.IFS(Cleaned_Working_Sheet!$D548&lt;=50000,"Low Income",Cleaned_Working_Sheet!$D548&lt;100000,"Middle Income",TRUE,"High Income")</f>
        <v>Middle Income</v>
      </c>
      <c r="F548" s="16">
        <v>4</v>
      </c>
      <c r="G548" s="18" t="s">
        <v>13</v>
      </c>
      <c r="H548" s="18" t="s">
        <v>21</v>
      </c>
      <c r="I548" s="18" t="s">
        <v>15</v>
      </c>
      <c r="J548" s="16">
        <v>2</v>
      </c>
      <c r="K548" s="18" t="s">
        <v>22</v>
      </c>
      <c r="L548" s="18" t="s">
        <v>32</v>
      </c>
      <c r="M548" s="14">
        <v>43</v>
      </c>
      <c r="N548" s="18" t="str" cm="1">
        <f t="array" ref="N548">_xlfn.IFS(Cleaned_Working_Sheet!$M548&lt;=34,"Young",Cleaned_Working_Sheet!$M548&lt;=54,"Middle-aged",Cleaned_Working_Sheet!$M548&gt;54,"Old")</f>
        <v>Middle-aged</v>
      </c>
      <c r="O548" s="18" t="s">
        <v>15</v>
      </c>
    </row>
    <row r="549" spans="1:15" x14ac:dyDescent="0.25">
      <c r="A549" s="14">
        <v>19884</v>
      </c>
      <c r="B549" s="18" t="s">
        <v>36</v>
      </c>
      <c r="C549" s="18" t="s">
        <v>39</v>
      </c>
      <c r="D549" s="6">
        <v>60000</v>
      </c>
      <c r="E549" s="18" t="str" cm="1">
        <f t="array" ref="E549">_xlfn.IFS(Cleaned_Working_Sheet!$D549&lt;=50000,"Low Income",Cleaned_Working_Sheet!$D549&lt;100000,"Middle Income",TRUE,"High Income")</f>
        <v>Middle Income</v>
      </c>
      <c r="F549" s="16">
        <v>2</v>
      </c>
      <c r="G549" s="18" t="s">
        <v>27</v>
      </c>
      <c r="H549" s="18" t="s">
        <v>21</v>
      </c>
      <c r="I549" s="18" t="s">
        <v>15</v>
      </c>
      <c r="J549" s="16">
        <v>2</v>
      </c>
      <c r="K549" s="18" t="s">
        <v>22</v>
      </c>
      <c r="L549" s="18" t="s">
        <v>32</v>
      </c>
      <c r="M549" s="14">
        <v>55</v>
      </c>
      <c r="N549" s="18" t="str" cm="1">
        <f t="array" ref="N549">_xlfn.IFS(Cleaned_Working_Sheet!$M549&lt;=34,"Young",Cleaned_Working_Sheet!$M549&lt;=54,"Middle-aged",Cleaned_Working_Sheet!$M549&gt;54,"Old")</f>
        <v>Old</v>
      </c>
      <c r="O549" s="18" t="s">
        <v>15</v>
      </c>
    </row>
    <row r="550" spans="1:15" x14ac:dyDescent="0.25">
      <c r="A550" s="14">
        <v>18674</v>
      </c>
      <c r="B550" s="18" t="s">
        <v>37</v>
      </c>
      <c r="C550" s="18" t="s">
        <v>38</v>
      </c>
      <c r="D550" s="6">
        <v>80000</v>
      </c>
      <c r="E550" s="18" t="str" cm="1">
        <f t="array" ref="E550">_xlfn.IFS(Cleaned_Working_Sheet!$D550&lt;=50000,"Low Income",Cleaned_Working_Sheet!$D550&lt;100000,"Middle Income",TRUE,"High Income")</f>
        <v>Middle Income</v>
      </c>
      <c r="F550" s="16">
        <v>4</v>
      </c>
      <c r="G550" s="18" t="s">
        <v>31</v>
      </c>
      <c r="H550" s="18" t="s">
        <v>14</v>
      </c>
      <c r="I550" s="18" t="s">
        <v>18</v>
      </c>
      <c r="J550" s="16">
        <v>0</v>
      </c>
      <c r="K550" s="18" t="s">
        <v>16</v>
      </c>
      <c r="L550" s="18" t="s">
        <v>32</v>
      </c>
      <c r="M550" s="14">
        <v>48</v>
      </c>
      <c r="N550" s="18" t="str" cm="1">
        <f t="array" ref="N550">_xlfn.IFS(Cleaned_Working_Sheet!$M550&lt;=34,"Young",Cleaned_Working_Sheet!$M550&lt;=54,"Middle-aged",Cleaned_Working_Sheet!$M550&gt;54,"Old")</f>
        <v>Middle-aged</v>
      </c>
      <c r="O550" s="18" t="s">
        <v>18</v>
      </c>
    </row>
    <row r="551" spans="1:15" x14ac:dyDescent="0.25">
      <c r="A551" s="14">
        <v>13453</v>
      </c>
      <c r="B551" s="18" t="s">
        <v>36</v>
      </c>
      <c r="C551" s="18" t="s">
        <v>38</v>
      </c>
      <c r="D551" s="6">
        <v>130000</v>
      </c>
      <c r="E551" s="18" t="str" cm="1">
        <f t="array" ref="E551">_xlfn.IFS(Cleaned_Working_Sheet!$D551&lt;=50000,"Low Income",Cleaned_Working_Sheet!$D551&lt;100000,"Middle Income",TRUE,"High Income")</f>
        <v>High Income</v>
      </c>
      <c r="F551" s="16">
        <v>3</v>
      </c>
      <c r="G551" s="18" t="s">
        <v>13</v>
      </c>
      <c r="H551" s="18" t="s">
        <v>28</v>
      </c>
      <c r="I551" s="18" t="s">
        <v>15</v>
      </c>
      <c r="J551" s="16">
        <v>3</v>
      </c>
      <c r="K551" s="18" t="s">
        <v>16</v>
      </c>
      <c r="L551" s="18" t="s">
        <v>32</v>
      </c>
      <c r="M551" s="14">
        <v>45</v>
      </c>
      <c r="N551" s="18" t="str" cm="1">
        <f t="array" ref="N551">_xlfn.IFS(Cleaned_Working_Sheet!$M551&lt;=34,"Young",Cleaned_Working_Sheet!$M551&lt;=54,"Middle-aged",Cleaned_Working_Sheet!$M551&gt;54,"Old")</f>
        <v>Middle-aged</v>
      </c>
      <c r="O551" s="18" t="s">
        <v>15</v>
      </c>
    </row>
    <row r="552" spans="1:15" x14ac:dyDescent="0.25">
      <c r="A552" s="14">
        <v>14063</v>
      </c>
      <c r="B552" s="18" t="s">
        <v>37</v>
      </c>
      <c r="C552" s="18" t="s">
        <v>38</v>
      </c>
      <c r="D552" s="6">
        <v>70000</v>
      </c>
      <c r="E552" s="18" t="str" cm="1">
        <f t="array" ref="E552">_xlfn.IFS(Cleaned_Working_Sheet!$D552&lt;=50000,"Low Income",Cleaned_Working_Sheet!$D552&lt;100000,"Middle Income",TRUE,"High Income")</f>
        <v>Middle Income</v>
      </c>
      <c r="F552" s="16">
        <v>0</v>
      </c>
      <c r="G552" s="18" t="s">
        <v>13</v>
      </c>
      <c r="H552" s="18" t="s">
        <v>21</v>
      </c>
      <c r="I552" s="18" t="s">
        <v>18</v>
      </c>
      <c r="J552" s="16">
        <v>1</v>
      </c>
      <c r="K552" s="18" t="s">
        <v>16</v>
      </c>
      <c r="L552" s="18" t="s">
        <v>24</v>
      </c>
      <c r="M552" s="14">
        <v>42</v>
      </c>
      <c r="N552" s="18" t="str" cm="1">
        <f t="array" ref="N552">_xlfn.IFS(Cleaned_Working_Sheet!$M552&lt;=34,"Young",Cleaned_Working_Sheet!$M552&lt;=54,"Middle-aged",Cleaned_Working_Sheet!$M552&gt;54,"Old")</f>
        <v>Middle-aged</v>
      </c>
      <c r="O552" s="18" t="s">
        <v>15</v>
      </c>
    </row>
    <row r="553" spans="1:15" x14ac:dyDescent="0.25">
      <c r="A553" s="14">
        <v>27393</v>
      </c>
      <c r="B553" s="18" t="s">
        <v>36</v>
      </c>
      <c r="C553" s="18" t="s">
        <v>38</v>
      </c>
      <c r="D553" s="6">
        <v>50000</v>
      </c>
      <c r="E553" s="18" t="str" cm="1">
        <f t="array" ref="E553">_xlfn.IFS(Cleaned_Working_Sheet!$D553&lt;=50000,"Low Income",Cleaned_Working_Sheet!$D553&lt;100000,"Middle Income",TRUE,"High Income")</f>
        <v>Low Income</v>
      </c>
      <c r="F553" s="16">
        <v>4</v>
      </c>
      <c r="G553" s="18" t="s">
        <v>13</v>
      </c>
      <c r="H553" s="18" t="s">
        <v>28</v>
      </c>
      <c r="I553" s="18" t="s">
        <v>15</v>
      </c>
      <c r="J553" s="16">
        <v>2</v>
      </c>
      <c r="K553" s="18" t="s">
        <v>43</v>
      </c>
      <c r="L553" s="18" t="s">
        <v>32</v>
      </c>
      <c r="M553" s="14">
        <v>63</v>
      </c>
      <c r="N553" s="18" t="str" cm="1">
        <f t="array" ref="N553">_xlfn.IFS(Cleaned_Working_Sheet!$M553&lt;=34,"Young",Cleaned_Working_Sheet!$M553&lt;=54,"Middle-aged",Cleaned_Working_Sheet!$M553&gt;54,"Old")</f>
        <v>Old</v>
      </c>
      <c r="O553" s="18" t="s">
        <v>18</v>
      </c>
    </row>
    <row r="554" spans="1:15" x14ac:dyDescent="0.25">
      <c r="A554" s="14">
        <v>14417</v>
      </c>
      <c r="B554" s="18" t="s">
        <v>37</v>
      </c>
      <c r="C554" s="18" t="s">
        <v>39</v>
      </c>
      <c r="D554" s="6">
        <v>60000</v>
      </c>
      <c r="E554" s="18" t="str" cm="1">
        <f t="array" ref="E554">_xlfn.IFS(Cleaned_Working_Sheet!$D554&lt;=50000,"Low Income",Cleaned_Working_Sheet!$D554&lt;100000,"Middle Income",TRUE,"High Income")</f>
        <v>Middle Income</v>
      </c>
      <c r="F554" s="16">
        <v>3</v>
      </c>
      <c r="G554" s="18" t="s">
        <v>27</v>
      </c>
      <c r="H554" s="18" t="s">
        <v>21</v>
      </c>
      <c r="I554" s="18" t="s">
        <v>15</v>
      </c>
      <c r="J554" s="16">
        <v>2</v>
      </c>
      <c r="K554" s="18" t="s">
        <v>43</v>
      </c>
      <c r="L554" s="18" t="s">
        <v>32</v>
      </c>
      <c r="M554" s="14">
        <v>54</v>
      </c>
      <c r="N554" s="18" t="str" cm="1">
        <f t="array" ref="N554">_xlfn.IFS(Cleaned_Working_Sheet!$M554&lt;=34,"Young",Cleaned_Working_Sheet!$M554&lt;=54,"Middle-aged",Cleaned_Working_Sheet!$M554&gt;54,"Old")</f>
        <v>Middle-aged</v>
      </c>
      <c r="O554" s="18" t="s">
        <v>15</v>
      </c>
    </row>
    <row r="555" spans="1:15" x14ac:dyDescent="0.25">
      <c r="A555" s="14">
        <v>17533</v>
      </c>
      <c r="B555" s="18" t="s">
        <v>36</v>
      </c>
      <c r="C555" s="18" t="s">
        <v>39</v>
      </c>
      <c r="D555" s="6">
        <v>40000</v>
      </c>
      <c r="E555" s="18" t="str" cm="1">
        <f t="array" ref="E555">_xlfn.IFS(Cleaned_Working_Sheet!$D555&lt;=50000,"Low Income",Cleaned_Working_Sheet!$D555&lt;100000,"Middle Income",TRUE,"High Income")</f>
        <v>Low Income</v>
      </c>
      <c r="F555" s="16">
        <v>3</v>
      </c>
      <c r="G555" s="18" t="s">
        <v>19</v>
      </c>
      <c r="H555" s="18" t="s">
        <v>21</v>
      </c>
      <c r="I555" s="18" t="s">
        <v>18</v>
      </c>
      <c r="J555" s="16">
        <v>2</v>
      </c>
      <c r="K555" s="18" t="s">
        <v>23</v>
      </c>
      <c r="L555" s="18" t="s">
        <v>32</v>
      </c>
      <c r="M555" s="14">
        <v>73</v>
      </c>
      <c r="N555" s="18" t="str" cm="1">
        <f t="array" ref="N555">_xlfn.IFS(Cleaned_Working_Sheet!$M555&lt;=34,"Young",Cleaned_Working_Sheet!$M555&lt;=54,"Middle-aged",Cleaned_Working_Sheet!$M555&gt;54,"Old")</f>
        <v>Old</v>
      </c>
      <c r="O555" s="18" t="s">
        <v>15</v>
      </c>
    </row>
    <row r="556" spans="1:15" x14ac:dyDescent="0.25">
      <c r="A556" s="14">
        <v>18580</v>
      </c>
      <c r="B556" s="18" t="s">
        <v>36</v>
      </c>
      <c r="C556" s="18" t="s">
        <v>38</v>
      </c>
      <c r="D556" s="6">
        <v>60000</v>
      </c>
      <c r="E556" s="18" t="str" cm="1">
        <f t="array" ref="E556">_xlfn.IFS(Cleaned_Working_Sheet!$D556&lt;=50000,"Low Income",Cleaned_Working_Sheet!$D556&lt;100000,"Middle Income",TRUE,"High Income")</f>
        <v>Middle Income</v>
      </c>
      <c r="F556" s="16">
        <v>2</v>
      </c>
      <c r="G556" s="18" t="s">
        <v>31</v>
      </c>
      <c r="H556" s="18" t="s">
        <v>21</v>
      </c>
      <c r="I556" s="18" t="s">
        <v>15</v>
      </c>
      <c r="J556" s="16">
        <v>0</v>
      </c>
      <c r="K556" s="18" t="s">
        <v>22</v>
      </c>
      <c r="L556" s="18" t="s">
        <v>32</v>
      </c>
      <c r="M556" s="14">
        <v>40</v>
      </c>
      <c r="N556" s="18" t="str" cm="1">
        <f t="array" ref="N556">_xlfn.IFS(Cleaned_Working_Sheet!$M556&lt;=34,"Young",Cleaned_Working_Sheet!$M556&lt;=54,"Middle-aged",Cleaned_Working_Sheet!$M556&gt;54,"Old")</f>
        <v>Middle-aged</v>
      </c>
      <c r="O556" s="18" t="s">
        <v>15</v>
      </c>
    </row>
    <row r="557" spans="1:15" x14ac:dyDescent="0.25">
      <c r="A557" s="14">
        <v>17025</v>
      </c>
      <c r="B557" s="18" t="s">
        <v>37</v>
      </c>
      <c r="C557" s="18" t="s">
        <v>39</v>
      </c>
      <c r="D557" s="6">
        <v>50000</v>
      </c>
      <c r="E557" s="18" t="str" cm="1">
        <f t="array" ref="E557">_xlfn.IFS(Cleaned_Working_Sheet!$D557&lt;=50000,"Low Income",Cleaned_Working_Sheet!$D557&lt;100000,"Middle Income",TRUE,"High Income")</f>
        <v>Low Income</v>
      </c>
      <c r="F557" s="16">
        <v>0</v>
      </c>
      <c r="G557" s="18" t="s">
        <v>19</v>
      </c>
      <c r="H557" s="18" t="s">
        <v>14</v>
      </c>
      <c r="I557" s="18" t="s">
        <v>18</v>
      </c>
      <c r="J557" s="16">
        <v>1</v>
      </c>
      <c r="K557" s="18" t="s">
        <v>22</v>
      </c>
      <c r="L557" s="18" t="s">
        <v>32</v>
      </c>
      <c r="M557" s="14">
        <v>39</v>
      </c>
      <c r="N557" s="18" t="str" cm="1">
        <f t="array" ref="N557">_xlfn.IFS(Cleaned_Working_Sheet!$M557&lt;=34,"Young",Cleaned_Working_Sheet!$M557&lt;=54,"Middle-aged",Cleaned_Working_Sheet!$M557&gt;54,"Old")</f>
        <v>Middle-aged</v>
      </c>
      <c r="O557" s="18" t="s">
        <v>15</v>
      </c>
    </row>
    <row r="558" spans="1:15" x14ac:dyDescent="0.25">
      <c r="A558" s="14">
        <v>25293</v>
      </c>
      <c r="B558" s="18" t="s">
        <v>36</v>
      </c>
      <c r="C558" s="18" t="s">
        <v>39</v>
      </c>
      <c r="D558" s="6">
        <v>80000</v>
      </c>
      <c r="E558" s="18" t="str" cm="1">
        <f t="array" ref="E558">_xlfn.IFS(Cleaned_Working_Sheet!$D558&lt;=50000,"Low Income",Cleaned_Working_Sheet!$D558&lt;100000,"Middle Income",TRUE,"High Income")</f>
        <v>Middle Income</v>
      </c>
      <c r="F558" s="16">
        <v>4</v>
      </c>
      <c r="G558" s="18" t="s">
        <v>13</v>
      </c>
      <c r="H558" s="18" t="s">
        <v>28</v>
      </c>
      <c r="I558" s="18" t="s">
        <v>15</v>
      </c>
      <c r="J558" s="16">
        <v>0</v>
      </c>
      <c r="K558" s="18" t="s">
        <v>26</v>
      </c>
      <c r="L558" s="18" t="s">
        <v>32</v>
      </c>
      <c r="M558" s="14">
        <v>42</v>
      </c>
      <c r="N558" s="18" t="str" cm="1">
        <f t="array" ref="N558">_xlfn.IFS(Cleaned_Working_Sheet!$M558&lt;=34,"Young",Cleaned_Working_Sheet!$M558&lt;=54,"Middle-aged",Cleaned_Working_Sheet!$M558&gt;54,"Old")</f>
        <v>Middle-aged</v>
      </c>
      <c r="O558" s="18" t="s">
        <v>18</v>
      </c>
    </row>
    <row r="559" spans="1:15" x14ac:dyDescent="0.25">
      <c r="A559" s="14">
        <v>24725</v>
      </c>
      <c r="B559" s="18" t="s">
        <v>36</v>
      </c>
      <c r="C559" s="18" t="s">
        <v>38</v>
      </c>
      <c r="D559" s="6">
        <v>40000</v>
      </c>
      <c r="E559" s="18" t="str" cm="1">
        <f t="array" ref="E559">_xlfn.IFS(Cleaned_Working_Sheet!$D559&lt;=50000,"Low Income",Cleaned_Working_Sheet!$D559&lt;100000,"Middle Income",TRUE,"High Income")</f>
        <v>Low Income</v>
      </c>
      <c r="F559" s="16">
        <v>3</v>
      </c>
      <c r="G559" s="18" t="s">
        <v>19</v>
      </c>
      <c r="H559" s="18" t="s">
        <v>20</v>
      </c>
      <c r="I559" s="18" t="s">
        <v>15</v>
      </c>
      <c r="J559" s="16">
        <v>0</v>
      </c>
      <c r="K559" s="18" t="s">
        <v>26</v>
      </c>
      <c r="L559" s="18" t="s">
        <v>32</v>
      </c>
      <c r="M559" s="14">
        <v>31</v>
      </c>
      <c r="N559" s="18" t="str" cm="1">
        <f t="array" ref="N559">_xlfn.IFS(Cleaned_Working_Sheet!$M559&lt;=34,"Young",Cleaned_Working_Sheet!$M559&lt;=54,"Middle-aged",Cleaned_Working_Sheet!$M559&gt;54,"Old")</f>
        <v>Young</v>
      </c>
      <c r="O559" s="18" t="s">
        <v>18</v>
      </c>
    </row>
    <row r="560" spans="1:15" x14ac:dyDescent="0.25">
      <c r="A560" s="14">
        <v>23200</v>
      </c>
      <c r="B560" s="18" t="s">
        <v>36</v>
      </c>
      <c r="C560" s="18" t="s">
        <v>38</v>
      </c>
      <c r="D560" s="6">
        <v>50000</v>
      </c>
      <c r="E560" s="18" t="str" cm="1">
        <f t="array" ref="E560">_xlfn.IFS(Cleaned_Working_Sheet!$D560&lt;=50000,"Low Income",Cleaned_Working_Sheet!$D560&lt;100000,"Middle Income",TRUE,"High Income")</f>
        <v>Low Income</v>
      </c>
      <c r="F560" s="16">
        <v>3</v>
      </c>
      <c r="G560" s="18" t="s">
        <v>13</v>
      </c>
      <c r="H560" s="18" t="s">
        <v>14</v>
      </c>
      <c r="I560" s="18" t="s">
        <v>15</v>
      </c>
      <c r="J560" s="16">
        <v>2</v>
      </c>
      <c r="K560" s="18" t="s">
        <v>16</v>
      </c>
      <c r="L560" s="18" t="s">
        <v>32</v>
      </c>
      <c r="M560" s="14">
        <v>41</v>
      </c>
      <c r="N560" s="18" t="str" cm="1">
        <f t="array" ref="N560">_xlfn.IFS(Cleaned_Working_Sheet!$M560&lt;=34,"Young",Cleaned_Working_Sheet!$M560&lt;=54,"Middle-aged",Cleaned_Working_Sheet!$M560&gt;54,"Old")</f>
        <v>Middle-aged</v>
      </c>
      <c r="O560" s="18" t="s">
        <v>18</v>
      </c>
    </row>
    <row r="561" spans="1:15" x14ac:dyDescent="0.25">
      <c r="A561" s="14">
        <v>15895</v>
      </c>
      <c r="B561" s="18" t="s">
        <v>37</v>
      </c>
      <c r="C561" s="18" t="s">
        <v>38</v>
      </c>
      <c r="D561" s="6">
        <v>60000</v>
      </c>
      <c r="E561" s="18" t="str" cm="1">
        <f t="array" ref="E561">_xlfn.IFS(Cleaned_Working_Sheet!$D561&lt;=50000,"Low Income",Cleaned_Working_Sheet!$D561&lt;100000,"Middle Income",TRUE,"High Income")</f>
        <v>Middle Income</v>
      </c>
      <c r="F561" s="16">
        <v>2</v>
      </c>
      <c r="G561" s="18" t="s">
        <v>13</v>
      </c>
      <c r="H561" s="18" t="s">
        <v>28</v>
      </c>
      <c r="I561" s="18" t="s">
        <v>15</v>
      </c>
      <c r="J561" s="16">
        <v>0</v>
      </c>
      <c r="K561" s="18" t="s">
        <v>43</v>
      </c>
      <c r="L561" s="18" t="s">
        <v>32</v>
      </c>
      <c r="M561" s="14">
        <v>58</v>
      </c>
      <c r="N561" s="18" t="str" cm="1">
        <f t="array" ref="N561">_xlfn.IFS(Cleaned_Working_Sheet!$M561&lt;=34,"Young",Cleaned_Working_Sheet!$M561&lt;=54,"Middle-aged",Cleaned_Working_Sheet!$M561&gt;54,"Old")</f>
        <v>Old</v>
      </c>
      <c r="O561" s="18" t="s">
        <v>18</v>
      </c>
    </row>
    <row r="562" spans="1:15" x14ac:dyDescent="0.25">
      <c r="A562" s="14">
        <v>18577</v>
      </c>
      <c r="B562" s="18" t="s">
        <v>36</v>
      </c>
      <c r="C562" s="18" t="s">
        <v>38</v>
      </c>
      <c r="D562" s="6">
        <v>60000</v>
      </c>
      <c r="E562" s="18" t="str" cm="1">
        <f t="array" ref="E562">_xlfn.IFS(Cleaned_Working_Sheet!$D562&lt;=50000,"Low Income",Cleaned_Working_Sheet!$D562&lt;100000,"Middle Income",TRUE,"High Income")</f>
        <v>Middle Income</v>
      </c>
      <c r="F562" s="16">
        <v>0</v>
      </c>
      <c r="G562" s="18" t="s">
        <v>31</v>
      </c>
      <c r="H562" s="18" t="s">
        <v>21</v>
      </c>
      <c r="I562" s="18" t="s">
        <v>15</v>
      </c>
      <c r="J562" s="16">
        <v>0</v>
      </c>
      <c r="K562" s="18" t="s">
        <v>16</v>
      </c>
      <c r="L562" s="18" t="s">
        <v>32</v>
      </c>
      <c r="M562" s="14">
        <v>40</v>
      </c>
      <c r="N562" s="18" t="str" cm="1">
        <f t="array" ref="N562">_xlfn.IFS(Cleaned_Working_Sheet!$M562&lt;=34,"Young",Cleaned_Working_Sheet!$M562&lt;=54,"Middle-aged",Cleaned_Working_Sheet!$M562&gt;54,"Old")</f>
        <v>Middle-aged</v>
      </c>
      <c r="O562" s="18" t="s">
        <v>18</v>
      </c>
    </row>
    <row r="563" spans="1:15" x14ac:dyDescent="0.25">
      <c r="A563" s="14">
        <v>27218</v>
      </c>
      <c r="B563" s="18" t="s">
        <v>36</v>
      </c>
      <c r="C563" s="18" t="s">
        <v>38</v>
      </c>
      <c r="D563" s="6">
        <v>20000</v>
      </c>
      <c r="E563" s="18" t="str" cm="1">
        <f t="array" ref="E563">_xlfn.IFS(Cleaned_Working_Sheet!$D563&lt;=50000,"Low Income",Cleaned_Working_Sheet!$D563&lt;100000,"Middle Income",TRUE,"High Income")</f>
        <v>Low Income</v>
      </c>
      <c r="F563" s="16">
        <v>2</v>
      </c>
      <c r="G563" s="18" t="s">
        <v>29</v>
      </c>
      <c r="H563" s="18" t="s">
        <v>20</v>
      </c>
      <c r="I563" s="18" t="s">
        <v>18</v>
      </c>
      <c r="J563" s="16">
        <v>0</v>
      </c>
      <c r="K563" s="18" t="s">
        <v>16</v>
      </c>
      <c r="L563" s="18" t="s">
        <v>32</v>
      </c>
      <c r="M563" s="14">
        <v>48</v>
      </c>
      <c r="N563" s="18" t="str" cm="1">
        <f t="array" ref="N563">_xlfn.IFS(Cleaned_Working_Sheet!$M563&lt;=34,"Young",Cleaned_Working_Sheet!$M563&lt;=54,"Middle-aged",Cleaned_Working_Sheet!$M563&gt;54,"Old")</f>
        <v>Middle-aged</v>
      </c>
      <c r="O563" s="18" t="s">
        <v>18</v>
      </c>
    </row>
    <row r="564" spans="1:15" x14ac:dyDescent="0.25">
      <c r="A564" s="14">
        <v>18560</v>
      </c>
      <c r="B564" s="18" t="s">
        <v>36</v>
      </c>
      <c r="C564" s="18" t="s">
        <v>38</v>
      </c>
      <c r="D564" s="6">
        <v>70000</v>
      </c>
      <c r="E564" s="18" t="str" cm="1">
        <f t="array" ref="E564">_xlfn.IFS(Cleaned_Working_Sheet!$D564&lt;=50000,"Low Income",Cleaned_Working_Sheet!$D564&lt;100000,"Middle Income",TRUE,"High Income")</f>
        <v>Middle Income</v>
      </c>
      <c r="F564" s="16">
        <v>2</v>
      </c>
      <c r="G564" s="18" t="s">
        <v>31</v>
      </c>
      <c r="H564" s="18" t="s">
        <v>21</v>
      </c>
      <c r="I564" s="18" t="s">
        <v>15</v>
      </c>
      <c r="J564" s="16">
        <v>0</v>
      </c>
      <c r="K564" s="18" t="s">
        <v>22</v>
      </c>
      <c r="L564" s="18" t="s">
        <v>32</v>
      </c>
      <c r="M564" s="14">
        <v>34</v>
      </c>
      <c r="N564" s="18" t="str" cm="1">
        <f t="array" ref="N564">_xlfn.IFS(Cleaned_Working_Sheet!$M564&lt;=34,"Young",Cleaned_Working_Sheet!$M564&lt;=54,"Middle-aged",Cleaned_Working_Sheet!$M564&gt;54,"Old")</f>
        <v>Young</v>
      </c>
      <c r="O564" s="18" t="s">
        <v>15</v>
      </c>
    </row>
    <row r="565" spans="1:15" x14ac:dyDescent="0.25">
      <c r="A565" s="14">
        <v>25006</v>
      </c>
      <c r="B565" s="18" t="s">
        <v>37</v>
      </c>
      <c r="C565" s="18" t="s">
        <v>38</v>
      </c>
      <c r="D565" s="6">
        <v>30000</v>
      </c>
      <c r="E565" s="18" t="str" cm="1">
        <f t="array" ref="E565">_xlfn.IFS(Cleaned_Working_Sheet!$D565&lt;=50000,"Low Income",Cleaned_Working_Sheet!$D565&lt;100000,"Middle Income",TRUE,"High Income")</f>
        <v>Low Income</v>
      </c>
      <c r="F565" s="16">
        <v>0</v>
      </c>
      <c r="G565" s="18" t="s">
        <v>19</v>
      </c>
      <c r="H565" s="18" t="s">
        <v>14</v>
      </c>
      <c r="I565" s="18" t="s">
        <v>15</v>
      </c>
      <c r="J565" s="16">
        <v>1</v>
      </c>
      <c r="K565" s="18" t="s">
        <v>23</v>
      </c>
      <c r="L565" s="18" t="s">
        <v>32</v>
      </c>
      <c r="M565" s="14">
        <v>28</v>
      </c>
      <c r="N565" s="18" t="str" cm="1">
        <f t="array" ref="N565">_xlfn.IFS(Cleaned_Working_Sheet!$M565&lt;=34,"Young",Cleaned_Working_Sheet!$M565&lt;=54,"Middle-aged",Cleaned_Working_Sheet!$M565&gt;54,"Old")</f>
        <v>Young</v>
      </c>
      <c r="O565" s="18" t="s">
        <v>18</v>
      </c>
    </row>
    <row r="566" spans="1:15" x14ac:dyDescent="0.25">
      <c r="A566" s="14">
        <v>17369</v>
      </c>
      <c r="B566" s="18" t="s">
        <v>37</v>
      </c>
      <c r="C566" s="18" t="s">
        <v>39</v>
      </c>
      <c r="D566" s="6">
        <v>30000</v>
      </c>
      <c r="E566" s="18" t="str" cm="1">
        <f t="array" ref="E566">_xlfn.IFS(Cleaned_Working_Sheet!$D566&lt;=50000,"Low Income",Cleaned_Working_Sheet!$D566&lt;100000,"Middle Income",TRUE,"High Income")</f>
        <v>Low Income</v>
      </c>
      <c r="F566" s="16">
        <v>0</v>
      </c>
      <c r="G566" s="18" t="s">
        <v>19</v>
      </c>
      <c r="H566" s="18" t="s">
        <v>14</v>
      </c>
      <c r="I566" s="18" t="s">
        <v>15</v>
      </c>
      <c r="J566" s="16">
        <v>1</v>
      </c>
      <c r="K566" s="18" t="s">
        <v>23</v>
      </c>
      <c r="L566" s="18" t="s">
        <v>32</v>
      </c>
      <c r="M566" s="14">
        <v>27</v>
      </c>
      <c r="N566" s="18" t="str" cm="1">
        <f t="array" ref="N566">_xlfn.IFS(Cleaned_Working_Sheet!$M566&lt;=34,"Young",Cleaned_Working_Sheet!$M566&lt;=54,"Middle-aged",Cleaned_Working_Sheet!$M566&gt;54,"Old")</f>
        <v>Young</v>
      </c>
      <c r="O566" s="18" t="s">
        <v>18</v>
      </c>
    </row>
    <row r="567" spans="1:15" x14ac:dyDescent="0.25">
      <c r="A567" s="14">
        <v>14495</v>
      </c>
      <c r="B567" s="18" t="s">
        <v>36</v>
      </c>
      <c r="C567" s="18" t="s">
        <v>39</v>
      </c>
      <c r="D567" s="6">
        <v>40000</v>
      </c>
      <c r="E567" s="18" t="str" cm="1">
        <f t="array" ref="E567">_xlfn.IFS(Cleaned_Working_Sheet!$D567&lt;=50000,"Low Income",Cleaned_Working_Sheet!$D567&lt;100000,"Middle Income",TRUE,"High Income")</f>
        <v>Low Income</v>
      </c>
      <c r="F567" s="16">
        <v>3</v>
      </c>
      <c r="G567" s="18" t="s">
        <v>19</v>
      </c>
      <c r="H567" s="18" t="s">
        <v>21</v>
      </c>
      <c r="I567" s="18" t="s">
        <v>18</v>
      </c>
      <c r="J567" s="16">
        <v>2</v>
      </c>
      <c r="K567" s="18" t="s">
        <v>23</v>
      </c>
      <c r="L567" s="18" t="s">
        <v>32</v>
      </c>
      <c r="M567" s="14">
        <v>54</v>
      </c>
      <c r="N567" s="18" t="str" cm="1">
        <f t="array" ref="N567">_xlfn.IFS(Cleaned_Working_Sheet!$M567&lt;=34,"Young",Cleaned_Working_Sheet!$M567&lt;=54,"Middle-aged",Cleaned_Working_Sheet!$M567&gt;54,"Old")</f>
        <v>Middle-aged</v>
      </c>
      <c r="O567" s="18" t="s">
        <v>15</v>
      </c>
    </row>
    <row r="568" spans="1:15" x14ac:dyDescent="0.25">
      <c r="A568" s="14">
        <v>18847</v>
      </c>
      <c r="B568" s="18" t="s">
        <v>36</v>
      </c>
      <c r="C568" s="18" t="s">
        <v>38</v>
      </c>
      <c r="D568" s="6">
        <v>60000</v>
      </c>
      <c r="E568" s="18" t="str" cm="1">
        <f t="array" ref="E568">_xlfn.IFS(Cleaned_Working_Sheet!$D568&lt;=50000,"Low Income",Cleaned_Working_Sheet!$D568&lt;100000,"Middle Income",TRUE,"High Income")</f>
        <v>Middle Income</v>
      </c>
      <c r="F568" s="16">
        <v>2</v>
      </c>
      <c r="G568" s="18" t="s">
        <v>31</v>
      </c>
      <c r="H568" s="18" t="s">
        <v>28</v>
      </c>
      <c r="I568" s="18" t="s">
        <v>15</v>
      </c>
      <c r="J568" s="16">
        <v>2</v>
      </c>
      <c r="K568" s="18" t="s">
        <v>23</v>
      </c>
      <c r="L568" s="18" t="s">
        <v>32</v>
      </c>
      <c r="M568" s="14">
        <v>70</v>
      </c>
      <c r="N568" s="18" t="str" cm="1">
        <f t="array" ref="N568">_xlfn.IFS(Cleaned_Working_Sheet!$M568&lt;=34,"Young",Cleaned_Working_Sheet!$M568&lt;=54,"Middle-aged",Cleaned_Working_Sheet!$M568&gt;54,"Old")</f>
        <v>Old</v>
      </c>
      <c r="O568" s="18" t="s">
        <v>18</v>
      </c>
    </row>
    <row r="569" spans="1:15" x14ac:dyDescent="0.25">
      <c r="A569" s="14">
        <v>14754</v>
      </c>
      <c r="B569" s="18" t="s">
        <v>36</v>
      </c>
      <c r="C569" s="18" t="s">
        <v>39</v>
      </c>
      <c r="D569" s="6">
        <v>40000</v>
      </c>
      <c r="E569" s="18" t="str" cm="1">
        <f t="array" ref="E569">_xlfn.IFS(Cleaned_Working_Sheet!$D569&lt;=50000,"Low Income",Cleaned_Working_Sheet!$D569&lt;100000,"Middle Income",TRUE,"High Income")</f>
        <v>Low Income</v>
      </c>
      <c r="F569" s="16">
        <v>1</v>
      </c>
      <c r="G569" s="18" t="s">
        <v>19</v>
      </c>
      <c r="H569" s="18" t="s">
        <v>20</v>
      </c>
      <c r="I569" s="18" t="s">
        <v>15</v>
      </c>
      <c r="J569" s="16">
        <v>1</v>
      </c>
      <c r="K569" s="18" t="s">
        <v>26</v>
      </c>
      <c r="L569" s="18" t="s">
        <v>32</v>
      </c>
      <c r="M569" s="14">
        <v>48</v>
      </c>
      <c r="N569" s="18" t="str" cm="1">
        <f t="array" ref="N569">_xlfn.IFS(Cleaned_Working_Sheet!$M569&lt;=34,"Young",Cleaned_Working_Sheet!$M569&lt;=54,"Middle-aged",Cleaned_Working_Sheet!$M569&gt;54,"Old")</f>
        <v>Middle-aged</v>
      </c>
      <c r="O569" s="18" t="s">
        <v>15</v>
      </c>
    </row>
    <row r="570" spans="1:15" x14ac:dyDescent="0.25">
      <c r="A570" s="14">
        <v>23378</v>
      </c>
      <c r="B570" s="18" t="s">
        <v>36</v>
      </c>
      <c r="C570" s="18" t="s">
        <v>39</v>
      </c>
      <c r="D570" s="6">
        <v>70000</v>
      </c>
      <c r="E570" s="18" t="str" cm="1">
        <f t="array" ref="E570">_xlfn.IFS(Cleaned_Working_Sheet!$D570&lt;=50000,"Low Income",Cleaned_Working_Sheet!$D570&lt;100000,"Middle Income",TRUE,"High Income")</f>
        <v>Middle Income</v>
      </c>
      <c r="F570" s="16">
        <v>1</v>
      </c>
      <c r="G570" s="18" t="s">
        <v>19</v>
      </c>
      <c r="H570" s="18" t="s">
        <v>14</v>
      </c>
      <c r="I570" s="18" t="s">
        <v>15</v>
      </c>
      <c r="J570" s="16">
        <v>1</v>
      </c>
      <c r="K570" s="18" t="s">
        <v>22</v>
      </c>
      <c r="L570" s="18" t="s">
        <v>32</v>
      </c>
      <c r="M570" s="14">
        <v>44</v>
      </c>
      <c r="N570" s="18" t="str" cm="1">
        <f t="array" ref="N570">_xlfn.IFS(Cleaned_Working_Sheet!$M570&lt;=34,"Young",Cleaned_Working_Sheet!$M570&lt;=54,"Middle-aged",Cleaned_Working_Sheet!$M570&gt;54,"Old")</f>
        <v>Middle-aged</v>
      </c>
      <c r="O570" s="18" t="s">
        <v>15</v>
      </c>
    </row>
    <row r="571" spans="1:15" x14ac:dyDescent="0.25">
      <c r="A571" s="14">
        <v>26452</v>
      </c>
      <c r="B571" s="18" t="s">
        <v>37</v>
      </c>
      <c r="C571" s="18" t="s">
        <v>39</v>
      </c>
      <c r="D571" s="6">
        <v>50000</v>
      </c>
      <c r="E571" s="18" t="str" cm="1">
        <f t="array" ref="E571">_xlfn.IFS(Cleaned_Working_Sheet!$D571&lt;=50000,"Low Income",Cleaned_Working_Sheet!$D571&lt;100000,"Middle Income",TRUE,"High Income")</f>
        <v>Low Income</v>
      </c>
      <c r="F571" s="16">
        <v>3</v>
      </c>
      <c r="G571" s="18" t="s">
        <v>31</v>
      </c>
      <c r="H571" s="18" t="s">
        <v>28</v>
      </c>
      <c r="I571" s="18" t="s">
        <v>15</v>
      </c>
      <c r="J571" s="16">
        <v>2</v>
      </c>
      <c r="K571" s="18" t="s">
        <v>43</v>
      </c>
      <c r="L571" s="18" t="s">
        <v>32</v>
      </c>
      <c r="M571" s="14">
        <v>69</v>
      </c>
      <c r="N571" s="18" t="str" cm="1">
        <f t="array" ref="N571">_xlfn.IFS(Cleaned_Working_Sheet!$M571&lt;=34,"Young",Cleaned_Working_Sheet!$M571&lt;=54,"Middle-aged",Cleaned_Working_Sheet!$M571&gt;54,"Old")</f>
        <v>Old</v>
      </c>
      <c r="O571" s="18" t="s">
        <v>18</v>
      </c>
    </row>
    <row r="572" spans="1:15" x14ac:dyDescent="0.25">
      <c r="A572" s="14">
        <v>20370</v>
      </c>
      <c r="B572" s="18" t="s">
        <v>36</v>
      </c>
      <c r="C572" s="18" t="s">
        <v>39</v>
      </c>
      <c r="D572" s="6">
        <v>70000</v>
      </c>
      <c r="E572" s="18" t="str" cm="1">
        <f t="array" ref="E572">_xlfn.IFS(Cleaned_Working_Sheet!$D572&lt;=50000,"Low Income",Cleaned_Working_Sheet!$D572&lt;100000,"Middle Income",TRUE,"High Income")</f>
        <v>Middle Income</v>
      </c>
      <c r="F572" s="16">
        <v>3</v>
      </c>
      <c r="G572" s="18" t="s">
        <v>29</v>
      </c>
      <c r="H572" s="18" t="s">
        <v>14</v>
      </c>
      <c r="I572" s="18" t="s">
        <v>15</v>
      </c>
      <c r="J572" s="16">
        <v>2</v>
      </c>
      <c r="K572" s="18" t="s">
        <v>23</v>
      </c>
      <c r="L572" s="18" t="s">
        <v>32</v>
      </c>
      <c r="M572" s="14">
        <v>52</v>
      </c>
      <c r="N572" s="18" t="str" cm="1">
        <f t="array" ref="N572">_xlfn.IFS(Cleaned_Working_Sheet!$M572&lt;=34,"Young",Cleaned_Working_Sheet!$M572&lt;=54,"Middle-aged",Cleaned_Working_Sheet!$M572&gt;54,"Old")</f>
        <v>Middle-aged</v>
      </c>
      <c r="O572" s="18" t="s">
        <v>18</v>
      </c>
    </row>
    <row r="573" spans="1:15" x14ac:dyDescent="0.25">
      <c r="A573" s="14">
        <v>20528</v>
      </c>
      <c r="B573" s="18" t="s">
        <v>36</v>
      </c>
      <c r="C573" s="18" t="s">
        <v>39</v>
      </c>
      <c r="D573" s="6">
        <v>40000</v>
      </c>
      <c r="E573" s="18" t="str" cm="1">
        <f t="array" ref="E573">_xlfn.IFS(Cleaned_Working_Sheet!$D573&lt;=50000,"Low Income",Cleaned_Working_Sheet!$D573&lt;100000,"Middle Income",TRUE,"High Income")</f>
        <v>Low Income</v>
      </c>
      <c r="F573" s="16">
        <v>2</v>
      </c>
      <c r="G573" s="18" t="s">
        <v>29</v>
      </c>
      <c r="H573" s="18" t="s">
        <v>14</v>
      </c>
      <c r="I573" s="18" t="s">
        <v>15</v>
      </c>
      <c r="J573" s="16">
        <v>2</v>
      </c>
      <c r="K573" s="18" t="s">
        <v>22</v>
      </c>
      <c r="L573" s="18" t="s">
        <v>32</v>
      </c>
      <c r="M573" s="14">
        <v>55</v>
      </c>
      <c r="N573" s="18" t="str" cm="1">
        <f t="array" ref="N573">_xlfn.IFS(Cleaned_Working_Sheet!$M573&lt;=34,"Young",Cleaned_Working_Sheet!$M573&lt;=54,"Middle-aged",Cleaned_Working_Sheet!$M573&gt;54,"Old")</f>
        <v>Old</v>
      </c>
      <c r="O573" s="18" t="s">
        <v>18</v>
      </c>
    </row>
    <row r="574" spans="1:15" x14ac:dyDescent="0.25">
      <c r="A574" s="14">
        <v>23549</v>
      </c>
      <c r="B574" s="18" t="s">
        <v>37</v>
      </c>
      <c r="C574" s="18" t="s">
        <v>39</v>
      </c>
      <c r="D574" s="6">
        <v>30000</v>
      </c>
      <c r="E574" s="18" t="str" cm="1">
        <f t="array" ref="E574">_xlfn.IFS(Cleaned_Working_Sheet!$D574&lt;=50000,"Low Income",Cleaned_Working_Sheet!$D574&lt;100000,"Middle Income",TRUE,"High Income")</f>
        <v>Low Income</v>
      </c>
      <c r="F574" s="16">
        <v>0</v>
      </c>
      <c r="G574" s="18" t="s">
        <v>27</v>
      </c>
      <c r="H574" s="18" t="s">
        <v>14</v>
      </c>
      <c r="I574" s="18" t="s">
        <v>15</v>
      </c>
      <c r="J574" s="16">
        <v>2</v>
      </c>
      <c r="K574" s="18" t="s">
        <v>23</v>
      </c>
      <c r="L574" s="18" t="s">
        <v>32</v>
      </c>
      <c r="M574" s="14">
        <v>30</v>
      </c>
      <c r="N574" s="18" t="str" cm="1">
        <f t="array" ref="N574">_xlfn.IFS(Cleaned_Working_Sheet!$M574&lt;=34,"Young",Cleaned_Working_Sheet!$M574&lt;=54,"Middle-aged",Cleaned_Working_Sheet!$M574&gt;54,"Old")</f>
        <v>Young</v>
      </c>
      <c r="O574" s="18" t="s">
        <v>18</v>
      </c>
    </row>
    <row r="575" spans="1:15" x14ac:dyDescent="0.25">
      <c r="A575" s="14">
        <v>21751</v>
      </c>
      <c r="B575" s="18" t="s">
        <v>36</v>
      </c>
      <c r="C575" s="18" t="s">
        <v>39</v>
      </c>
      <c r="D575" s="6">
        <v>60000</v>
      </c>
      <c r="E575" s="18" t="str" cm="1">
        <f t="array" ref="E575">_xlfn.IFS(Cleaned_Working_Sheet!$D575&lt;=50000,"Low Income",Cleaned_Working_Sheet!$D575&lt;100000,"Middle Income",TRUE,"High Income")</f>
        <v>Middle Income</v>
      </c>
      <c r="F575" s="16">
        <v>3</v>
      </c>
      <c r="G575" s="18" t="s">
        <v>31</v>
      </c>
      <c r="H575" s="18" t="s">
        <v>28</v>
      </c>
      <c r="I575" s="18" t="s">
        <v>15</v>
      </c>
      <c r="J575" s="16">
        <v>2</v>
      </c>
      <c r="K575" s="18" t="s">
        <v>26</v>
      </c>
      <c r="L575" s="18" t="s">
        <v>32</v>
      </c>
      <c r="M575" s="14">
        <v>63</v>
      </c>
      <c r="N575" s="18" t="str" cm="1">
        <f t="array" ref="N575">_xlfn.IFS(Cleaned_Working_Sheet!$M575&lt;=34,"Young",Cleaned_Working_Sheet!$M575&lt;=54,"Middle-aged",Cleaned_Working_Sheet!$M575&gt;54,"Old")</f>
        <v>Old</v>
      </c>
      <c r="O575" s="18" t="s">
        <v>18</v>
      </c>
    </row>
    <row r="576" spans="1:15" x14ac:dyDescent="0.25">
      <c r="A576" s="14">
        <v>21266</v>
      </c>
      <c r="B576" s="18" t="s">
        <v>37</v>
      </c>
      <c r="C576" s="18" t="s">
        <v>38</v>
      </c>
      <c r="D576" s="6">
        <v>80000</v>
      </c>
      <c r="E576" s="18" t="str" cm="1">
        <f t="array" ref="E576">_xlfn.IFS(Cleaned_Working_Sheet!$D576&lt;=50000,"Low Income",Cleaned_Working_Sheet!$D576&lt;100000,"Middle Income",TRUE,"High Income")</f>
        <v>Middle Income</v>
      </c>
      <c r="F576" s="16">
        <v>0</v>
      </c>
      <c r="G576" s="18" t="s">
        <v>13</v>
      </c>
      <c r="H576" s="18" t="s">
        <v>28</v>
      </c>
      <c r="I576" s="18" t="s">
        <v>15</v>
      </c>
      <c r="J576" s="16">
        <v>1</v>
      </c>
      <c r="K576" s="18" t="s">
        <v>26</v>
      </c>
      <c r="L576" s="18" t="s">
        <v>32</v>
      </c>
      <c r="M576" s="14">
        <v>34</v>
      </c>
      <c r="N576" s="18" t="str" cm="1">
        <f t="array" ref="N576">_xlfn.IFS(Cleaned_Working_Sheet!$M576&lt;=34,"Young",Cleaned_Working_Sheet!$M576&lt;=54,"Middle-aged",Cleaned_Working_Sheet!$M576&gt;54,"Old")</f>
        <v>Young</v>
      </c>
      <c r="O576" s="18" t="s">
        <v>15</v>
      </c>
    </row>
    <row r="577" spans="1:15" x14ac:dyDescent="0.25">
      <c r="A577" s="14">
        <v>13388</v>
      </c>
      <c r="B577" s="18" t="s">
        <v>37</v>
      </c>
      <c r="C577" s="18" t="s">
        <v>39</v>
      </c>
      <c r="D577" s="6">
        <v>60000</v>
      </c>
      <c r="E577" s="18" t="str" cm="1">
        <f t="array" ref="E577">_xlfn.IFS(Cleaned_Working_Sheet!$D577&lt;=50000,"Low Income",Cleaned_Working_Sheet!$D577&lt;100000,"Middle Income",TRUE,"High Income")</f>
        <v>Middle Income</v>
      </c>
      <c r="F577" s="16">
        <v>2</v>
      </c>
      <c r="G577" s="18" t="s">
        <v>19</v>
      </c>
      <c r="H577" s="18" t="s">
        <v>21</v>
      </c>
      <c r="I577" s="18" t="s">
        <v>15</v>
      </c>
      <c r="J577" s="16">
        <v>1</v>
      </c>
      <c r="K577" s="18" t="s">
        <v>43</v>
      </c>
      <c r="L577" s="18" t="s">
        <v>32</v>
      </c>
      <c r="M577" s="14">
        <v>56</v>
      </c>
      <c r="N577" s="18" t="str" cm="1">
        <f t="array" ref="N577">_xlfn.IFS(Cleaned_Working_Sheet!$M577&lt;=34,"Young",Cleaned_Working_Sheet!$M577&lt;=54,"Middle-aged",Cleaned_Working_Sheet!$M577&gt;54,"Old")</f>
        <v>Old</v>
      </c>
      <c r="O577" s="18" t="s">
        <v>18</v>
      </c>
    </row>
    <row r="578" spans="1:15" x14ac:dyDescent="0.25">
      <c r="A578" s="14">
        <v>18752</v>
      </c>
      <c r="B578" s="18" t="s">
        <v>37</v>
      </c>
      <c r="C578" s="18" t="s">
        <v>38</v>
      </c>
      <c r="D578" s="6">
        <v>40000</v>
      </c>
      <c r="E578" s="18" t="str" cm="1">
        <f t="array" ref="E578">_xlfn.IFS(Cleaned_Working_Sheet!$D578&lt;=50000,"Low Income",Cleaned_Working_Sheet!$D578&lt;100000,"Middle Income",TRUE,"High Income")</f>
        <v>Low Income</v>
      </c>
      <c r="F578" s="16">
        <v>0</v>
      </c>
      <c r="G578" s="18" t="s">
        <v>27</v>
      </c>
      <c r="H578" s="18" t="s">
        <v>14</v>
      </c>
      <c r="I578" s="18" t="s">
        <v>15</v>
      </c>
      <c r="J578" s="16">
        <v>1</v>
      </c>
      <c r="K578" s="18" t="s">
        <v>23</v>
      </c>
      <c r="L578" s="18" t="s">
        <v>32</v>
      </c>
      <c r="M578" s="14">
        <v>31</v>
      </c>
      <c r="N578" s="18" t="str" cm="1">
        <f t="array" ref="N578">_xlfn.IFS(Cleaned_Working_Sheet!$M578&lt;=34,"Young",Cleaned_Working_Sheet!$M578&lt;=54,"Middle-aged",Cleaned_Working_Sheet!$M578&gt;54,"Old")</f>
        <v>Young</v>
      </c>
      <c r="O578" s="18" t="s">
        <v>18</v>
      </c>
    </row>
    <row r="579" spans="1:15" x14ac:dyDescent="0.25">
      <c r="A579" s="14">
        <v>16917</v>
      </c>
      <c r="B579" s="18" t="s">
        <v>36</v>
      </c>
      <c r="C579" s="18" t="s">
        <v>39</v>
      </c>
      <c r="D579" s="6">
        <v>120000</v>
      </c>
      <c r="E579" s="18" t="str" cm="1">
        <f t="array" ref="E579">_xlfn.IFS(Cleaned_Working_Sheet!$D579&lt;=50000,"Low Income",Cleaned_Working_Sheet!$D579&lt;100000,"Middle Income",TRUE,"High Income")</f>
        <v>High Income</v>
      </c>
      <c r="F579" s="16">
        <v>1</v>
      </c>
      <c r="G579" s="18" t="s">
        <v>13</v>
      </c>
      <c r="H579" s="18" t="s">
        <v>28</v>
      </c>
      <c r="I579" s="18" t="s">
        <v>15</v>
      </c>
      <c r="J579" s="16">
        <v>4</v>
      </c>
      <c r="K579" s="18" t="s">
        <v>16</v>
      </c>
      <c r="L579" s="18" t="s">
        <v>32</v>
      </c>
      <c r="M579" s="14">
        <v>38</v>
      </c>
      <c r="N579" s="18" t="str" cm="1">
        <f t="array" ref="N579">_xlfn.IFS(Cleaned_Working_Sheet!$M579&lt;=34,"Young",Cleaned_Working_Sheet!$M579&lt;=54,"Middle-aged",Cleaned_Working_Sheet!$M579&gt;54,"Old")</f>
        <v>Middle-aged</v>
      </c>
      <c r="O579" s="18" t="s">
        <v>18</v>
      </c>
    </row>
    <row r="580" spans="1:15" x14ac:dyDescent="0.25">
      <c r="A580" s="14">
        <v>15313</v>
      </c>
      <c r="B580" s="18" t="s">
        <v>36</v>
      </c>
      <c r="C580" s="18" t="s">
        <v>39</v>
      </c>
      <c r="D580" s="6">
        <v>60000</v>
      </c>
      <c r="E580" s="18" t="str" cm="1">
        <f t="array" ref="E580">_xlfn.IFS(Cleaned_Working_Sheet!$D580&lt;=50000,"Low Income",Cleaned_Working_Sheet!$D580&lt;100000,"Middle Income",TRUE,"High Income")</f>
        <v>Middle Income</v>
      </c>
      <c r="F580" s="16">
        <v>4</v>
      </c>
      <c r="G580" s="18" t="s">
        <v>13</v>
      </c>
      <c r="H580" s="18" t="s">
        <v>28</v>
      </c>
      <c r="I580" s="18" t="s">
        <v>15</v>
      </c>
      <c r="J580" s="16">
        <v>2</v>
      </c>
      <c r="K580" s="18" t="s">
        <v>22</v>
      </c>
      <c r="L580" s="18" t="s">
        <v>32</v>
      </c>
      <c r="M580" s="14">
        <v>59</v>
      </c>
      <c r="N580" s="18" t="str" cm="1">
        <f t="array" ref="N580">_xlfn.IFS(Cleaned_Working_Sheet!$M580&lt;=34,"Young",Cleaned_Working_Sheet!$M580&lt;=54,"Middle-aged",Cleaned_Working_Sheet!$M580&gt;54,"Old")</f>
        <v>Old</v>
      </c>
      <c r="O580" s="18" t="s">
        <v>18</v>
      </c>
    </row>
    <row r="581" spans="1:15" x14ac:dyDescent="0.25">
      <c r="A581" s="14">
        <v>25329</v>
      </c>
      <c r="B581" s="18" t="s">
        <v>37</v>
      </c>
      <c r="C581" s="18" t="s">
        <v>38</v>
      </c>
      <c r="D581" s="6">
        <v>40000</v>
      </c>
      <c r="E581" s="18" t="str" cm="1">
        <f t="array" ref="E581">_xlfn.IFS(Cleaned_Working_Sheet!$D581&lt;=50000,"Low Income",Cleaned_Working_Sheet!$D581&lt;100000,"Middle Income",TRUE,"High Income")</f>
        <v>Low Income</v>
      </c>
      <c r="F581" s="16">
        <v>3</v>
      </c>
      <c r="G581" s="18" t="s">
        <v>19</v>
      </c>
      <c r="H581" s="18" t="s">
        <v>20</v>
      </c>
      <c r="I581" s="18" t="s">
        <v>18</v>
      </c>
      <c r="J581" s="16">
        <v>2</v>
      </c>
      <c r="K581" s="18" t="s">
        <v>16</v>
      </c>
      <c r="L581" s="18" t="s">
        <v>32</v>
      </c>
      <c r="M581" s="14">
        <v>32</v>
      </c>
      <c r="N581" s="18" t="str" cm="1">
        <f t="array" ref="N581">_xlfn.IFS(Cleaned_Working_Sheet!$M581&lt;=34,"Young",Cleaned_Working_Sheet!$M581&lt;=54,"Middle-aged",Cleaned_Working_Sheet!$M581&gt;54,"Old")</f>
        <v>Young</v>
      </c>
      <c r="O581" s="18" t="s">
        <v>18</v>
      </c>
    </row>
    <row r="582" spans="1:15" x14ac:dyDescent="0.25">
      <c r="A582" s="14">
        <v>20380</v>
      </c>
      <c r="B582" s="18" t="s">
        <v>36</v>
      </c>
      <c r="C582" s="18" t="s">
        <v>38</v>
      </c>
      <c r="D582" s="6">
        <v>60000</v>
      </c>
      <c r="E582" s="18" t="str" cm="1">
        <f t="array" ref="E582">_xlfn.IFS(Cleaned_Working_Sheet!$D582&lt;=50000,"Low Income",Cleaned_Working_Sheet!$D582&lt;100000,"Middle Income",TRUE,"High Income")</f>
        <v>Middle Income</v>
      </c>
      <c r="F582" s="16">
        <v>3</v>
      </c>
      <c r="G582" s="18" t="s">
        <v>31</v>
      </c>
      <c r="H582" s="18" t="s">
        <v>28</v>
      </c>
      <c r="I582" s="18" t="s">
        <v>15</v>
      </c>
      <c r="J582" s="16">
        <v>2</v>
      </c>
      <c r="K582" s="18" t="s">
        <v>43</v>
      </c>
      <c r="L582" s="18" t="s">
        <v>32</v>
      </c>
      <c r="M582" s="14">
        <v>69</v>
      </c>
      <c r="N582" s="18" t="str" cm="1">
        <f t="array" ref="N582">_xlfn.IFS(Cleaned_Working_Sheet!$M582&lt;=34,"Young",Cleaned_Working_Sheet!$M582&lt;=54,"Middle-aged",Cleaned_Working_Sheet!$M582&gt;54,"Old")</f>
        <v>Old</v>
      </c>
      <c r="O582" s="18" t="s">
        <v>18</v>
      </c>
    </row>
    <row r="583" spans="1:15" x14ac:dyDescent="0.25">
      <c r="A583" s="14">
        <v>23089</v>
      </c>
      <c r="B583" s="18" t="s">
        <v>36</v>
      </c>
      <c r="C583" s="18" t="s">
        <v>39</v>
      </c>
      <c r="D583" s="6">
        <v>40000</v>
      </c>
      <c r="E583" s="18" t="str" cm="1">
        <f t="array" ref="E583">_xlfn.IFS(Cleaned_Working_Sheet!$D583&lt;=50000,"Low Income",Cleaned_Working_Sheet!$D583&lt;100000,"Middle Income",TRUE,"High Income")</f>
        <v>Low Income</v>
      </c>
      <c r="F583" s="16">
        <v>0</v>
      </c>
      <c r="G583" s="18" t="s">
        <v>19</v>
      </c>
      <c r="H583" s="18" t="s">
        <v>14</v>
      </c>
      <c r="I583" s="18" t="s">
        <v>15</v>
      </c>
      <c r="J583" s="16">
        <v>1</v>
      </c>
      <c r="K583" s="18" t="s">
        <v>23</v>
      </c>
      <c r="L583" s="18" t="s">
        <v>32</v>
      </c>
      <c r="M583" s="14">
        <v>28</v>
      </c>
      <c r="N583" s="18" t="str" cm="1">
        <f t="array" ref="N583">_xlfn.IFS(Cleaned_Working_Sheet!$M583&lt;=34,"Young",Cleaned_Working_Sheet!$M583&lt;=54,"Middle-aged",Cleaned_Working_Sheet!$M583&gt;54,"Old")</f>
        <v>Young</v>
      </c>
      <c r="O583" s="18" t="s">
        <v>18</v>
      </c>
    </row>
    <row r="584" spans="1:15" x14ac:dyDescent="0.25">
      <c r="A584" s="14">
        <v>13749</v>
      </c>
      <c r="B584" s="18" t="s">
        <v>36</v>
      </c>
      <c r="C584" s="18" t="s">
        <v>39</v>
      </c>
      <c r="D584" s="6">
        <v>80000</v>
      </c>
      <c r="E584" s="18" t="str" cm="1">
        <f t="array" ref="E584">_xlfn.IFS(Cleaned_Working_Sheet!$D584&lt;=50000,"Low Income",Cleaned_Working_Sheet!$D584&lt;100000,"Middle Income",TRUE,"High Income")</f>
        <v>Middle Income</v>
      </c>
      <c r="F584" s="16">
        <v>4</v>
      </c>
      <c r="G584" s="18" t="s">
        <v>31</v>
      </c>
      <c r="H584" s="18" t="s">
        <v>14</v>
      </c>
      <c r="I584" s="18" t="s">
        <v>15</v>
      </c>
      <c r="J584" s="16">
        <v>0</v>
      </c>
      <c r="K584" s="18" t="s">
        <v>26</v>
      </c>
      <c r="L584" s="18" t="s">
        <v>32</v>
      </c>
      <c r="M584" s="14">
        <v>47</v>
      </c>
      <c r="N584" s="18" t="str" cm="1">
        <f t="array" ref="N584">_xlfn.IFS(Cleaned_Working_Sheet!$M584&lt;=34,"Young",Cleaned_Working_Sheet!$M584&lt;=54,"Middle-aged",Cleaned_Working_Sheet!$M584&gt;54,"Old")</f>
        <v>Middle-aged</v>
      </c>
      <c r="O584" s="18" t="s">
        <v>18</v>
      </c>
    </row>
    <row r="585" spans="1:15" x14ac:dyDescent="0.25">
      <c r="A585" s="14">
        <v>24943</v>
      </c>
      <c r="B585" s="18" t="s">
        <v>36</v>
      </c>
      <c r="C585" s="18" t="s">
        <v>39</v>
      </c>
      <c r="D585" s="6">
        <v>60000</v>
      </c>
      <c r="E585" s="18" t="str" cm="1">
        <f t="array" ref="E585">_xlfn.IFS(Cleaned_Working_Sheet!$D585&lt;=50000,"Low Income",Cleaned_Working_Sheet!$D585&lt;100000,"Middle Income",TRUE,"High Income")</f>
        <v>Middle Income</v>
      </c>
      <c r="F585" s="16">
        <v>3</v>
      </c>
      <c r="G585" s="18" t="s">
        <v>13</v>
      </c>
      <c r="H585" s="18" t="s">
        <v>28</v>
      </c>
      <c r="I585" s="18" t="s">
        <v>15</v>
      </c>
      <c r="J585" s="16">
        <v>2</v>
      </c>
      <c r="K585" s="18" t="s">
        <v>43</v>
      </c>
      <c r="L585" s="18" t="s">
        <v>32</v>
      </c>
      <c r="M585" s="14">
        <v>66</v>
      </c>
      <c r="N585" s="18" t="str" cm="1">
        <f t="array" ref="N585">_xlfn.IFS(Cleaned_Working_Sheet!$M585&lt;=34,"Young",Cleaned_Working_Sheet!$M585&lt;=54,"Middle-aged",Cleaned_Working_Sheet!$M585&gt;54,"Old")</f>
        <v>Old</v>
      </c>
      <c r="O585" s="18" t="s">
        <v>18</v>
      </c>
    </row>
    <row r="586" spans="1:15" x14ac:dyDescent="0.25">
      <c r="A586" s="14">
        <v>28667</v>
      </c>
      <c r="B586" s="18" t="s">
        <v>37</v>
      </c>
      <c r="C586" s="18" t="s">
        <v>39</v>
      </c>
      <c r="D586" s="6">
        <v>70000</v>
      </c>
      <c r="E586" s="18" t="str" cm="1">
        <f t="array" ref="E586">_xlfn.IFS(Cleaned_Working_Sheet!$D586&lt;=50000,"Low Income",Cleaned_Working_Sheet!$D586&lt;100000,"Middle Income",TRUE,"High Income")</f>
        <v>Middle Income</v>
      </c>
      <c r="F586" s="16">
        <v>2</v>
      </c>
      <c r="G586" s="18" t="s">
        <v>13</v>
      </c>
      <c r="H586" s="18" t="s">
        <v>14</v>
      </c>
      <c r="I586" s="18" t="s">
        <v>18</v>
      </c>
      <c r="J586" s="16">
        <v>1</v>
      </c>
      <c r="K586" s="18" t="s">
        <v>16</v>
      </c>
      <c r="L586" s="18" t="s">
        <v>32</v>
      </c>
      <c r="M586" s="14">
        <v>37</v>
      </c>
      <c r="N586" s="18" t="str" cm="1">
        <f t="array" ref="N586">_xlfn.IFS(Cleaned_Working_Sheet!$M586&lt;=34,"Young",Cleaned_Working_Sheet!$M586&lt;=54,"Middle-aged",Cleaned_Working_Sheet!$M586&gt;54,"Old")</f>
        <v>Middle-aged</v>
      </c>
      <c r="O586" s="18" t="s">
        <v>15</v>
      </c>
    </row>
    <row r="587" spans="1:15" x14ac:dyDescent="0.25">
      <c r="A587" s="14">
        <v>15194</v>
      </c>
      <c r="B587" s="18" t="s">
        <v>37</v>
      </c>
      <c r="C587" s="18" t="s">
        <v>39</v>
      </c>
      <c r="D587" s="6">
        <v>120000</v>
      </c>
      <c r="E587" s="18" t="str" cm="1">
        <f t="array" ref="E587">_xlfn.IFS(Cleaned_Working_Sheet!$D587&lt;=50000,"Low Income",Cleaned_Working_Sheet!$D587&lt;100000,"Middle Income",TRUE,"High Income")</f>
        <v>High Income</v>
      </c>
      <c r="F587" s="16">
        <v>2</v>
      </c>
      <c r="G587" s="18" t="s">
        <v>13</v>
      </c>
      <c r="H587" s="18" t="s">
        <v>28</v>
      </c>
      <c r="I587" s="18" t="s">
        <v>18</v>
      </c>
      <c r="J587" s="16">
        <v>3</v>
      </c>
      <c r="K587" s="18" t="s">
        <v>16</v>
      </c>
      <c r="L587" s="18" t="s">
        <v>32</v>
      </c>
      <c r="M587" s="14">
        <v>39</v>
      </c>
      <c r="N587" s="18" t="str" cm="1">
        <f t="array" ref="N587">_xlfn.IFS(Cleaned_Working_Sheet!$M587&lt;=34,"Young",Cleaned_Working_Sheet!$M587&lt;=54,"Middle-aged",Cleaned_Working_Sheet!$M587&gt;54,"Old")</f>
        <v>Middle-aged</v>
      </c>
      <c r="O587" s="18" t="s">
        <v>15</v>
      </c>
    </row>
    <row r="588" spans="1:15" x14ac:dyDescent="0.25">
      <c r="A588" s="14">
        <v>17436</v>
      </c>
      <c r="B588" s="18" t="s">
        <v>36</v>
      </c>
      <c r="C588" s="18" t="s">
        <v>39</v>
      </c>
      <c r="D588" s="6">
        <v>60000</v>
      </c>
      <c r="E588" s="18" t="str" cm="1">
        <f t="array" ref="E588">_xlfn.IFS(Cleaned_Working_Sheet!$D588&lt;=50000,"Low Income",Cleaned_Working_Sheet!$D588&lt;100000,"Middle Income",TRUE,"High Income")</f>
        <v>Middle Income</v>
      </c>
      <c r="F588" s="16">
        <v>2</v>
      </c>
      <c r="G588" s="18" t="s">
        <v>27</v>
      </c>
      <c r="H588" s="18" t="s">
        <v>21</v>
      </c>
      <c r="I588" s="18" t="s">
        <v>18</v>
      </c>
      <c r="J588" s="16">
        <v>2</v>
      </c>
      <c r="K588" s="18" t="s">
        <v>26</v>
      </c>
      <c r="L588" s="18" t="s">
        <v>32</v>
      </c>
      <c r="M588" s="14">
        <v>51</v>
      </c>
      <c r="N588" s="18" t="str" cm="1">
        <f t="array" ref="N588">_xlfn.IFS(Cleaned_Working_Sheet!$M588&lt;=34,"Young",Cleaned_Working_Sheet!$M588&lt;=54,"Middle-aged",Cleaned_Working_Sheet!$M588&gt;54,"Old")</f>
        <v>Middle-aged</v>
      </c>
      <c r="O588" s="18" t="s">
        <v>18</v>
      </c>
    </row>
    <row r="589" spans="1:15" x14ac:dyDescent="0.25">
      <c r="A589" s="14">
        <v>18935</v>
      </c>
      <c r="B589" s="18" t="s">
        <v>36</v>
      </c>
      <c r="C589" s="18" t="s">
        <v>38</v>
      </c>
      <c r="D589" s="6">
        <v>130000</v>
      </c>
      <c r="E589" s="18" t="str" cm="1">
        <f t="array" ref="E589">_xlfn.IFS(Cleaned_Working_Sheet!$D589&lt;=50000,"Low Income",Cleaned_Working_Sheet!$D589&lt;100000,"Middle Income",TRUE,"High Income")</f>
        <v>High Income</v>
      </c>
      <c r="F589" s="16">
        <v>0</v>
      </c>
      <c r="G589" s="18" t="s">
        <v>31</v>
      </c>
      <c r="H589" s="18" t="s">
        <v>28</v>
      </c>
      <c r="I589" s="18" t="s">
        <v>15</v>
      </c>
      <c r="J589" s="16">
        <v>3</v>
      </c>
      <c r="K589" s="18" t="s">
        <v>26</v>
      </c>
      <c r="L589" s="18" t="s">
        <v>32</v>
      </c>
      <c r="M589" s="14">
        <v>40</v>
      </c>
      <c r="N589" s="18" t="str" cm="1">
        <f t="array" ref="N589">_xlfn.IFS(Cleaned_Working_Sheet!$M589&lt;=34,"Young",Cleaned_Working_Sheet!$M589&lt;=54,"Middle-aged",Cleaned_Working_Sheet!$M589&gt;54,"Old")</f>
        <v>Middle-aged</v>
      </c>
      <c r="O589" s="18" t="s">
        <v>18</v>
      </c>
    </row>
    <row r="590" spans="1:15" x14ac:dyDescent="0.25">
      <c r="A590" s="14">
        <v>16871</v>
      </c>
      <c r="B590" s="18" t="s">
        <v>36</v>
      </c>
      <c r="C590" s="18" t="s">
        <v>38</v>
      </c>
      <c r="D590" s="6">
        <v>90000</v>
      </c>
      <c r="E590" s="18" t="str" cm="1">
        <f t="array" ref="E590">_xlfn.IFS(Cleaned_Working_Sheet!$D590&lt;=50000,"Low Income",Cleaned_Working_Sheet!$D590&lt;100000,"Middle Income",TRUE,"High Income")</f>
        <v>Middle Income</v>
      </c>
      <c r="F590" s="16">
        <v>2</v>
      </c>
      <c r="G590" s="18" t="s">
        <v>27</v>
      </c>
      <c r="H590" s="18" t="s">
        <v>21</v>
      </c>
      <c r="I590" s="18" t="s">
        <v>15</v>
      </c>
      <c r="J590" s="16">
        <v>1</v>
      </c>
      <c r="K590" s="18" t="s">
        <v>43</v>
      </c>
      <c r="L590" s="18" t="s">
        <v>32</v>
      </c>
      <c r="M590" s="14">
        <v>51</v>
      </c>
      <c r="N590" s="18" t="str" cm="1">
        <f t="array" ref="N590">_xlfn.IFS(Cleaned_Working_Sheet!$M590&lt;=34,"Young",Cleaned_Working_Sheet!$M590&lt;=54,"Middle-aged",Cleaned_Working_Sheet!$M590&gt;54,"Old")</f>
        <v>Middle-aged</v>
      </c>
      <c r="O590" s="18" t="s">
        <v>15</v>
      </c>
    </row>
    <row r="591" spans="1:15" x14ac:dyDescent="0.25">
      <c r="A591" s="14">
        <v>12100</v>
      </c>
      <c r="B591" s="18" t="s">
        <v>37</v>
      </c>
      <c r="C591" s="18" t="s">
        <v>39</v>
      </c>
      <c r="D591" s="6">
        <v>60000</v>
      </c>
      <c r="E591" s="18" t="str" cm="1">
        <f t="array" ref="E591">_xlfn.IFS(Cleaned_Working_Sheet!$D591&lt;=50000,"Low Income",Cleaned_Working_Sheet!$D591&lt;100000,"Middle Income",TRUE,"High Income")</f>
        <v>Middle Income</v>
      </c>
      <c r="F591" s="16">
        <v>2</v>
      </c>
      <c r="G591" s="18" t="s">
        <v>13</v>
      </c>
      <c r="H591" s="18" t="s">
        <v>28</v>
      </c>
      <c r="I591" s="18" t="s">
        <v>15</v>
      </c>
      <c r="J591" s="16">
        <v>0</v>
      </c>
      <c r="K591" s="18" t="s">
        <v>43</v>
      </c>
      <c r="L591" s="18" t="s">
        <v>32</v>
      </c>
      <c r="M591" s="14">
        <v>57</v>
      </c>
      <c r="N591" s="18" t="str" cm="1">
        <f t="array" ref="N591">_xlfn.IFS(Cleaned_Working_Sheet!$M591&lt;=34,"Young",Cleaned_Working_Sheet!$M591&lt;=54,"Middle-aged",Cleaned_Working_Sheet!$M591&gt;54,"Old")</f>
        <v>Old</v>
      </c>
      <c r="O591" s="18" t="s">
        <v>18</v>
      </c>
    </row>
    <row r="592" spans="1:15" x14ac:dyDescent="0.25">
      <c r="A592" s="14">
        <v>23158</v>
      </c>
      <c r="B592" s="18" t="s">
        <v>36</v>
      </c>
      <c r="C592" s="18" t="s">
        <v>38</v>
      </c>
      <c r="D592" s="6">
        <v>60000</v>
      </c>
      <c r="E592" s="18" t="str" cm="1">
        <f t="array" ref="E592">_xlfn.IFS(Cleaned_Working_Sheet!$D592&lt;=50000,"Low Income",Cleaned_Working_Sheet!$D592&lt;100000,"Middle Income",TRUE,"High Income")</f>
        <v>Middle Income</v>
      </c>
      <c r="F592" s="16">
        <v>1</v>
      </c>
      <c r="G592" s="18" t="s">
        <v>31</v>
      </c>
      <c r="H592" s="18" t="s">
        <v>21</v>
      </c>
      <c r="I592" s="18" t="s">
        <v>18</v>
      </c>
      <c r="J592" s="16">
        <v>0</v>
      </c>
      <c r="K592" s="18" t="s">
        <v>16</v>
      </c>
      <c r="L592" s="18" t="s">
        <v>32</v>
      </c>
      <c r="M592" s="14">
        <v>35</v>
      </c>
      <c r="N592" s="18" t="str" cm="1">
        <f t="array" ref="N592">_xlfn.IFS(Cleaned_Working_Sheet!$M592&lt;=34,"Young",Cleaned_Working_Sheet!$M592&lt;=54,"Middle-aged",Cleaned_Working_Sheet!$M592&gt;54,"Old")</f>
        <v>Middle-aged</v>
      </c>
      <c r="O592" s="18" t="s">
        <v>15</v>
      </c>
    </row>
    <row r="593" spans="1:15" x14ac:dyDescent="0.25">
      <c r="A593" s="14">
        <v>18545</v>
      </c>
      <c r="B593" s="18" t="s">
        <v>36</v>
      </c>
      <c r="C593" s="18" t="s">
        <v>39</v>
      </c>
      <c r="D593" s="6">
        <v>40000</v>
      </c>
      <c r="E593" s="18" t="str" cm="1">
        <f t="array" ref="E593">_xlfn.IFS(Cleaned_Working_Sheet!$D593&lt;=50000,"Low Income",Cleaned_Working_Sheet!$D593&lt;100000,"Middle Income",TRUE,"High Income")</f>
        <v>Low Income</v>
      </c>
      <c r="F593" s="16">
        <v>4</v>
      </c>
      <c r="G593" s="18" t="s">
        <v>27</v>
      </c>
      <c r="H593" s="18" t="s">
        <v>21</v>
      </c>
      <c r="I593" s="18" t="s">
        <v>18</v>
      </c>
      <c r="J593" s="16">
        <v>2</v>
      </c>
      <c r="K593" s="18" t="s">
        <v>43</v>
      </c>
      <c r="L593" s="18" t="s">
        <v>32</v>
      </c>
      <c r="M593" s="14">
        <v>61</v>
      </c>
      <c r="N593" s="18" t="str" cm="1">
        <f t="array" ref="N593">_xlfn.IFS(Cleaned_Working_Sheet!$M593&lt;=34,"Young",Cleaned_Working_Sheet!$M593&lt;=54,"Middle-aged",Cleaned_Working_Sheet!$M593&gt;54,"Old")</f>
        <v>Old</v>
      </c>
      <c r="O593" s="18" t="s">
        <v>15</v>
      </c>
    </row>
    <row r="594" spans="1:15" x14ac:dyDescent="0.25">
      <c r="A594" s="14">
        <v>18391</v>
      </c>
      <c r="B594" s="18" t="s">
        <v>37</v>
      </c>
      <c r="C594" s="18" t="s">
        <v>38</v>
      </c>
      <c r="D594" s="6">
        <v>80000</v>
      </c>
      <c r="E594" s="18" t="str" cm="1">
        <f t="array" ref="E594">_xlfn.IFS(Cleaned_Working_Sheet!$D594&lt;=50000,"Low Income",Cleaned_Working_Sheet!$D594&lt;100000,"Middle Income",TRUE,"High Income")</f>
        <v>Middle Income</v>
      </c>
      <c r="F594" s="16">
        <v>5</v>
      </c>
      <c r="G594" s="18" t="s">
        <v>19</v>
      </c>
      <c r="H594" s="18" t="s">
        <v>21</v>
      </c>
      <c r="I594" s="18" t="s">
        <v>15</v>
      </c>
      <c r="J594" s="16">
        <v>2</v>
      </c>
      <c r="K594" s="18" t="s">
        <v>23</v>
      </c>
      <c r="L594" s="18" t="s">
        <v>32</v>
      </c>
      <c r="M594" s="14">
        <v>44</v>
      </c>
      <c r="N594" s="18" t="str" cm="1">
        <f t="array" ref="N594">_xlfn.IFS(Cleaned_Working_Sheet!$M594&lt;=34,"Young",Cleaned_Working_Sheet!$M594&lt;=54,"Middle-aged",Cleaned_Working_Sheet!$M594&gt;54,"Old")</f>
        <v>Middle-aged</v>
      </c>
      <c r="O594" s="18" t="s">
        <v>18</v>
      </c>
    </row>
    <row r="595" spans="1:15" x14ac:dyDescent="0.25">
      <c r="A595" s="14">
        <v>19812</v>
      </c>
      <c r="B595" s="18" t="s">
        <v>37</v>
      </c>
      <c r="C595" s="18" t="s">
        <v>38</v>
      </c>
      <c r="D595" s="6">
        <v>70000</v>
      </c>
      <c r="E595" s="18" t="str" cm="1">
        <f t="array" ref="E595">_xlfn.IFS(Cleaned_Working_Sheet!$D595&lt;=50000,"Low Income",Cleaned_Working_Sheet!$D595&lt;100000,"Middle Income",TRUE,"High Income")</f>
        <v>Middle Income</v>
      </c>
      <c r="F595" s="16">
        <v>2</v>
      </c>
      <c r="G595" s="18" t="s">
        <v>19</v>
      </c>
      <c r="H595" s="18" t="s">
        <v>21</v>
      </c>
      <c r="I595" s="18" t="s">
        <v>15</v>
      </c>
      <c r="J595" s="16">
        <v>0</v>
      </c>
      <c r="K595" s="18" t="s">
        <v>23</v>
      </c>
      <c r="L595" s="18" t="s">
        <v>32</v>
      </c>
      <c r="M595" s="14">
        <v>49</v>
      </c>
      <c r="N595" s="18" t="str" cm="1">
        <f t="array" ref="N595">_xlfn.IFS(Cleaned_Working_Sheet!$M595&lt;=34,"Young",Cleaned_Working_Sheet!$M595&lt;=54,"Middle-aged",Cleaned_Working_Sheet!$M595&gt;54,"Old")</f>
        <v>Middle-aged</v>
      </c>
      <c r="O595" s="18" t="s">
        <v>15</v>
      </c>
    </row>
    <row r="596" spans="1:15" x14ac:dyDescent="0.25">
      <c r="A596" s="14">
        <v>27660</v>
      </c>
      <c r="B596" s="18" t="s">
        <v>36</v>
      </c>
      <c r="C596" s="18" t="s">
        <v>39</v>
      </c>
      <c r="D596" s="6">
        <v>80000</v>
      </c>
      <c r="E596" s="18" t="str" cm="1">
        <f t="array" ref="E596">_xlfn.IFS(Cleaned_Working_Sheet!$D596&lt;=50000,"Low Income",Cleaned_Working_Sheet!$D596&lt;100000,"Middle Income",TRUE,"High Income")</f>
        <v>Middle Income</v>
      </c>
      <c r="F596" s="16">
        <v>4</v>
      </c>
      <c r="G596" s="18" t="s">
        <v>31</v>
      </c>
      <c r="H596" s="18" t="s">
        <v>28</v>
      </c>
      <c r="I596" s="18" t="s">
        <v>15</v>
      </c>
      <c r="J596" s="16">
        <v>2</v>
      </c>
      <c r="K596" s="18" t="s">
        <v>23</v>
      </c>
      <c r="L596" s="18" t="s">
        <v>32</v>
      </c>
      <c r="M596" s="14">
        <v>70</v>
      </c>
      <c r="N596" s="18" t="str" cm="1">
        <f t="array" ref="N596">_xlfn.IFS(Cleaned_Working_Sheet!$M596&lt;=34,"Young",Cleaned_Working_Sheet!$M596&lt;=54,"Middle-aged",Cleaned_Working_Sheet!$M596&gt;54,"Old")</f>
        <v>Old</v>
      </c>
      <c r="O596" s="18" t="s">
        <v>18</v>
      </c>
    </row>
    <row r="597" spans="1:15" x14ac:dyDescent="0.25">
      <c r="A597" s="14">
        <v>18058</v>
      </c>
      <c r="B597" s="18" t="s">
        <v>37</v>
      </c>
      <c r="C597" s="18" t="s">
        <v>38</v>
      </c>
      <c r="D597" s="6">
        <v>20000</v>
      </c>
      <c r="E597" s="18" t="str" cm="1">
        <f t="array" ref="E597">_xlfn.IFS(Cleaned_Working_Sheet!$D597&lt;=50000,"Low Income",Cleaned_Working_Sheet!$D597&lt;100000,"Middle Income",TRUE,"High Income")</f>
        <v>Low Income</v>
      </c>
      <c r="F597" s="16">
        <v>3</v>
      </c>
      <c r="G597" s="18" t="s">
        <v>27</v>
      </c>
      <c r="H597" s="18" t="s">
        <v>14</v>
      </c>
      <c r="I597" s="18" t="s">
        <v>15</v>
      </c>
      <c r="J597" s="16">
        <v>2</v>
      </c>
      <c r="K597" s="18" t="s">
        <v>22</v>
      </c>
      <c r="L597" s="18" t="s">
        <v>32</v>
      </c>
      <c r="M597" s="14">
        <v>78</v>
      </c>
      <c r="N597" s="18" t="str" cm="1">
        <f t="array" ref="N597">_xlfn.IFS(Cleaned_Working_Sheet!$M597&lt;=34,"Young",Cleaned_Working_Sheet!$M597&lt;=54,"Middle-aged",Cleaned_Working_Sheet!$M597&gt;54,"Old")</f>
        <v>Old</v>
      </c>
      <c r="O597" s="18" t="s">
        <v>18</v>
      </c>
    </row>
    <row r="598" spans="1:15" x14ac:dyDescent="0.25">
      <c r="A598" s="14">
        <v>20343</v>
      </c>
      <c r="B598" s="18" t="s">
        <v>36</v>
      </c>
      <c r="C598" s="18" t="s">
        <v>38</v>
      </c>
      <c r="D598" s="6">
        <v>90000</v>
      </c>
      <c r="E598" s="18" t="str" cm="1">
        <f t="array" ref="E598">_xlfn.IFS(Cleaned_Working_Sheet!$D598&lt;=50000,"Low Income",Cleaned_Working_Sheet!$D598&lt;100000,"Middle Income",TRUE,"High Income")</f>
        <v>Middle Income</v>
      </c>
      <c r="F598" s="16">
        <v>4</v>
      </c>
      <c r="G598" s="18" t="s">
        <v>19</v>
      </c>
      <c r="H598" s="18" t="s">
        <v>21</v>
      </c>
      <c r="I598" s="18" t="s">
        <v>15</v>
      </c>
      <c r="J598" s="16">
        <v>1</v>
      </c>
      <c r="K598" s="18" t="s">
        <v>26</v>
      </c>
      <c r="L598" s="18" t="s">
        <v>32</v>
      </c>
      <c r="M598" s="14">
        <v>45</v>
      </c>
      <c r="N598" s="18" t="str" cm="1">
        <f t="array" ref="N598">_xlfn.IFS(Cleaned_Working_Sheet!$M598&lt;=34,"Young",Cleaned_Working_Sheet!$M598&lt;=54,"Middle-aged",Cleaned_Working_Sheet!$M598&gt;54,"Old")</f>
        <v>Middle-aged</v>
      </c>
      <c r="O598" s="18" t="s">
        <v>18</v>
      </c>
    </row>
    <row r="599" spans="1:15" x14ac:dyDescent="0.25">
      <c r="A599" s="14">
        <v>28997</v>
      </c>
      <c r="B599" s="18" t="s">
        <v>37</v>
      </c>
      <c r="C599" s="18" t="s">
        <v>39</v>
      </c>
      <c r="D599" s="6">
        <v>40000</v>
      </c>
      <c r="E599" s="18" t="str" cm="1">
        <f t="array" ref="E599">_xlfn.IFS(Cleaned_Working_Sheet!$D599&lt;=50000,"Low Income",Cleaned_Working_Sheet!$D599&lt;100000,"Middle Income",TRUE,"High Income")</f>
        <v>Low Income</v>
      </c>
      <c r="F599" s="16">
        <v>2</v>
      </c>
      <c r="G599" s="18" t="s">
        <v>27</v>
      </c>
      <c r="H599" s="18" t="s">
        <v>21</v>
      </c>
      <c r="I599" s="18" t="s">
        <v>18</v>
      </c>
      <c r="J599" s="16">
        <v>1</v>
      </c>
      <c r="K599" s="18" t="s">
        <v>22</v>
      </c>
      <c r="L599" s="18" t="s">
        <v>32</v>
      </c>
      <c r="M599" s="14">
        <v>58</v>
      </c>
      <c r="N599" s="18" t="str" cm="1">
        <f t="array" ref="N599">_xlfn.IFS(Cleaned_Working_Sheet!$M599&lt;=34,"Young",Cleaned_Working_Sheet!$M599&lt;=54,"Middle-aged",Cleaned_Working_Sheet!$M599&gt;54,"Old")</f>
        <v>Old</v>
      </c>
      <c r="O599" s="18" t="s">
        <v>15</v>
      </c>
    </row>
    <row r="600" spans="1:15" x14ac:dyDescent="0.25">
      <c r="A600" s="14">
        <v>24398</v>
      </c>
      <c r="B600" s="18" t="s">
        <v>36</v>
      </c>
      <c r="C600" s="18" t="s">
        <v>39</v>
      </c>
      <c r="D600" s="6">
        <v>130000</v>
      </c>
      <c r="E600" s="18" t="str" cm="1">
        <f t="array" ref="E600">_xlfn.IFS(Cleaned_Working_Sheet!$D600&lt;=50000,"Low Income",Cleaned_Working_Sheet!$D600&lt;100000,"Middle Income",TRUE,"High Income")</f>
        <v>High Income</v>
      </c>
      <c r="F600" s="16">
        <v>1</v>
      </c>
      <c r="G600" s="18" t="s">
        <v>31</v>
      </c>
      <c r="H600" s="18" t="s">
        <v>28</v>
      </c>
      <c r="I600" s="18" t="s">
        <v>15</v>
      </c>
      <c r="J600" s="16">
        <v>4</v>
      </c>
      <c r="K600" s="18" t="s">
        <v>16</v>
      </c>
      <c r="L600" s="18" t="s">
        <v>32</v>
      </c>
      <c r="M600" s="14">
        <v>41</v>
      </c>
      <c r="N600" s="18" t="str" cm="1">
        <f t="array" ref="N600">_xlfn.IFS(Cleaned_Working_Sheet!$M600&lt;=34,"Young",Cleaned_Working_Sheet!$M600&lt;=54,"Middle-aged",Cleaned_Working_Sheet!$M600&gt;54,"Old")</f>
        <v>Middle-aged</v>
      </c>
      <c r="O600" s="18" t="s">
        <v>18</v>
      </c>
    </row>
    <row r="601" spans="1:15" x14ac:dyDescent="0.25">
      <c r="A601" s="14">
        <v>19002</v>
      </c>
      <c r="B601" s="18" t="s">
        <v>36</v>
      </c>
      <c r="C601" s="18" t="s">
        <v>38</v>
      </c>
      <c r="D601" s="6">
        <v>60000</v>
      </c>
      <c r="E601" s="18" t="str" cm="1">
        <f t="array" ref="E601">_xlfn.IFS(Cleaned_Working_Sheet!$D601&lt;=50000,"Low Income",Cleaned_Working_Sheet!$D601&lt;100000,"Middle Income",TRUE,"High Income")</f>
        <v>Middle Income</v>
      </c>
      <c r="F601" s="16">
        <v>2</v>
      </c>
      <c r="G601" s="18" t="s">
        <v>19</v>
      </c>
      <c r="H601" s="18" t="s">
        <v>21</v>
      </c>
      <c r="I601" s="18" t="s">
        <v>15</v>
      </c>
      <c r="J601" s="16">
        <v>1</v>
      </c>
      <c r="K601" s="18" t="s">
        <v>22</v>
      </c>
      <c r="L601" s="18" t="s">
        <v>32</v>
      </c>
      <c r="M601" s="14">
        <v>57</v>
      </c>
      <c r="N601" s="18" t="str" cm="1">
        <f t="array" ref="N601">_xlfn.IFS(Cleaned_Working_Sheet!$M601&lt;=34,"Young",Cleaned_Working_Sheet!$M601&lt;=54,"Middle-aged",Cleaned_Working_Sheet!$M601&gt;54,"Old")</f>
        <v>Old</v>
      </c>
      <c r="O601" s="18" t="s">
        <v>15</v>
      </c>
    </row>
    <row r="602" spans="1:15" x14ac:dyDescent="0.25">
      <c r="A602" s="14">
        <v>28609</v>
      </c>
      <c r="B602" s="18" t="s">
        <v>36</v>
      </c>
      <c r="C602" s="18" t="s">
        <v>39</v>
      </c>
      <c r="D602" s="6">
        <v>30000</v>
      </c>
      <c r="E602" s="18" t="str" cm="1">
        <f t="array" ref="E602">_xlfn.IFS(Cleaned_Working_Sheet!$D602&lt;=50000,"Low Income",Cleaned_Working_Sheet!$D602&lt;100000,"Middle Income",TRUE,"High Income")</f>
        <v>Low Income</v>
      </c>
      <c r="F602" s="16">
        <v>2</v>
      </c>
      <c r="G602" s="18" t="s">
        <v>27</v>
      </c>
      <c r="H602" s="18" t="s">
        <v>14</v>
      </c>
      <c r="I602" s="18" t="s">
        <v>18</v>
      </c>
      <c r="J602" s="16">
        <v>2</v>
      </c>
      <c r="K602" s="18" t="s">
        <v>16</v>
      </c>
      <c r="L602" s="18" t="s">
        <v>32</v>
      </c>
      <c r="M602" s="14">
        <v>49</v>
      </c>
      <c r="N602" s="18" t="str" cm="1">
        <f t="array" ref="N602">_xlfn.IFS(Cleaned_Working_Sheet!$M602&lt;=34,"Young",Cleaned_Working_Sheet!$M602&lt;=54,"Middle-aged",Cleaned_Working_Sheet!$M602&gt;54,"Old")</f>
        <v>Middle-aged</v>
      </c>
      <c r="O602" s="18" t="s">
        <v>18</v>
      </c>
    </row>
    <row r="603" spans="1:15" x14ac:dyDescent="0.25">
      <c r="A603" s="14">
        <v>29231</v>
      </c>
      <c r="B603" s="18" t="s">
        <v>37</v>
      </c>
      <c r="C603" s="18" t="s">
        <v>39</v>
      </c>
      <c r="D603" s="6">
        <v>80000</v>
      </c>
      <c r="E603" s="18" t="str" cm="1">
        <f t="array" ref="E603">_xlfn.IFS(Cleaned_Working_Sheet!$D603&lt;=50000,"Low Income",Cleaned_Working_Sheet!$D603&lt;100000,"Middle Income",TRUE,"High Income")</f>
        <v>Middle Income</v>
      </c>
      <c r="F603" s="16">
        <v>4</v>
      </c>
      <c r="G603" s="18" t="s">
        <v>19</v>
      </c>
      <c r="H603" s="18" t="s">
        <v>21</v>
      </c>
      <c r="I603" s="18" t="s">
        <v>18</v>
      </c>
      <c r="J603" s="16">
        <v>2</v>
      </c>
      <c r="K603" s="18" t="s">
        <v>16</v>
      </c>
      <c r="L603" s="18" t="s">
        <v>32</v>
      </c>
      <c r="M603" s="14">
        <v>43</v>
      </c>
      <c r="N603" s="18" t="str" cm="1">
        <f t="array" ref="N603">_xlfn.IFS(Cleaned_Working_Sheet!$M603&lt;=34,"Young",Cleaned_Working_Sheet!$M603&lt;=54,"Middle-aged",Cleaned_Working_Sheet!$M603&gt;54,"Old")</f>
        <v>Middle-aged</v>
      </c>
      <c r="O603" s="18" t="s">
        <v>18</v>
      </c>
    </row>
    <row r="604" spans="1:15" x14ac:dyDescent="0.25">
      <c r="A604" s="14">
        <v>18858</v>
      </c>
      <c r="B604" s="18" t="s">
        <v>37</v>
      </c>
      <c r="C604" s="18" t="s">
        <v>39</v>
      </c>
      <c r="D604" s="6">
        <v>60000</v>
      </c>
      <c r="E604" s="18" t="str" cm="1">
        <f t="array" ref="E604">_xlfn.IFS(Cleaned_Working_Sheet!$D604&lt;=50000,"Low Income",Cleaned_Working_Sheet!$D604&lt;100000,"Middle Income",TRUE,"High Income")</f>
        <v>Middle Income</v>
      </c>
      <c r="F604" s="16">
        <v>2</v>
      </c>
      <c r="G604" s="18" t="s">
        <v>29</v>
      </c>
      <c r="H604" s="18" t="s">
        <v>14</v>
      </c>
      <c r="I604" s="18" t="s">
        <v>15</v>
      </c>
      <c r="J604" s="16">
        <v>2</v>
      </c>
      <c r="K604" s="18" t="s">
        <v>23</v>
      </c>
      <c r="L604" s="18" t="s">
        <v>32</v>
      </c>
      <c r="M604" s="14">
        <v>52</v>
      </c>
      <c r="N604" s="18" t="str" cm="1">
        <f t="array" ref="N604">_xlfn.IFS(Cleaned_Working_Sheet!$M604&lt;=34,"Young",Cleaned_Working_Sheet!$M604&lt;=54,"Middle-aged",Cleaned_Working_Sheet!$M604&gt;54,"Old")</f>
        <v>Middle-aged</v>
      </c>
      <c r="O604" s="18" t="s">
        <v>15</v>
      </c>
    </row>
    <row r="605" spans="1:15" x14ac:dyDescent="0.25">
      <c r="A605" s="14">
        <v>20000</v>
      </c>
      <c r="B605" s="18" t="s">
        <v>36</v>
      </c>
      <c r="C605" s="18" t="s">
        <v>39</v>
      </c>
      <c r="D605" s="6">
        <v>60000</v>
      </c>
      <c r="E605" s="18" t="str" cm="1">
        <f t="array" ref="E605">_xlfn.IFS(Cleaned_Working_Sheet!$D605&lt;=50000,"Low Income",Cleaned_Working_Sheet!$D605&lt;100000,"Middle Income",TRUE,"High Income")</f>
        <v>Middle Income</v>
      </c>
      <c r="F605" s="16">
        <v>1</v>
      </c>
      <c r="G605" s="18" t="s">
        <v>31</v>
      </c>
      <c r="H605" s="18" t="s">
        <v>21</v>
      </c>
      <c r="I605" s="18" t="s">
        <v>15</v>
      </c>
      <c r="J605" s="16">
        <v>0</v>
      </c>
      <c r="K605" s="18" t="s">
        <v>16</v>
      </c>
      <c r="L605" s="18" t="s">
        <v>32</v>
      </c>
      <c r="M605" s="14">
        <v>35</v>
      </c>
      <c r="N605" s="18" t="str" cm="1">
        <f t="array" ref="N605">_xlfn.IFS(Cleaned_Working_Sheet!$M605&lt;=34,"Young",Cleaned_Working_Sheet!$M605&lt;=54,"Middle-aged",Cleaned_Working_Sheet!$M605&gt;54,"Old")</f>
        <v>Middle-aged</v>
      </c>
      <c r="O605" s="18" t="s">
        <v>15</v>
      </c>
    </row>
    <row r="606" spans="1:15" x14ac:dyDescent="0.25">
      <c r="A606" s="14">
        <v>25261</v>
      </c>
      <c r="B606" s="18" t="s">
        <v>36</v>
      </c>
      <c r="C606" s="18" t="s">
        <v>39</v>
      </c>
      <c r="D606" s="6">
        <v>40000</v>
      </c>
      <c r="E606" s="18" t="str" cm="1">
        <f t="array" ref="E606">_xlfn.IFS(Cleaned_Working_Sheet!$D606&lt;=50000,"Low Income",Cleaned_Working_Sheet!$D606&lt;100000,"Middle Income",TRUE,"High Income")</f>
        <v>Low Income</v>
      </c>
      <c r="F606" s="16">
        <v>0</v>
      </c>
      <c r="G606" s="18" t="s">
        <v>27</v>
      </c>
      <c r="H606" s="18" t="s">
        <v>14</v>
      </c>
      <c r="I606" s="18" t="s">
        <v>15</v>
      </c>
      <c r="J606" s="16">
        <v>2</v>
      </c>
      <c r="K606" s="18" t="s">
        <v>23</v>
      </c>
      <c r="L606" s="18" t="s">
        <v>32</v>
      </c>
      <c r="M606" s="14">
        <v>27</v>
      </c>
      <c r="N606" s="18" t="str" cm="1">
        <f t="array" ref="N606">_xlfn.IFS(Cleaned_Working_Sheet!$M606&lt;=34,"Young",Cleaned_Working_Sheet!$M606&lt;=54,"Middle-aged",Cleaned_Working_Sheet!$M606&gt;54,"Old")</f>
        <v>Young</v>
      </c>
      <c r="O606" s="18" t="s">
        <v>18</v>
      </c>
    </row>
    <row r="607" spans="1:15" x14ac:dyDescent="0.25">
      <c r="A607" s="14">
        <v>17458</v>
      </c>
      <c r="B607" s="18" t="s">
        <v>37</v>
      </c>
      <c r="C607" s="18" t="s">
        <v>39</v>
      </c>
      <c r="D607" s="6">
        <v>70000</v>
      </c>
      <c r="E607" s="18" t="str" cm="1">
        <f t="array" ref="E607">_xlfn.IFS(Cleaned_Working_Sheet!$D607&lt;=50000,"Low Income",Cleaned_Working_Sheet!$D607&lt;100000,"Middle Income",TRUE,"High Income")</f>
        <v>Middle Income</v>
      </c>
      <c r="F607" s="16">
        <v>3</v>
      </c>
      <c r="G607" s="18" t="s">
        <v>27</v>
      </c>
      <c r="H607" s="18" t="s">
        <v>21</v>
      </c>
      <c r="I607" s="18" t="s">
        <v>15</v>
      </c>
      <c r="J607" s="16">
        <v>0</v>
      </c>
      <c r="K607" s="18" t="s">
        <v>23</v>
      </c>
      <c r="L607" s="18" t="s">
        <v>32</v>
      </c>
      <c r="M607" s="14">
        <v>52</v>
      </c>
      <c r="N607" s="18" t="str" cm="1">
        <f t="array" ref="N607">_xlfn.IFS(Cleaned_Working_Sheet!$M607&lt;=34,"Young",Cleaned_Working_Sheet!$M607&lt;=54,"Middle-aged",Cleaned_Working_Sheet!$M607&gt;54,"Old")</f>
        <v>Middle-aged</v>
      </c>
      <c r="O607" s="18" t="s">
        <v>15</v>
      </c>
    </row>
    <row r="608" spans="1:15" x14ac:dyDescent="0.25">
      <c r="A608" s="14">
        <v>11644</v>
      </c>
      <c r="B608" s="18" t="s">
        <v>37</v>
      </c>
      <c r="C608" s="18" t="s">
        <v>39</v>
      </c>
      <c r="D608" s="6">
        <v>40000</v>
      </c>
      <c r="E608" s="18" t="str" cm="1">
        <f t="array" ref="E608">_xlfn.IFS(Cleaned_Working_Sheet!$D608&lt;=50000,"Low Income",Cleaned_Working_Sheet!$D608&lt;100000,"Middle Income",TRUE,"High Income")</f>
        <v>Low Income</v>
      </c>
      <c r="F608" s="16">
        <v>2</v>
      </c>
      <c r="G608" s="18" t="s">
        <v>13</v>
      </c>
      <c r="H608" s="18" t="s">
        <v>14</v>
      </c>
      <c r="I608" s="18" t="s">
        <v>15</v>
      </c>
      <c r="J608" s="16">
        <v>0</v>
      </c>
      <c r="K608" s="18" t="s">
        <v>22</v>
      </c>
      <c r="L608" s="18" t="s">
        <v>32</v>
      </c>
      <c r="M608" s="14">
        <v>36</v>
      </c>
      <c r="N608" s="18" t="str" cm="1">
        <f t="array" ref="N608">_xlfn.IFS(Cleaned_Working_Sheet!$M608&lt;=34,"Young",Cleaned_Working_Sheet!$M608&lt;=54,"Middle-aged",Cleaned_Working_Sheet!$M608&gt;54,"Old")</f>
        <v>Middle-aged</v>
      </c>
      <c r="O608" s="18" t="s">
        <v>18</v>
      </c>
    </row>
    <row r="609" spans="1:15" x14ac:dyDescent="0.25">
      <c r="A609" s="14">
        <v>16145</v>
      </c>
      <c r="B609" s="18" t="s">
        <v>37</v>
      </c>
      <c r="C609" s="18" t="s">
        <v>38</v>
      </c>
      <c r="D609" s="6">
        <v>70000</v>
      </c>
      <c r="E609" s="18" t="str" cm="1">
        <f t="array" ref="E609">_xlfn.IFS(Cleaned_Working_Sheet!$D609&lt;=50000,"Low Income",Cleaned_Working_Sheet!$D609&lt;100000,"Middle Income",TRUE,"High Income")</f>
        <v>Middle Income</v>
      </c>
      <c r="F609" s="16">
        <v>5</v>
      </c>
      <c r="G609" s="18" t="s">
        <v>31</v>
      </c>
      <c r="H609" s="18" t="s">
        <v>21</v>
      </c>
      <c r="I609" s="18" t="s">
        <v>15</v>
      </c>
      <c r="J609" s="16">
        <v>3</v>
      </c>
      <c r="K609" s="18" t="s">
        <v>43</v>
      </c>
      <c r="L609" s="18" t="s">
        <v>32</v>
      </c>
      <c r="M609" s="14">
        <v>46</v>
      </c>
      <c r="N609" s="18" t="str" cm="1">
        <f t="array" ref="N609">_xlfn.IFS(Cleaned_Working_Sheet!$M609&lt;=34,"Young",Cleaned_Working_Sheet!$M609&lt;=54,"Middle-aged",Cleaned_Working_Sheet!$M609&gt;54,"Old")</f>
        <v>Middle-aged</v>
      </c>
      <c r="O609" s="18" t="s">
        <v>15</v>
      </c>
    </row>
    <row r="610" spans="1:15" x14ac:dyDescent="0.25">
      <c r="A610" s="14">
        <v>16890</v>
      </c>
      <c r="B610" s="18" t="s">
        <v>36</v>
      </c>
      <c r="C610" s="18" t="s">
        <v>39</v>
      </c>
      <c r="D610" s="6">
        <v>60000</v>
      </c>
      <c r="E610" s="18" t="str" cm="1">
        <f t="array" ref="E610">_xlfn.IFS(Cleaned_Working_Sheet!$D610&lt;=50000,"Low Income",Cleaned_Working_Sheet!$D610&lt;100000,"Middle Income",TRUE,"High Income")</f>
        <v>Middle Income</v>
      </c>
      <c r="F610" s="16">
        <v>3</v>
      </c>
      <c r="G610" s="18" t="s">
        <v>29</v>
      </c>
      <c r="H610" s="18" t="s">
        <v>14</v>
      </c>
      <c r="I610" s="18" t="s">
        <v>15</v>
      </c>
      <c r="J610" s="16">
        <v>2</v>
      </c>
      <c r="K610" s="18" t="s">
        <v>23</v>
      </c>
      <c r="L610" s="18" t="s">
        <v>32</v>
      </c>
      <c r="M610" s="14">
        <v>52</v>
      </c>
      <c r="N610" s="18" t="str" cm="1">
        <f t="array" ref="N610">_xlfn.IFS(Cleaned_Working_Sheet!$M610&lt;=34,"Young",Cleaned_Working_Sheet!$M610&lt;=54,"Middle-aged",Cleaned_Working_Sheet!$M610&gt;54,"Old")</f>
        <v>Middle-aged</v>
      </c>
      <c r="O610" s="18" t="s">
        <v>15</v>
      </c>
    </row>
    <row r="611" spans="1:15" x14ac:dyDescent="0.25">
      <c r="A611" s="14">
        <v>25983</v>
      </c>
      <c r="B611" s="18" t="s">
        <v>36</v>
      </c>
      <c r="C611" s="18" t="s">
        <v>39</v>
      </c>
      <c r="D611" s="6">
        <v>70000</v>
      </c>
      <c r="E611" s="18" t="str" cm="1">
        <f t="array" ref="E611">_xlfn.IFS(Cleaned_Working_Sheet!$D611&lt;=50000,"Low Income",Cleaned_Working_Sheet!$D611&lt;100000,"Middle Income",TRUE,"High Income")</f>
        <v>Middle Income</v>
      </c>
      <c r="F611" s="16">
        <v>0</v>
      </c>
      <c r="G611" s="18" t="s">
        <v>13</v>
      </c>
      <c r="H611" s="18" t="s">
        <v>21</v>
      </c>
      <c r="I611" s="18" t="s">
        <v>18</v>
      </c>
      <c r="J611" s="16">
        <v>1</v>
      </c>
      <c r="K611" s="18" t="s">
        <v>16</v>
      </c>
      <c r="L611" s="18" t="s">
        <v>32</v>
      </c>
      <c r="M611" s="14">
        <v>43</v>
      </c>
      <c r="N611" s="18" t="str" cm="1">
        <f t="array" ref="N611">_xlfn.IFS(Cleaned_Working_Sheet!$M611&lt;=34,"Young",Cleaned_Working_Sheet!$M611&lt;=54,"Middle-aged",Cleaned_Working_Sheet!$M611&gt;54,"Old")</f>
        <v>Middle-aged</v>
      </c>
      <c r="O611" s="18" t="s">
        <v>18</v>
      </c>
    </row>
    <row r="612" spans="1:15" x14ac:dyDescent="0.25">
      <c r="A612" s="14">
        <v>14633</v>
      </c>
      <c r="B612" s="18" t="s">
        <v>36</v>
      </c>
      <c r="C612" s="18" t="s">
        <v>39</v>
      </c>
      <c r="D612" s="6">
        <v>60000</v>
      </c>
      <c r="E612" s="18" t="str" cm="1">
        <f t="array" ref="E612">_xlfn.IFS(Cleaned_Working_Sheet!$D612&lt;=50000,"Low Income",Cleaned_Working_Sheet!$D612&lt;100000,"Middle Income",TRUE,"High Income")</f>
        <v>Middle Income</v>
      </c>
      <c r="F612" s="16">
        <v>1</v>
      </c>
      <c r="G612" s="18" t="s">
        <v>19</v>
      </c>
      <c r="H612" s="18" t="s">
        <v>14</v>
      </c>
      <c r="I612" s="18" t="s">
        <v>15</v>
      </c>
      <c r="J612" s="16">
        <v>1</v>
      </c>
      <c r="K612" s="18" t="s">
        <v>22</v>
      </c>
      <c r="L612" s="18" t="s">
        <v>32</v>
      </c>
      <c r="M612" s="14">
        <v>44</v>
      </c>
      <c r="N612" s="18" t="str" cm="1">
        <f t="array" ref="N612">_xlfn.IFS(Cleaned_Working_Sheet!$M612&lt;=34,"Young",Cleaned_Working_Sheet!$M612&lt;=54,"Middle-aged",Cleaned_Working_Sheet!$M612&gt;54,"Old")</f>
        <v>Middle-aged</v>
      </c>
      <c r="O612" s="18" t="s">
        <v>18</v>
      </c>
    </row>
    <row r="613" spans="1:15" x14ac:dyDescent="0.25">
      <c r="A613" s="14">
        <v>22994</v>
      </c>
      <c r="B613" s="18" t="s">
        <v>36</v>
      </c>
      <c r="C613" s="18" t="s">
        <v>38</v>
      </c>
      <c r="D613" s="6">
        <v>80000</v>
      </c>
      <c r="E613" s="18" t="str" cm="1">
        <f t="array" ref="E613">_xlfn.IFS(Cleaned_Working_Sheet!$D613&lt;=50000,"Low Income",Cleaned_Working_Sheet!$D613&lt;100000,"Middle Income",TRUE,"High Income")</f>
        <v>Middle Income</v>
      </c>
      <c r="F613" s="16">
        <v>0</v>
      </c>
      <c r="G613" s="18" t="s">
        <v>13</v>
      </c>
      <c r="H613" s="18" t="s">
        <v>28</v>
      </c>
      <c r="I613" s="18" t="s">
        <v>15</v>
      </c>
      <c r="J613" s="16">
        <v>1</v>
      </c>
      <c r="K613" s="18" t="s">
        <v>26</v>
      </c>
      <c r="L613" s="18" t="s">
        <v>32</v>
      </c>
      <c r="M613" s="14">
        <v>34</v>
      </c>
      <c r="N613" s="18" t="str" cm="1">
        <f t="array" ref="N613">_xlfn.IFS(Cleaned_Working_Sheet!$M613&lt;=34,"Young",Cleaned_Working_Sheet!$M613&lt;=54,"Middle-aged",Cleaned_Working_Sheet!$M613&gt;54,"Old")</f>
        <v>Young</v>
      </c>
      <c r="O613" s="18" t="s">
        <v>15</v>
      </c>
    </row>
    <row r="614" spans="1:15" x14ac:dyDescent="0.25">
      <c r="A614" s="14">
        <v>22983</v>
      </c>
      <c r="B614" s="18" t="s">
        <v>37</v>
      </c>
      <c r="C614" s="18" t="s">
        <v>38</v>
      </c>
      <c r="D614" s="6">
        <v>30000</v>
      </c>
      <c r="E614" s="18" t="str" cm="1">
        <f t="array" ref="E614">_xlfn.IFS(Cleaned_Working_Sheet!$D614&lt;=50000,"Low Income",Cleaned_Working_Sheet!$D614&lt;100000,"Middle Income",TRUE,"High Income")</f>
        <v>Low Income</v>
      </c>
      <c r="F614" s="16">
        <v>0</v>
      </c>
      <c r="G614" s="18" t="s">
        <v>29</v>
      </c>
      <c r="H614" s="18" t="s">
        <v>20</v>
      </c>
      <c r="I614" s="18" t="s">
        <v>15</v>
      </c>
      <c r="J614" s="16">
        <v>2</v>
      </c>
      <c r="K614" s="18" t="s">
        <v>23</v>
      </c>
      <c r="L614" s="18" t="s">
        <v>32</v>
      </c>
      <c r="M614" s="14">
        <v>27</v>
      </c>
      <c r="N614" s="18" t="str" cm="1">
        <f t="array" ref="N614">_xlfn.IFS(Cleaned_Working_Sheet!$M614&lt;=34,"Young",Cleaned_Working_Sheet!$M614&lt;=54,"Middle-aged",Cleaned_Working_Sheet!$M614&gt;54,"Old")</f>
        <v>Young</v>
      </c>
      <c r="O614" s="18" t="s">
        <v>18</v>
      </c>
    </row>
    <row r="615" spans="1:15" x14ac:dyDescent="0.25">
      <c r="A615" s="14">
        <v>25184</v>
      </c>
      <c r="B615" s="18" t="s">
        <v>37</v>
      </c>
      <c r="C615" s="18" t="s">
        <v>39</v>
      </c>
      <c r="D615" s="6">
        <v>110000</v>
      </c>
      <c r="E615" s="18" t="str" cm="1">
        <f t="array" ref="E615">_xlfn.IFS(Cleaned_Working_Sheet!$D615&lt;=50000,"Low Income",Cleaned_Working_Sheet!$D615&lt;100000,"Middle Income",TRUE,"High Income")</f>
        <v>High Income</v>
      </c>
      <c r="F615" s="16">
        <v>1</v>
      </c>
      <c r="G615" s="18" t="s">
        <v>19</v>
      </c>
      <c r="H615" s="18" t="s">
        <v>21</v>
      </c>
      <c r="I615" s="18" t="s">
        <v>15</v>
      </c>
      <c r="J615" s="16">
        <v>4</v>
      </c>
      <c r="K615" s="18" t="s">
        <v>23</v>
      </c>
      <c r="L615" s="18" t="s">
        <v>32</v>
      </c>
      <c r="M615" s="14">
        <v>45</v>
      </c>
      <c r="N615" s="18" t="str" cm="1">
        <f t="array" ref="N615">_xlfn.IFS(Cleaned_Working_Sheet!$M615&lt;=34,"Young",Cleaned_Working_Sheet!$M615&lt;=54,"Middle-aged",Cleaned_Working_Sheet!$M615&gt;54,"Old")</f>
        <v>Middle-aged</v>
      </c>
      <c r="O615" s="18" t="s">
        <v>15</v>
      </c>
    </row>
    <row r="616" spans="1:15" x14ac:dyDescent="0.25">
      <c r="A616" s="14">
        <v>14469</v>
      </c>
      <c r="B616" s="18" t="s">
        <v>36</v>
      </c>
      <c r="C616" s="18" t="s">
        <v>38</v>
      </c>
      <c r="D616" s="6">
        <v>100000</v>
      </c>
      <c r="E616" s="18" t="str" cm="1">
        <f t="array" ref="E616">_xlfn.IFS(Cleaned_Working_Sheet!$D616&lt;=50000,"Low Income",Cleaned_Working_Sheet!$D616&lt;100000,"Middle Income",TRUE,"High Income")</f>
        <v>High Income</v>
      </c>
      <c r="F616" s="16">
        <v>3</v>
      </c>
      <c r="G616" s="18" t="s">
        <v>19</v>
      </c>
      <c r="H616" s="18" t="s">
        <v>21</v>
      </c>
      <c r="I616" s="18" t="s">
        <v>15</v>
      </c>
      <c r="J616" s="16">
        <v>4</v>
      </c>
      <c r="K616" s="18" t="s">
        <v>26</v>
      </c>
      <c r="L616" s="18" t="s">
        <v>32</v>
      </c>
      <c r="M616" s="14">
        <v>45</v>
      </c>
      <c r="N616" s="18" t="str" cm="1">
        <f t="array" ref="N616">_xlfn.IFS(Cleaned_Working_Sheet!$M616&lt;=34,"Young",Cleaned_Working_Sheet!$M616&lt;=54,"Middle-aged",Cleaned_Working_Sheet!$M616&gt;54,"Old")</f>
        <v>Middle-aged</v>
      </c>
      <c r="O616" s="18" t="s">
        <v>18</v>
      </c>
    </row>
    <row r="617" spans="1:15" x14ac:dyDescent="0.25">
      <c r="A617" s="14">
        <v>11538</v>
      </c>
      <c r="B617" s="18" t="s">
        <v>37</v>
      </c>
      <c r="C617" s="18" t="s">
        <v>38</v>
      </c>
      <c r="D617" s="6">
        <v>60000</v>
      </c>
      <c r="E617" s="18" t="str" cm="1">
        <f t="array" ref="E617">_xlfn.IFS(Cleaned_Working_Sheet!$D617&lt;=50000,"Low Income",Cleaned_Working_Sheet!$D617&lt;100000,"Middle Income",TRUE,"High Income")</f>
        <v>Middle Income</v>
      </c>
      <c r="F617" s="16">
        <v>4</v>
      </c>
      <c r="G617" s="18" t="s">
        <v>31</v>
      </c>
      <c r="H617" s="18" t="s">
        <v>14</v>
      </c>
      <c r="I617" s="18" t="s">
        <v>18</v>
      </c>
      <c r="J617" s="16">
        <v>0</v>
      </c>
      <c r="K617" s="18" t="s">
        <v>16</v>
      </c>
      <c r="L617" s="18" t="s">
        <v>32</v>
      </c>
      <c r="M617" s="14">
        <v>47</v>
      </c>
      <c r="N617" s="18" t="str" cm="1">
        <f t="array" ref="N617">_xlfn.IFS(Cleaned_Working_Sheet!$M617&lt;=34,"Young",Cleaned_Working_Sheet!$M617&lt;=54,"Middle-aged",Cleaned_Working_Sheet!$M617&gt;54,"Old")</f>
        <v>Middle-aged</v>
      </c>
      <c r="O617" s="18" t="s">
        <v>15</v>
      </c>
    </row>
    <row r="618" spans="1:15" x14ac:dyDescent="0.25">
      <c r="A618" s="14">
        <v>16245</v>
      </c>
      <c r="B618" s="18" t="s">
        <v>37</v>
      </c>
      <c r="C618" s="18" t="s">
        <v>38</v>
      </c>
      <c r="D618" s="6">
        <v>80000</v>
      </c>
      <c r="E618" s="18" t="str" cm="1">
        <f t="array" ref="E618">_xlfn.IFS(Cleaned_Working_Sheet!$D618&lt;=50000,"Low Income",Cleaned_Working_Sheet!$D618&lt;100000,"Middle Income",TRUE,"High Income")</f>
        <v>Middle Income</v>
      </c>
      <c r="F618" s="16">
        <v>4</v>
      </c>
      <c r="G618" s="18" t="s">
        <v>31</v>
      </c>
      <c r="H618" s="18" t="s">
        <v>14</v>
      </c>
      <c r="I618" s="18" t="s">
        <v>15</v>
      </c>
      <c r="J618" s="16">
        <v>0</v>
      </c>
      <c r="K618" s="18" t="s">
        <v>26</v>
      </c>
      <c r="L618" s="18" t="s">
        <v>32</v>
      </c>
      <c r="M618" s="14">
        <v>47</v>
      </c>
      <c r="N618" s="18" t="str" cm="1">
        <f t="array" ref="N618">_xlfn.IFS(Cleaned_Working_Sheet!$M618&lt;=34,"Young",Cleaned_Working_Sheet!$M618&lt;=54,"Middle-aged",Cleaned_Working_Sheet!$M618&gt;54,"Old")</f>
        <v>Middle-aged</v>
      </c>
      <c r="O618" s="18" t="s">
        <v>18</v>
      </c>
    </row>
    <row r="619" spans="1:15" x14ac:dyDescent="0.25">
      <c r="A619" s="14">
        <v>17858</v>
      </c>
      <c r="B619" s="18" t="s">
        <v>36</v>
      </c>
      <c r="C619" s="18" t="s">
        <v>39</v>
      </c>
      <c r="D619" s="6">
        <v>40000</v>
      </c>
      <c r="E619" s="18" t="str" cm="1">
        <f t="array" ref="E619">_xlfn.IFS(Cleaned_Working_Sheet!$D619&lt;=50000,"Low Income",Cleaned_Working_Sheet!$D619&lt;100000,"Middle Income",TRUE,"High Income")</f>
        <v>Low Income</v>
      </c>
      <c r="F619" s="16">
        <v>4</v>
      </c>
      <c r="G619" s="18" t="s">
        <v>27</v>
      </c>
      <c r="H619" s="18" t="s">
        <v>14</v>
      </c>
      <c r="I619" s="18" t="s">
        <v>15</v>
      </c>
      <c r="J619" s="16">
        <v>2</v>
      </c>
      <c r="K619" s="18" t="s">
        <v>22</v>
      </c>
      <c r="L619" s="18" t="s">
        <v>32</v>
      </c>
      <c r="M619" s="14">
        <v>44</v>
      </c>
      <c r="N619" s="18" t="str" cm="1">
        <f t="array" ref="N619">_xlfn.IFS(Cleaned_Working_Sheet!$M619&lt;=34,"Young",Cleaned_Working_Sheet!$M619&lt;=54,"Middle-aged",Cleaned_Working_Sheet!$M619&gt;54,"Old")</f>
        <v>Middle-aged</v>
      </c>
      <c r="O619" s="18" t="s">
        <v>15</v>
      </c>
    </row>
    <row r="620" spans="1:15" x14ac:dyDescent="0.25">
      <c r="A620" s="14">
        <v>25347</v>
      </c>
      <c r="B620" s="18" t="s">
        <v>37</v>
      </c>
      <c r="C620" s="18" t="s">
        <v>38</v>
      </c>
      <c r="D620" s="6">
        <v>20000</v>
      </c>
      <c r="E620" s="18" t="str" cm="1">
        <f t="array" ref="E620">_xlfn.IFS(Cleaned_Working_Sheet!$D620&lt;=50000,"Low Income",Cleaned_Working_Sheet!$D620&lt;100000,"Middle Income",TRUE,"High Income")</f>
        <v>Low Income</v>
      </c>
      <c r="F620" s="16">
        <v>3</v>
      </c>
      <c r="G620" s="18" t="s">
        <v>29</v>
      </c>
      <c r="H620" s="18" t="s">
        <v>20</v>
      </c>
      <c r="I620" s="18" t="s">
        <v>18</v>
      </c>
      <c r="J620" s="16">
        <v>2</v>
      </c>
      <c r="K620" s="18" t="s">
        <v>16</v>
      </c>
      <c r="L620" s="18" t="s">
        <v>32</v>
      </c>
      <c r="M620" s="14">
        <v>49</v>
      </c>
      <c r="N620" s="18" t="str" cm="1">
        <f t="array" ref="N620">_xlfn.IFS(Cleaned_Working_Sheet!$M620&lt;=34,"Young",Cleaned_Working_Sheet!$M620&lt;=54,"Middle-aged",Cleaned_Working_Sheet!$M620&gt;54,"Old")</f>
        <v>Middle-aged</v>
      </c>
      <c r="O620" s="18" t="s">
        <v>18</v>
      </c>
    </row>
    <row r="621" spans="1:15" x14ac:dyDescent="0.25">
      <c r="A621" s="14">
        <v>15814</v>
      </c>
      <c r="B621" s="18" t="s">
        <v>37</v>
      </c>
      <c r="C621" s="18" t="s">
        <v>38</v>
      </c>
      <c r="D621" s="6">
        <v>40000</v>
      </c>
      <c r="E621" s="18" t="str" cm="1">
        <f t="array" ref="E621">_xlfn.IFS(Cleaned_Working_Sheet!$D621&lt;=50000,"Low Income",Cleaned_Working_Sheet!$D621&lt;100000,"Middle Income",TRUE,"High Income")</f>
        <v>Low Income</v>
      </c>
      <c r="F621" s="16">
        <v>0</v>
      </c>
      <c r="G621" s="18" t="s">
        <v>27</v>
      </c>
      <c r="H621" s="18" t="s">
        <v>14</v>
      </c>
      <c r="I621" s="18" t="s">
        <v>15</v>
      </c>
      <c r="J621" s="16">
        <v>1</v>
      </c>
      <c r="K621" s="18" t="s">
        <v>23</v>
      </c>
      <c r="L621" s="18" t="s">
        <v>32</v>
      </c>
      <c r="M621" s="14">
        <v>30</v>
      </c>
      <c r="N621" s="18" t="str" cm="1">
        <f t="array" ref="N621">_xlfn.IFS(Cleaned_Working_Sheet!$M621&lt;=34,"Young",Cleaned_Working_Sheet!$M621&lt;=54,"Middle-aged",Cleaned_Working_Sheet!$M621&gt;54,"Old")</f>
        <v>Young</v>
      </c>
      <c r="O621" s="18" t="s">
        <v>18</v>
      </c>
    </row>
    <row r="622" spans="1:15" x14ac:dyDescent="0.25">
      <c r="A622" s="14">
        <v>11259</v>
      </c>
      <c r="B622" s="18" t="s">
        <v>36</v>
      </c>
      <c r="C622" s="18" t="s">
        <v>38</v>
      </c>
      <c r="D622" s="6">
        <v>100000</v>
      </c>
      <c r="E622" s="18" t="str" cm="1">
        <f t="array" ref="E622">_xlfn.IFS(Cleaned_Working_Sheet!$D622&lt;=50000,"Low Income",Cleaned_Working_Sheet!$D622&lt;100000,"Middle Income",TRUE,"High Income")</f>
        <v>High Income</v>
      </c>
      <c r="F622" s="16">
        <v>4</v>
      </c>
      <c r="G622" s="18" t="s">
        <v>19</v>
      </c>
      <c r="H622" s="18" t="s">
        <v>21</v>
      </c>
      <c r="I622" s="18" t="s">
        <v>15</v>
      </c>
      <c r="J622" s="16">
        <v>4</v>
      </c>
      <c r="K622" s="18" t="s">
        <v>22</v>
      </c>
      <c r="L622" s="18" t="s">
        <v>32</v>
      </c>
      <c r="M622" s="14">
        <v>41</v>
      </c>
      <c r="N622" s="18" t="str" cm="1">
        <f t="array" ref="N622">_xlfn.IFS(Cleaned_Working_Sheet!$M622&lt;=34,"Young",Cleaned_Working_Sheet!$M622&lt;=54,"Middle-aged",Cleaned_Working_Sheet!$M622&gt;54,"Old")</f>
        <v>Middle-aged</v>
      </c>
      <c r="O622" s="18" t="s">
        <v>15</v>
      </c>
    </row>
    <row r="623" spans="1:15" x14ac:dyDescent="0.25">
      <c r="A623" s="14">
        <v>11200</v>
      </c>
      <c r="B623" s="18" t="s">
        <v>36</v>
      </c>
      <c r="C623" s="18" t="s">
        <v>39</v>
      </c>
      <c r="D623" s="6">
        <v>70000</v>
      </c>
      <c r="E623" s="18" t="str" cm="1">
        <f t="array" ref="E623">_xlfn.IFS(Cleaned_Working_Sheet!$D623&lt;=50000,"Low Income",Cleaned_Working_Sheet!$D623&lt;100000,"Middle Income",TRUE,"High Income")</f>
        <v>Middle Income</v>
      </c>
      <c r="F623" s="16">
        <v>4</v>
      </c>
      <c r="G623" s="18" t="s">
        <v>13</v>
      </c>
      <c r="H623" s="18" t="s">
        <v>28</v>
      </c>
      <c r="I623" s="18" t="s">
        <v>15</v>
      </c>
      <c r="J623" s="16">
        <v>1</v>
      </c>
      <c r="K623" s="18" t="s">
        <v>26</v>
      </c>
      <c r="L623" s="18" t="s">
        <v>32</v>
      </c>
      <c r="M623" s="14">
        <v>58</v>
      </c>
      <c r="N623" s="18" t="str" cm="1">
        <f t="array" ref="N623">_xlfn.IFS(Cleaned_Working_Sheet!$M623&lt;=34,"Young",Cleaned_Working_Sheet!$M623&lt;=54,"Middle-aged",Cleaned_Working_Sheet!$M623&gt;54,"Old")</f>
        <v>Old</v>
      </c>
      <c r="O623" s="18" t="s">
        <v>18</v>
      </c>
    </row>
    <row r="624" spans="1:15" x14ac:dyDescent="0.25">
      <c r="A624" s="14">
        <v>25101</v>
      </c>
      <c r="B624" s="18" t="s">
        <v>36</v>
      </c>
      <c r="C624" s="18" t="s">
        <v>39</v>
      </c>
      <c r="D624" s="6">
        <v>60000</v>
      </c>
      <c r="E624" s="18" t="str" cm="1">
        <f t="array" ref="E624">_xlfn.IFS(Cleaned_Working_Sheet!$D624&lt;=50000,"Low Income",Cleaned_Working_Sheet!$D624&lt;100000,"Middle Income",TRUE,"High Income")</f>
        <v>Middle Income</v>
      </c>
      <c r="F624" s="16">
        <v>5</v>
      </c>
      <c r="G624" s="18" t="s">
        <v>13</v>
      </c>
      <c r="H624" s="18" t="s">
        <v>21</v>
      </c>
      <c r="I624" s="18" t="s">
        <v>15</v>
      </c>
      <c r="J624" s="16">
        <v>1</v>
      </c>
      <c r="K624" s="18" t="s">
        <v>22</v>
      </c>
      <c r="L624" s="18" t="s">
        <v>32</v>
      </c>
      <c r="M624" s="14">
        <v>47</v>
      </c>
      <c r="N624" s="18" t="str" cm="1">
        <f t="array" ref="N624">_xlfn.IFS(Cleaned_Working_Sheet!$M624&lt;=34,"Young",Cleaned_Working_Sheet!$M624&lt;=54,"Middle-aged",Cleaned_Working_Sheet!$M624&gt;54,"Old")</f>
        <v>Middle-aged</v>
      </c>
      <c r="O624" s="18" t="s">
        <v>18</v>
      </c>
    </row>
    <row r="625" spans="1:15" x14ac:dyDescent="0.25">
      <c r="A625" s="14">
        <v>21801</v>
      </c>
      <c r="B625" s="18" t="s">
        <v>36</v>
      </c>
      <c r="C625" s="18" t="s">
        <v>38</v>
      </c>
      <c r="D625" s="6">
        <v>70000</v>
      </c>
      <c r="E625" s="18" t="str" cm="1">
        <f t="array" ref="E625">_xlfn.IFS(Cleaned_Working_Sheet!$D625&lt;=50000,"Low Income",Cleaned_Working_Sheet!$D625&lt;100000,"Middle Income",TRUE,"High Income")</f>
        <v>Middle Income</v>
      </c>
      <c r="F625" s="16">
        <v>4</v>
      </c>
      <c r="G625" s="18" t="s">
        <v>19</v>
      </c>
      <c r="H625" s="18" t="s">
        <v>21</v>
      </c>
      <c r="I625" s="18" t="s">
        <v>15</v>
      </c>
      <c r="J625" s="16">
        <v>1</v>
      </c>
      <c r="K625" s="18" t="s">
        <v>26</v>
      </c>
      <c r="L625" s="18" t="s">
        <v>32</v>
      </c>
      <c r="M625" s="14">
        <v>55</v>
      </c>
      <c r="N625" s="18" t="str" cm="1">
        <f t="array" ref="N625">_xlfn.IFS(Cleaned_Working_Sheet!$M625&lt;=34,"Young",Cleaned_Working_Sheet!$M625&lt;=54,"Middle-aged",Cleaned_Working_Sheet!$M625&gt;54,"Old")</f>
        <v>Old</v>
      </c>
      <c r="O625" s="18" t="s">
        <v>18</v>
      </c>
    </row>
    <row r="626" spans="1:15" x14ac:dyDescent="0.25">
      <c r="A626" s="14">
        <v>25943</v>
      </c>
      <c r="B626" s="18" t="s">
        <v>37</v>
      </c>
      <c r="C626" s="18" t="s">
        <v>38</v>
      </c>
      <c r="D626" s="6">
        <v>70000</v>
      </c>
      <c r="E626" s="18" t="str" cm="1">
        <f t="array" ref="E626">_xlfn.IFS(Cleaned_Working_Sheet!$D626&lt;=50000,"Low Income",Cleaned_Working_Sheet!$D626&lt;100000,"Middle Income",TRUE,"High Income")</f>
        <v>Middle Income</v>
      </c>
      <c r="F626" s="16">
        <v>0</v>
      </c>
      <c r="G626" s="18" t="s">
        <v>19</v>
      </c>
      <c r="H626" s="18" t="s">
        <v>14</v>
      </c>
      <c r="I626" s="18" t="s">
        <v>18</v>
      </c>
      <c r="J626" s="16">
        <v>2</v>
      </c>
      <c r="K626" s="18" t="s">
        <v>16</v>
      </c>
      <c r="L626" s="18" t="s">
        <v>32</v>
      </c>
      <c r="M626" s="14">
        <v>27</v>
      </c>
      <c r="N626" s="18" t="str" cm="1">
        <f t="array" ref="N626">_xlfn.IFS(Cleaned_Working_Sheet!$M626&lt;=34,"Young",Cleaned_Working_Sheet!$M626&lt;=54,"Middle-aged",Cleaned_Working_Sheet!$M626&gt;54,"Old")</f>
        <v>Young</v>
      </c>
      <c r="O626" s="18" t="s">
        <v>15</v>
      </c>
    </row>
    <row r="627" spans="1:15" x14ac:dyDescent="0.25">
      <c r="A627" s="14">
        <v>22127</v>
      </c>
      <c r="B627" s="18" t="s">
        <v>36</v>
      </c>
      <c r="C627" s="18" t="s">
        <v>39</v>
      </c>
      <c r="D627" s="6">
        <v>60000</v>
      </c>
      <c r="E627" s="18" t="str" cm="1">
        <f t="array" ref="E627">_xlfn.IFS(Cleaned_Working_Sheet!$D627&lt;=50000,"Low Income",Cleaned_Working_Sheet!$D627&lt;100000,"Middle Income",TRUE,"High Income")</f>
        <v>Middle Income</v>
      </c>
      <c r="F627" s="16">
        <v>3</v>
      </c>
      <c r="G627" s="18" t="s">
        <v>31</v>
      </c>
      <c r="H627" s="18" t="s">
        <v>28</v>
      </c>
      <c r="I627" s="18" t="s">
        <v>15</v>
      </c>
      <c r="J627" s="16">
        <v>2</v>
      </c>
      <c r="K627" s="18" t="s">
        <v>26</v>
      </c>
      <c r="L627" s="18" t="s">
        <v>32</v>
      </c>
      <c r="M627" s="14">
        <v>67</v>
      </c>
      <c r="N627" s="18" t="str" cm="1">
        <f t="array" ref="N627">_xlfn.IFS(Cleaned_Working_Sheet!$M627&lt;=34,"Young",Cleaned_Working_Sheet!$M627&lt;=54,"Middle-aged",Cleaned_Working_Sheet!$M627&gt;54,"Old")</f>
        <v>Old</v>
      </c>
      <c r="O627" s="18" t="s">
        <v>18</v>
      </c>
    </row>
    <row r="628" spans="1:15" x14ac:dyDescent="0.25">
      <c r="A628" s="14">
        <v>20414</v>
      </c>
      <c r="B628" s="18" t="s">
        <v>36</v>
      </c>
      <c r="C628" s="18" t="s">
        <v>38</v>
      </c>
      <c r="D628" s="6">
        <v>60000</v>
      </c>
      <c r="E628" s="18" t="str" cm="1">
        <f t="array" ref="E628">_xlfn.IFS(Cleaned_Working_Sheet!$D628&lt;=50000,"Low Income",Cleaned_Working_Sheet!$D628&lt;100000,"Middle Income",TRUE,"High Income")</f>
        <v>Middle Income</v>
      </c>
      <c r="F628" s="16">
        <v>0</v>
      </c>
      <c r="G628" s="18" t="s">
        <v>19</v>
      </c>
      <c r="H628" s="18" t="s">
        <v>14</v>
      </c>
      <c r="I628" s="18" t="s">
        <v>15</v>
      </c>
      <c r="J628" s="16">
        <v>2</v>
      </c>
      <c r="K628" s="18" t="s">
        <v>23</v>
      </c>
      <c r="L628" s="18" t="s">
        <v>32</v>
      </c>
      <c r="M628" s="14">
        <v>29</v>
      </c>
      <c r="N628" s="18" t="str" cm="1">
        <f t="array" ref="N628">_xlfn.IFS(Cleaned_Working_Sheet!$M628&lt;=34,"Young",Cleaned_Working_Sheet!$M628&lt;=54,"Middle-aged",Cleaned_Working_Sheet!$M628&gt;54,"Old")</f>
        <v>Young</v>
      </c>
      <c r="O628" s="18" t="s">
        <v>18</v>
      </c>
    </row>
    <row r="629" spans="1:15" x14ac:dyDescent="0.25">
      <c r="A629" s="14">
        <v>23672</v>
      </c>
      <c r="B629" s="18" t="s">
        <v>36</v>
      </c>
      <c r="C629" s="18" t="s">
        <v>38</v>
      </c>
      <c r="D629" s="6">
        <v>60000</v>
      </c>
      <c r="E629" s="18" t="str" cm="1">
        <f t="array" ref="E629">_xlfn.IFS(Cleaned_Working_Sheet!$D629&lt;=50000,"Low Income",Cleaned_Working_Sheet!$D629&lt;100000,"Middle Income",TRUE,"High Income")</f>
        <v>Middle Income</v>
      </c>
      <c r="F629" s="16">
        <v>3</v>
      </c>
      <c r="G629" s="18" t="s">
        <v>31</v>
      </c>
      <c r="H629" s="18" t="s">
        <v>28</v>
      </c>
      <c r="I629" s="18" t="s">
        <v>15</v>
      </c>
      <c r="J629" s="16">
        <v>2</v>
      </c>
      <c r="K629" s="18" t="s">
        <v>26</v>
      </c>
      <c r="L629" s="18" t="s">
        <v>32</v>
      </c>
      <c r="M629" s="14">
        <v>67</v>
      </c>
      <c r="N629" s="18" t="str" cm="1">
        <f t="array" ref="N629">_xlfn.IFS(Cleaned_Working_Sheet!$M629&lt;=34,"Young",Cleaned_Working_Sheet!$M629&lt;=54,"Middle-aged",Cleaned_Working_Sheet!$M629&gt;54,"Old")</f>
        <v>Old</v>
      </c>
      <c r="O629" s="18" t="s">
        <v>18</v>
      </c>
    </row>
    <row r="630" spans="1:15" x14ac:dyDescent="0.25">
      <c r="A630" s="14">
        <v>29255</v>
      </c>
      <c r="B630" s="18" t="s">
        <v>37</v>
      </c>
      <c r="C630" s="18" t="s">
        <v>39</v>
      </c>
      <c r="D630" s="6">
        <v>80000</v>
      </c>
      <c r="E630" s="18" t="str" cm="1">
        <f t="array" ref="E630">_xlfn.IFS(Cleaned_Working_Sheet!$D630&lt;=50000,"Low Income",Cleaned_Working_Sheet!$D630&lt;100000,"Middle Income",TRUE,"High Income")</f>
        <v>Middle Income</v>
      </c>
      <c r="F630" s="16">
        <v>3</v>
      </c>
      <c r="G630" s="18" t="s">
        <v>19</v>
      </c>
      <c r="H630" s="18" t="s">
        <v>21</v>
      </c>
      <c r="I630" s="18" t="s">
        <v>18</v>
      </c>
      <c r="J630" s="16">
        <v>1</v>
      </c>
      <c r="K630" s="18" t="s">
        <v>26</v>
      </c>
      <c r="L630" s="18" t="s">
        <v>32</v>
      </c>
      <c r="M630" s="14">
        <v>51</v>
      </c>
      <c r="N630" s="18" t="str" cm="1">
        <f t="array" ref="N630">_xlfn.IFS(Cleaned_Working_Sheet!$M630&lt;=34,"Young",Cleaned_Working_Sheet!$M630&lt;=54,"Middle-aged",Cleaned_Working_Sheet!$M630&gt;54,"Old")</f>
        <v>Middle-aged</v>
      </c>
      <c r="O630" s="18" t="s">
        <v>15</v>
      </c>
    </row>
    <row r="631" spans="1:15" x14ac:dyDescent="0.25">
      <c r="A631" s="14">
        <v>28815</v>
      </c>
      <c r="B631" s="18" t="s">
        <v>36</v>
      </c>
      <c r="C631" s="18" t="s">
        <v>38</v>
      </c>
      <c r="D631" s="6">
        <v>50000</v>
      </c>
      <c r="E631" s="18" t="str" cm="1">
        <f t="array" ref="E631">_xlfn.IFS(Cleaned_Working_Sheet!$D631&lt;=50000,"Low Income",Cleaned_Working_Sheet!$D631&lt;100000,"Middle Income",TRUE,"High Income")</f>
        <v>Low Income</v>
      </c>
      <c r="F631" s="16">
        <v>1</v>
      </c>
      <c r="G631" s="18" t="s">
        <v>31</v>
      </c>
      <c r="H631" s="18" t="s">
        <v>14</v>
      </c>
      <c r="I631" s="18" t="s">
        <v>15</v>
      </c>
      <c r="J631" s="16">
        <v>0</v>
      </c>
      <c r="K631" s="18" t="s">
        <v>16</v>
      </c>
      <c r="L631" s="18" t="s">
        <v>32</v>
      </c>
      <c r="M631" s="14">
        <v>35</v>
      </c>
      <c r="N631" s="18" t="str" cm="1">
        <f t="array" ref="N631">_xlfn.IFS(Cleaned_Working_Sheet!$M631&lt;=34,"Young",Cleaned_Working_Sheet!$M631&lt;=54,"Middle-aged",Cleaned_Working_Sheet!$M631&gt;54,"Old")</f>
        <v>Middle-aged</v>
      </c>
      <c r="O631" s="18" t="s">
        <v>18</v>
      </c>
    </row>
    <row r="632" spans="1:15" x14ac:dyDescent="0.25">
      <c r="A632" s="14">
        <v>27753</v>
      </c>
      <c r="B632" s="18" t="s">
        <v>36</v>
      </c>
      <c r="C632" s="18" t="s">
        <v>39</v>
      </c>
      <c r="D632" s="6">
        <v>40000</v>
      </c>
      <c r="E632" s="18" t="str" cm="1">
        <f t="array" ref="E632">_xlfn.IFS(Cleaned_Working_Sheet!$D632&lt;=50000,"Low Income",Cleaned_Working_Sheet!$D632&lt;100000,"Middle Income",TRUE,"High Income")</f>
        <v>Low Income</v>
      </c>
      <c r="F632" s="16">
        <v>0</v>
      </c>
      <c r="G632" s="18" t="s">
        <v>27</v>
      </c>
      <c r="H632" s="18" t="s">
        <v>14</v>
      </c>
      <c r="I632" s="18" t="s">
        <v>18</v>
      </c>
      <c r="J632" s="16">
        <v>2</v>
      </c>
      <c r="K632" s="18" t="s">
        <v>26</v>
      </c>
      <c r="L632" s="18" t="s">
        <v>32</v>
      </c>
      <c r="M632" s="14">
        <v>30</v>
      </c>
      <c r="N632" s="18" t="str" cm="1">
        <f t="array" ref="N632">_xlfn.IFS(Cleaned_Working_Sheet!$M632&lt;=34,"Young",Cleaned_Working_Sheet!$M632&lt;=54,"Middle-aged",Cleaned_Working_Sheet!$M632&gt;54,"Old")</f>
        <v>Young</v>
      </c>
      <c r="O632" s="18" t="s">
        <v>18</v>
      </c>
    </row>
    <row r="633" spans="1:15" x14ac:dyDescent="0.25">
      <c r="A633" s="14">
        <v>27643</v>
      </c>
      <c r="B633" s="18" t="s">
        <v>37</v>
      </c>
      <c r="C633" s="18" t="s">
        <v>39</v>
      </c>
      <c r="D633" s="6">
        <v>70000</v>
      </c>
      <c r="E633" s="18" t="str" cm="1">
        <f t="array" ref="E633">_xlfn.IFS(Cleaned_Working_Sheet!$D633&lt;=50000,"Low Income",Cleaned_Working_Sheet!$D633&lt;100000,"Middle Income",TRUE,"High Income")</f>
        <v>Middle Income</v>
      </c>
      <c r="F633" s="16">
        <v>5</v>
      </c>
      <c r="G633" s="18" t="s">
        <v>19</v>
      </c>
      <c r="H633" s="18" t="s">
        <v>21</v>
      </c>
      <c r="I633" s="18" t="s">
        <v>15</v>
      </c>
      <c r="J633" s="16">
        <v>3</v>
      </c>
      <c r="K633" s="18" t="s">
        <v>22</v>
      </c>
      <c r="L633" s="18" t="s">
        <v>32</v>
      </c>
      <c r="M633" s="14">
        <v>44</v>
      </c>
      <c r="N633" s="18" t="str" cm="1">
        <f t="array" ref="N633">_xlfn.IFS(Cleaned_Working_Sheet!$M633&lt;=34,"Young",Cleaned_Working_Sheet!$M633&lt;=54,"Middle-aged",Cleaned_Working_Sheet!$M633&gt;54,"Old")</f>
        <v>Middle-aged</v>
      </c>
      <c r="O633" s="18" t="s">
        <v>18</v>
      </c>
    </row>
    <row r="634" spans="1:15" x14ac:dyDescent="0.25">
      <c r="A634" s="14">
        <v>13754</v>
      </c>
      <c r="B634" s="18" t="s">
        <v>37</v>
      </c>
      <c r="C634" s="18" t="s">
        <v>38</v>
      </c>
      <c r="D634" s="6">
        <v>80000</v>
      </c>
      <c r="E634" s="18" t="str" cm="1">
        <f t="array" ref="E634">_xlfn.IFS(Cleaned_Working_Sheet!$D634&lt;=50000,"Low Income",Cleaned_Working_Sheet!$D634&lt;100000,"Middle Income",TRUE,"High Income")</f>
        <v>Middle Income</v>
      </c>
      <c r="F634" s="16">
        <v>4</v>
      </c>
      <c r="G634" s="18" t="s">
        <v>31</v>
      </c>
      <c r="H634" s="18" t="s">
        <v>14</v>
      </c>
      <c r="I634" s="18" t="s">
        <v>15</v>
      </c>
      <c r="J634" s="16">
        <v>0</v>
      </c>
      <c r="K634" s="18" t="s">
        <v>26</v>
      </c>
      <c r="L634" s="18" t="s">
        <v>32</v>
      </c>
      <c r="M634" s="14">
        <v>48</v>
      </c>
      <c r="N634" s="18" t="str" cm="1">
        <f t="array" ref="N634">_xlfn.IFS(Cleaned_Working_Sheet!$M634&lt;=34,"Young",Cleaned_Working_Sheet!$M634&lt;=54,"Middle-aged",Cleaned_Working_Sheet!$M634&gt;54,"Old")</f>
        <v>Middle-aged</v>
      </c>
      <c r="O634" s="18" t="s">
        <v>18</v>
      </c>
    </row>
    <row r="635" spans="1:15" x14ac:dyDescent="0.25">
      <c r="A635" s="14">
        <v>22088</v>
      </c>
      <c r="B635" s="18" t="s">
        <v>36</v>
      </c>
      <c r="C635" s="18" t="s">
        <v>38</v>
      </c>
      <c r="D635" s="6">
        <v>130000</v>
      </c>
      <c r="E635" s="18" t="str" cm="1">
        <f t="array" ref="E635">_xlfn.IFS(Cleaned_Working_Sheet!$D635&lt;=50000,"Low Income",Cleaned_Working_Sheet!$D635&lt;100000,"Middle Income",TRUE,"High Income")</f>
        <v>High Income</v>
      </c>
      <c r="F635" s="16">
        <v>1</v>
      </c>
      <c r="G635" s="18" t="s">
        <v>13</v>
      </c>
      <c r="H635" s="18" t="s">
        <v>28</v>
      </c>
      <c r="I635" s="18" t="s">
        <v>15</v>
      </c>
      <c r="J635" s="16">
        <v>2</v>
      </c>
      <c r="K635" s="18" t="s">
        <v>16</v>
      </c>
      <c r="L635" s="18" t="s">
        <v>32</v>
      </c>
      <c r="M635" s="14">
        <v>45</v>
      </c>
      <c r="N635" s="18" t="str" cm="1">
        <f t="array" ref="N635">_xlfn.IFS(Cleaned_Working_Sheet!$M635&lt;=34,"Young",Cleaned_Working_Sheet!$M635&lt;=54,"Middle-aged",Cleaned_Working_Sheet!$M635&gt;54,"Old")</f>
        <v>Middle-aged</v>
      </c>
      <c r="O635" s="18" t="s">
        <v>15</v>
      </c>
    </row>
    <row r="636" spans="1:15" x14ac:dyDescent="0.25">
      <c r="A636" s="14">
        <v>27388</v>
      </c>
      <c r="B636" s="18" t="s">
        <v>36</v>
      </c>
      <c r="C636" s="18" t="s">
        <v>39</v>
      </c>
      <c r="D636" s="6">
        <v>60000</v>
      </c>
      <c r="E636" s="18" t="str" cm="1">
        <f t="array" ref="E636">_xlfn.IFS(Cleaned_Working_Sheet!$D636&lt;=50000,"Low Income",Cleaned_Working_Sheet!$D636&lt;100000,"Middle Income",TRUE,"High Income")</f>
        <v>Middle Income</v>
      </c>
      <c r="F636" s="16">
        <v>3</v>
      </c>
      <c r="G636" s="18" t="s">
        <v>13</v>
      </c>
      <c r="H636" s="18" t="s">
        <v>28</v>
      </c>
      <c r="I636" s="18" t="s">
        <v>18</v>
      </c>
      <c r="J636" s="16">
        <v>2</v>
      </c>
      <c r="K636" s="18" t="s">
        <v>26</v>
      </c>
      <c r="L636" s="18" t="s">
        <v>32</v>
      </c>
      <c r="M636" s="14">
        <v>66</v>
      </c>
      <c r="N636" s="18" t="str" cm="1">
        <f t="array" ref="N636">_xlfn.IFS(Cleaned_Working_Sheet!$M636&lt;=34,"Young",Cleaned_Working_Sheet!$M636&lt;=54,"Middle-aged",Cleaned_Working_Sheet!$M636&gt;54,"Old")</f>
        <v>Old</v>
      </c>
      <c r="O636" s="18" t="s">
        <v>18</v>
      </c>
    </row>
    <row r="637" spans="1:15" x14ac:dyDescent="0.25">
      <c r="A637" s="14">
        <v>24745</v>
      </c>
      <c r="B637" s="18" t="s">
        <v>37</v>
      </c>
      <c r="C637" s="18" t="s">
        <v>38</v>
      </c>
      <c r="D637" s="6">
        <v>30000</v>
      </c>
      <c r="E637" s="18" t="str" cm="1">
        <f t="array" ref="E637">_xlfn.IFS(Cleaned_Working_Sheet!$D637&lt;=50000,"Low Income",Cleaned_Working_Sheet!$D637&lt;100000,"Middle Income",TRUE,"High Income")</f>
        <v>Low Income</v>
      </c>
      <c r="F637" s="16">
        <v>2</v>
      </c>
      <c r="G637" s="18" t="s">
        <v>27</v>
      </c>
      <c r="H637" s="18" t="s">
        <v>14</v>
      </c>
      <c r="I637" s="18" t="s">
        <v>18</v>
      </c>
      <c r="J637" s="16">
        <v>2</v>
      </c>
      <c r="K637" s="18" t="s">
        <v>16</v>
      </c>
      <c r="L637" s="18" t="s">
        <v>32</v>
      </c>
      <c r="M637" s="14">
        <v>49</v>
      </c>
      <c r="N637" s="18" t="str" cm="1">
        <f t="array" ref="N637">_xlfn.IFS(Cleaned_Working_Sheet!$M637&lt;=34,"Young",Cleaned_Working_Sheet!$M637&lt;=54,"Middle-aged",Cleaned_Working_Sheet!$M637&gt;54,"Old")</f>
        <v>Middle-aged</v>
      </c>
      <c r="O637" s="18" t="s">
        <v>18</v>
      </c>
    </row>
    <row r="638" spans="1:15" x14ac:dyDescent="0.25">
      <c r="A638" s="14">
        <v>29237</v>
      </c>
      <c r="B638" s="18" t="s">
        <v>37</v>
      </c>
      <c r="C638" s="18" t="s">
        <v>38</v>
      </c>
      <c r="D638" s="6">
        <v>120000</v>
      </c>
      <c r="E638" s="18" t="str" cm="1">
        <f t="array" ref="E638">_xlfn.IFS(Cleaned_Working_Sheet!$D638&lt;=50000,"Low Income",Cleaned_Working_Sheet!$D638&lt;100000,"Middle Income",TRUE,"High Income")</f>
        <v>High Income</v>
      </c>
      <c r="F638" s="16">
        <v>4</v>
      </c>
      <c r="G638" s="18" t="s">
        <v>19</v>
      </c>
      <c r="H638" s="18" t="s">
        <v>21</v>
      </c>
      <c r="I638" s="18" t="s">
        <v>15</v>
      </c>
      <c r="J638" s="16">
        <v>3</v>
      </c>
      <c r="K638" s="18" t="s">
        <v>23</v>
      </c>
      <c r="L638" s="18" t="s">
        <v>32</v>
      </c>
      <c r="M638" s="14">
        <v>43</v>
      </c>
      <c r="N638" s="18" t="str" cm="1">
        <f t="array" ref="N638">_xlfn.IFS(Cleaned_Working_Sheet!$M638&lt;=34,"Young",Cleaned_Working_Sheet!$M638&lt;=54,"Middle-aged",Cleaned_Working_Sheet!$M638&gt;54,"Old")</f>
        <v>Middle-aged</v>
      </c>
      <c r="O638" s="18" t="s">
        <v>15</v>
      </c>
    </row>
    <row r="639" spans="1:15" x14ac:dyDescent="0.25">
      <c r="A639" s="14">
        <v>15272</v>
      </c>
      <c r="B639" s="18" t="s">
        <v>37</v>
      </c>
      <c r="C639" s="18" t="s">
        <v>39</v>
      </c>
      <c r="D639" s="6">
        <v>40000</v>
      </c>
      <c r="E639" s="18" t="str" cm="1">
        <f t="array" ref="E639">_xlfn.IFS(Cleaned_Working_Sheet!$D639&lt;=50000,"Low Income",Cleaned_Working_Sheet!$D639&lt;100000,"Middle Income",TRUE,"High Income")</f>
        <v>Low Income</v>
      </c>
      <c r="F639" s="16">
        <v>0</v>
      </c>
      <c r="G639" s="18" t="s">
        <v>27</v>
      </c>
      <c r="H639" s="18" t="s">
        <v>14</v>
      </c>
      <c r="I639" s="18" t="s">
        <v>18</v>
      </c>
      <c r="J639" s="16">
        <v>2</v>
      </c>
      <c r="K639" s="18" t="s">
        <v>26</v>
      </c>
      <c r="L639" s="18" t="s">
        <v>32</v>
      </c>
      <c r="M639" s="14">
        <v>30</v>
      </c>
      <c r="N639" s="18" t="str" cm="1">
        <f t="array" ref="N639">_xlfn.IFS(Cleaned_Working_Sheet!$M639&lt;=34,"Young",Cleaned_Working_Sheet!$M639&lt;=54,"Middle-aged",Cleaned_Working_Sheet!$M639&gt;54,"Old")</f>
        <v>Young</v>
      </c>
      <c r="O639" s="18" t="s">
        <v>18</v>
      </c>
    </row>
    <row r="640" spans="1:15" x14ac:dyDescent="0.25">
      <c r="A640" s="14">
        <v>18949</v>
      </c>
      <c r="B640" s="18" t="s">
        <v>37</v>
      </c>
      <c r="C640" s="18" t="s">
        <v>39</v>
      </c>
      <c r="D640" s="6">
        <v>70000</v>
      </c>
      <c r="E640" s="18" t="str" cm="1">
        <f t="array" ref="E640">_xlfn.IFS(Cleaned_Working_Sheet!$D640&lt;=50000,"Low Income",Cleaned_Working_Sheet!$D640&lt;100000,"Middle Income",TRUE,"High Income")</f>
        <v>Middle Income</v>
      </c>
      <c r="F640" s="16">
        <v>0</v>
      </c>
      <c r="G640" s="18" t="s">
        <v>31</v>
      </c>
      <c r="H640" s="18" t="s">
        <v>28</v>
      </c>
      <c r="I640" s="18" t="s">
        <v>15</v>
      </c>
      <c r="J640" s="16">
        <v>2</v>
      </c>
      <c r="K640" s="18" t="s">
        <v>23</v>
      </c>
      <c r="L640" s="18" t="s">
        <v>32</v>
      </c>
      <c r="M640" s="14">
        <v>74</v>
      </c>
      <c r="N640" s="18" t="str" cm="1">
        <f t="array" ref="N640">_xlfn.IFS(Cleaned_Working_Sheet!$M640&lt;=34,"Young",Cleaned_Working_Sheet!$M640&lt;=54,"Middle-aged",Cleaned_Working_Sheet!$M640&gt;54,"Old")</f>
        <v>Old</v>
      </c>
      <c r="O640" s="18" t="s">
        <v>15</v>
      </c>
    </row>
    <row r="641" spans="1:15" x14ac:dyDescent="0.25">
      <c r="A641" s="14">
        <v>14507</v>
      </c>
      <c r="B641" s="18" t="s">
        <v>36</v>
      </c>
      <c r="C641" s="18" t="s">
        <v>39</v>
      </c>
      <c r="D641" s="6">
        <v>100000</v>
      </c>
      <c r="E641" s="18" t="str" cm="1">
        <f t="array" ref="E641">_xlfn.IFS(Cleaned_Working_Sheet!$D641&lt;=50000,"Low Income",Cleaned_Working_Sheet!$D641&lt;100000,"Middle Income",TRUE,"High Income")</f>
        <v>High Income</v>
      </c>
      <c r="F641" s="16">
        <v>2</v>
      </c>
      <c r="G641" s="18" t="s">
        <v>31</v>
      </c>
      <c r="H641" s="18" t="s">
        <v>28</v>
      </c>
      <c r="I641" s="18" t="s">
        <v>15</v>
      </c>
      <c r="J641" s="16">
        <v>3</v>
      </c>
      <c r="K641" s="18" t="s">
        <v>26</v>
      </c>
      <c r="L641" s="18" t="s">
        <v>32</v>
      </c>
      <c r="M641" s="14">
        <v>65</v>
      </c>
      <c r="N641" s="18" t="str" cm="1">
        <f t="array" ref="N641">_xlfn.IFS(Cleaned_Working_Sheet!$M641&lt;=34,"Young",Cleaned_Working_Sheet!$M641&lt;=54,"Middle-aged",Cleaned_Working_Sheet!$M641&gt;54,"Old")</f>
        <v>Old</v>
      </c>
      <c r="O641" s="18" t="s">
        <v>18</v>
      </c>
    </row>
    <row r="642" spans="1:15" x14ac:dyDescent="0.25">
      <c r="A642" s="14">
        <v>25886</v>
      </c>
      <c r="B642" s="18" t="s">
        <v>36</v>
      </c>
      <c r="C642" s="18" t="s">
        <v>38</v>
      </c>
      <c r="D642" s="6">
        <v>60000</v>
      </c>
      <c r="E642" s="18" t="str" cm="1">
        <f t="array" ref="E642">_xlfn.IFS(Cleaned_Working_Sheet!$D642&lt;=50000,"Low Income",Cleaned_Working_Sheet!$D642&lt;100000,"Middle Income",TRUE,"High Income")</f>
        <v>Middle Income</v>
      </c>
      <c r="F642" s="16">
        <v>2</v>
      </c>
      <c r="G642" s="18" t="s">
        <v>19</v>
      </c>
      <c r="H642" s="18" t="s">
        <v>21</v>
      </c>
      <c r="I642" s="18" t="s">
        <v>15</v>
      </c>
      <c r="J642" s="16">
        <v>2</v>
      </c>
      <c r="K642" s="18" t="s">
        <v>22</v>
      </c>
      <c r="L642" s="18" t="s">
        <v>32</v>
      </c>
      <c r="M642" s="14">
        <v>56</v>
      </c>
      <c r="N642" s="18" t="str" cm="1">
        <f t="array" ref="N642">_xlfn.IFS(Cleaned_Working_Sheet!$M642&lt;=34,"Young",Cleaned_Working_Sheet!$M642&lt;=54,"Middle-aged",Cleaned_Working_Sheet!$M642&gt;54,"Old")</f>
        <v>Old</v>
      </c>
      <c r="O642" s="18" t="s">
        <v>15</v>
      </c>
    </row>
    <row r="643" spans="1:15" x14ac:dyDescent="0.25">
      <c r="A643" s="14">
        <v>21441</v>
      </c>
      <c r="B643" s="18" t="s">
        <v>36</v>
      </c>
      <c r="C643" s="18" t="s">
        <v>39</v>
      </c>
      <c r="D643" s="6">
        <v>50000</v>
      </c>
      <c r="E643" s="18" t="str" cm="1">
        <f t="array" ref="E643">_xlfn.IFS(Cleaned_Working_Sheet!$D643&lt;=50000,"Low Income",Cleaned_Working_Sheet!$D643&lt;100000,"Middle Income",TRUE,"High Income")</f>
        <v>Low Income</v>
      </c>
      <c r="F643" s="16">
        <v>4</v>
      </c>
      <c r="G643" s="18" t="s">
        <v>13</v>
      </c>
      <c r="H643" s="18" t="s">
        <v>28</v>
      </c>
      <c r="I643" s="18" t="s">
        <v>15</v>
      </c>
      <c r="J643" s="16">
        <v>2</v>
      </c>
      <c r="K643" s="18" t="s">
        <v>43</v>
      </c>
      <c r="L643" s="18" t="s">
        <v>32</v>
      </c>
      <c r="M643" s="14">
        <v>64</v>
      </c>
      <c r="N643" s="18" t="str" cm="1">
        <f t="array" ref="N643">_xlfn.IFS(Cleaned_Working_Sheet!$M643&lt;=34,"Young",Cleaned_Working_Sheet!$M643&lt;=54,"Middle-aged",Cleaned_Working_Sheet!$M643&gt;54,"Old")</f>
        <v>Old</v>
      </c>
      <c r="O643" s="18" t="s">
        <v>18</v>
      </c>
    </row>
    <row r="644" spans="1:15" x14ac:dyDescent="0.25">
      <c r="A644" s="14">
        <v>21741</v>
      </c>
      <c r="B644" s="18" t="s">
        <v>36</v>
      </c>
      <c r="C644" s="18" t="s">
        <v>38</v>
      </c>
      <c r="D644" s="6">
        <v>70000</v>
      </c>
      <c r="E644" s="18" t="str" cm="1">
        <f t="array" ref="E644">_xlfn.IFS(Cleaned_Working_Sheet!$D644&lt;=50000,"Low Income",Cleaned_Working_Sheet!$D644&lt;100000,"Middle Income",TRUE,"High Income")</f>
        <v>Middle Income</v>
      </c>
      <c r="F644" s="16">
        <v>3</v>
      </c>
      <c r="G644" s="18" t="s">
        <v>19</v>
      </c>
      <c r="H644" s="18" t="s">
        <v>21</v>
      </c>
      <c r="I644" s="18" t="s">
        <v>15</v>
      </c>
      <c r="J644" s="16">
        <v>2</v>
      </c>
      <c r="K644" s="18" t="s">
        <v>23</v>
      </c>
      <c r="L644" s="18" t="s">
        <v>32</v>
      </c>
      <c r="M644" s="14">
        <v>50</v>
      </c>
      <c r="N644" s="18" t="str" cm="1">
        <f t="array" ref="N644">_xlfn.IFS(Cleaned_Working_Sheet!$M644&lt;=34,"Young",Cleaned_Working_Sheet!$M644&lt;=54,"Middle-aged",Cleaned_Working_Sheet!$M644&gt;54,"Old")</f>
        <v>Middle-aged</v>
      </c>
      <c r="O644" s="18" t="s">
        <v>15</v>
      </c>
    </row>
    <row r="645" spans="1:15" x14ac:dyDescent="0.25">
      <c r="A645" s="14">
        <v>14572</v>
      </c>
      <c r="B645" s="18" t="s">
        <v>36</v>
      </c>
      <c r="C645" s="18" t="s">
        <v>38</v>
      </c>
      <c r="D645" s="6">
        <v>70000</v>
      </c>
      <c r="E645" s="18" t="str" cm="1">
        <f t="array" ref="E645">_xlfn.IFS(Cleaned_Working_Sheet!$D645&lt;=50000,"Low Income",Cleaned_Working_Sheet!$D645&lt;100000,"Middle Income",TRUE,"High Income")</f>
        <v>Middle Income</v>
      </c>
      <c r="F645" s="16">
        <v>3</v>
      </c>
      <c r="G645" s="18" t="s">
        <v>31</v>
      </c>
      <c r="H645" s="18" t="s">
        <v>21</v>
      </c>
      <c r="I645" s="18" t="s">
        <v>15</v>
      </c>
      <c r="J645" s="16">
        <v>0</v>
      </c>
      <c r="K645" s="18" t="s">
        <v>22</v>
      </c>
      <c r="L645" s="18" t="s">
        <v>32</v>
      </c>
      <c r="M645" s="14">
        <v>35</v>
      </c>
      <c r="N645" s="18" t="str" cm="1">
        <f t="array" ref="N645">_xlfn.IFS(Cleaned_Working_Sheet!$M645&lt;=34,"Young",Cleaned_Working_Sheet!$M645&lt;=54,"Middle-aged",Cleaned_Working_Sheet!$M645&gt;54,"Old")</f>
        <v>Middle-aged</v>
      </c>
      <c r="O645" s="18" t="s">
        <v>15</v>
      </c>
    </row>
    <row r="646" spans="1:15" x14ac:dyDescent="0.25">
      <c r="A646" s="14">
        <v>23368</v>
      </c>
      <c r="B646" s="18" t="s">
        <v>36</v>
      </c>
      <c r="C646" s="18" t="s">
        <v>38</v>
      </c>
      <c r="D646" s="6">
        <v>60000</v>
      </c>
      <c r="E646" s="18" t="str" cm="1">
        <f t="array" ref="E646">_xlfn.IFS(Cleaned_Working_Sheet!$D646&lt;=50000,"Low Income",Cleaned_Working_Sheet!$D646&lt;100000,"Middle Income",TRUE,"High Income")</f>
        <v>Middle Income</v>
      </c>
      <c r="F646" s="16">
        <v>5</v>
      </c>
      <c r="G646" s="18" t="s">
        <v>13</v>
      </c>
      <c r="H646" s="18" t="s">
        <v>14</v>
      </c>
      <c r="I646" s="18" t="s">
        <v>15</v>
      </c>
      <c r="J646" s="16">
        <v>3</v>
      </c>
      <c r="K646" s="18" t="s">
        <v>43</v>
      </c>
      <c r="L646" s="18" t="s">
        <v>32</v>
      </c>
      <c r="M646" s="14">
        <v>41</v>
      </c>
      <c r="N646" s="18" t="str" cm="1">
        <f t="array" ref="N646">_xlfn.IFS(Cleaned_Working_Sheet!$M646&lt;=34,"Young",Cleaned_Working_Sheet!$M646&lt;=54,"Middle-aged",Cleaned_Working_Sheet!$M646&gt;54,"Old")</f>
        <v>Middle-aged</v>
      </c>
      <c r="O646" s="18" t="s">
        <v>18</v>
      </c>
    </row>
    <row r="647" spans="1:15" x14ac:dyDescent="0.25">
      <c r="A647" s="14">
        <v>16217</v>
      </c>
      <c r="B647" s="18" t="s">
        <v>37</v>
      </c>
      <c r="C647" s="18" t="s">
        <v>38</v>
      </c>
      <c r="D647" s="6">
        <v>60000</v>
      </c>
      <c r="E647" s="18" t="str" cm="1">
        <f t="array" ref="E647">_xlfn.IFS(Cleaned_Working_Sheet!$D647&lt;=50000,"Low Income",Cleaned_Working_Sheet!$D647&lt;100000,"Middle Income",TRUE,"High Income")</f>
        <v>Middle Income</v>
      </c>
      <c r="F647" s="16">
        <v>0</v>
      </c>
      <c r="G647" s="18" t="s">
        <v>31</v>
      </c>
      <c r="H647" s="18" t="s">
        <v>14</v>
      </c>
      <c r="I647" s="18" t="s">
        <v>15</v>
      </c>
      <c r="J647" s="16">
        <v>0</v>
      </c>
      <c r="K647" s="18" t="s">
        <v>16</v>
      </c>
      <c r="L647" s="18" t="s">
        <v>32</v>
      </c>
      <c r="M647" s="14">
        <v>39</v>
      </c>
      <c r="N647" s="18" t="str" cm="1">
        <f t="array" ref="N647">_xlfn.IFS(Cleaned_Working_Sheet!$M647&lt;=34,"Young",Cleaned_Working_Sheet!$M647&lt;=54,"Middle-aged",Cleaned_Working_Sheet!$M647&gt;54,"Old")</f>
        <v>Middle-aged</v>
      </c>
      <c r="O647" s="18" t="s">
        <v>18</v>
      </c>
    </row>
    <row r="648" spans="1:15" x14ac:dyDescent="0.25">
      <c r="A648" s="14">
        <v>16247</v>
      </c>
      <c r="B648" s="18" t="s">
        <v>37</v>
      </c>
      <c r="C648" s="18" t="s">
        <v>38</v>
      </c>
      <c r="D648" s="6">
        <v>60000</v>
      </c>
      <c r="E648" s="18" t="str" cm="1">
        <f t="array" ref="E648">_xlfn.IFS(Cleaned_Working_Sheet!$D648&lt;=50000,"Low Income",Cleaned_Working_Sheet!$D648&lt;100000,"Middle Income",TRUE,"High Income")</f>
        <v>Middle Income</v>
      </c>
      <c r="F648" s="16">
        <v>4</v>
      </c>
      <c r="G648" s="18" t="s">
        <v>31</v>
      </c>
      <c r="H648" s="18" t="s">
        <v>14</v>
      </c>
      <c r="I648" s="18" t="s">
        <v>18</v>
      </c>
      <c r="J648" s="16">
        <v>0</v>
      </c>
      <c r="K648" s="18" t="s">
        <v>26</v>
      </c>
      <c r="L648" s="18" t="s">
        <v>32</v>
      </c>
      <c r="M648" s="14">
        <v>47</v>
      </c>
      <c r="N648" s="18" t="str" cm="1">
        <f t="array" ref="N648">_xlfn.IFS(Cleaned_Working_Sheet!$M648&lt;=34,"Young",Cleaned_Working_Sheet!$M648&lt;=54,"Middle-aged",Cleaned_Working_Sheet!$M648&gt;54,"Old")</f>
        <v>Middle-aged</v>
      </c>
      <c r="O648" s="18" t="s">
        <v>18</v>
      </c>
    </row>
    <row r="649" spans="1:15" x14ac:dyDescent="0.25">
      <c r="A649" s="14">
        <v>22010</v>
      </c>
      <c r="B649" s="18" t="s">
        <v>37</v>
      </c>
      <c r="C649" s="18" t="s">
        <v>39</v>
      </c>
      <c r="D649" s="6">
        <v>40000</v>
      </c>
      <c r="E649" s="18" t="str" cm="1">
        <f t="array" ref="E649">_xlfn.IFS(Cleaned_Working_Sheet!$D649&lt;=50000,"Low Income",Cleaned_Working_Sheet!$D649&lt;100000,"Middle Income",TRUE,"High Income")</f>
        <v>Low Income</v>
      </c>
      <c r="F649" s="16">
        <v>0</v>
      </c>
      <c r="G649" s="18" t="s">
        <v>27</v>
      </c>
      <c r="H649" s="18" t="s">
        <v>14</v>
      </c>
      <c r="I649" s="18" t="s">
        <v>15</v>
      </c>
      <c r="J649" s="16">
        <v>2</v>
      </c>
      <c r="K649" s="18" t="s">
        <v>23</v>
      </c>
      <c r="L649" s="18" t="s">
        <v>32</v>
      </c>
      <c r="M649" s="14">
        <v>31</v>
      </c>
      <c r="N649" s="18" t="str" cm="1">
        <f t="array" ref="N649">_xlfn.IFS(Cleaned_Working_Sheet!$M649&lt;=34,"Young",Cleaned_Working_Sheet!$M649&lt;=54,"Middle-aged",Cleaned_Working_Sheet!$M649&gt;54,"Old")</f>
        <v>Young</v>
      </c>
      <c r="O649" s="18" t="s">
        <v>18</v>
      </c>
    </row>
    <row r="650" spans="1:15" x14ac:dyDescent="0.25">
      <c r="A650" s="14">
        <v>25872</v>
      </c>
      <c r="B650" s="18" t="s">
        <v>37</v>
      </c>
      <c r="C650" s="18" t="s">
        <v>38</v>
      </c>
      <c r="D650" s="6">
        <v>70000</v>
      </c>
      <c r="E650" s="18" t="str" cm="1">
        <f t="array" ref="E650">_xlfn.IFS(Cleaned_Working_Sheet!$D650&lt;=50000,"Low Income",Cleaned_Working_Sheet!$D650&lt;100000,"Middle Income",TRUE,"High Income")</f>
        <v>Middle Income</v>
      </c>
      <c r="F650" s="16">
        <v>2</v>
      </c>
      <c r="G650" s="18" t="s">
        <v>13</v>
      </c>
      <c r="H650" s="18" t="s">
        <v>28</v>
      </c>
      <c r="I650" s="18" t="s">
        <v>18</v>
      </c>
      <c r="J650" s="16">
        <v>1</v>
      </c>
      <c r="K650" s="18" t="s">
        <v>22</v>
      </c>
      <c r="L650" s="18" t="s">
        <v>32</v>
      </c>
      <c r="M650" s="14">
        <v>58</v>
      </c>
      <c r="N650" s="18" t="str" cm="1">
        <f t="array" ref="N650">_xlfn.IFS(Cleaned_Working_Sheet!$M650&lt;=34,"Young",Cleaned_Working_Sheet!$M650&lt;=54,"Middle-aged",Cleaned_Working_Sheet!$M650&gt;54,"Old")</f>
        <v>Old</v>
      </c>
      <c r="O650" s="18" t="s">
        <v>15</v>
      </c>
    </row>
    <row r="651" spans="1:15" x14ac:dyDescent="0.25">
      <c r="A651" s="14">
        <v>19164</v>
      </c>
      <c r="B651" s="18" t="s">
        <v>37</v>
      </c>
      <c r="C651" s="18" t="s">
        <v>38</v>
      </c>
      <c r="D651" s="6">
        <v>70000</v>
      </c>
      <c r="E651" s="18" t="str" cm="1">
        <f t="array" ref="E651">_xlfn.IFS(Cleaned_Working_Sheet!$D651&lt;=50000,"Low Income",Cleaned_Working_Sheet!$D651&lt;100000,"Middle Income",TRUE,"High Income")</f>
        <v>Middle Income</v>
      </c>
      <c r="F651" s="16">
        <v>0</v>
      </c>
      <c r="G651" s="18" t="s">
        <v>13</v>
      </c>
      <c r="H651" s="18" t="s">
        <v>21</v>
      </c>
      <c r="I651" s="18" t="s">
        <v>18</v>
      </c>
      <c r="J651" s="16">
        <v>1</v>
      </c>
      <c r="K651" s="18" t="s">
        <v>22</v>
      </c>
      <c r="L651" s="18" t="s">
        <v>32</v>
      </c>
      <c r="M651" s="14">
        <v>38</v>
      </c>
      <c r="N651" s="18" t="str" cm="1">
        <f t="array" ref="N651">_xlfn.IFS(Cleaned_Working_Sheet!$M651&lt;=34,"Young",Cleaned_Working_Sheet!$M651&lt;=54,"Middle-aged",Cleaned_Working_Sheet!$M651&gt;54,"Old")</f>
        <v>Middle-aged</v>
      </c>
      <c r="O651" s="18" t="s">
        <v>15</v>
      </c>
    </row>
    <row r="652" spans="1:15" x14ac:dyDescent="0.25">
      <c r="A652" s="14">
        <v>18435</v>
      </c>
      <c r="B652" s="18" t="s">
        <v>37</v>
      </c>
      <c r="C652" s="18" t="s">
        <v>38</v>
      </c>
      <c r="D652" s="6">
        <v>70000</v>
      </c>
      <c r="E652" s="18" t="str" cm="1">
        <f t="array" ref="E652">_xlfn.IFS(Cleaned_Working_Sheet!$D652&lt;=50000,"Low Income",Cleaned_Working_Sheet!$D652&lt;100000,"Middle Income",TRUE,"High Income")</f>
        <v>Middle Income</v>
      </c>
      <c r="F652" s="16">
        <v>5</v>
      </c>
      <c r="G652" s="18" t="s">
        <v>31</v>
      </c>
      <c r="H652" s="18" t="s">
        <v>28</v>
      </c>
      <c r="I652" s="18" t="s">
        <v>15</v>
      </c>
      <c r="J652" s="16">
        <v>2</v>
      </c>
      <c r="K652" s="18" t="s">
        <v>43</v>
      </c>
      <c r="L652" s="18" t="s">
        <v>32</v>
      </c>
      <c r="M652" s="14">
        <v>67</v>
      </c>
      <c r="N652" s="18" t="str" cm="1">
        <f t="array" ref="N652">_xlfn.IFS(Cleaned_Working_Sheet!$M652&lt;=34,"Young",Cleaned_Working_Sheet!$M652&lt;=54,"Middle-aged",Cleaned_Working_Sheet!$M652&gt;54,"Old")</f>
        <v>Old</v>
      </c>
      <c r="O652" s="18" t="s">
        <v>15</v>
      </c>
    </row>
    <row r="653" spans="1:15" x14ac:dyDescent="0.25">
      <c r="A653" s="14">
        <v>14284</v>
      </c>
      <c r="B653" s="18" t="s">
        <v>37</v>
      </c>
      <c r="C653" s="18" t="s">
        <v>39</v>
      </c>
      <c r="D653" s="6">
        <v>60000</v>
      </c>
      <c r="E653" s="18" t="str" cm="1">
        <f t="array" ref="E653">_xlfn.IFS(Cleaned_Working_Sheet!$D653&lt;=50000,"Low Income",Cleaned_Working_Sheet!$D653&lt;100000,"Middle Income",TRUE,"High Income")</f>
        <v>Middle Income</v>
      </c>
      <c r="F653" s="16">
        <v>0</v>
      </c>
      <c r="G653" s="18" t="s">
        <v>19</v>
      </c>
      <c r="H653" s="18" t="s">
        <v>21</v>
      </c>
      <c r="I653" s="18" t="s">
        <v>18</v>
      </c>
      <c r="J653" s="16">
        <v>2</v>
      </c>
      <c r="K653" s="18" t="s">
        <v>26</v>
      </c>
      <c r="L653" s="18" t="s">
        <v>32</v>
      </c>
      <c r="M653" s="14">
        <v>32</v>
      </c>
      <c r="N653" s="18" t="str" cm="1">
        <f t="array" ref="N653">_xlfn.IFS(Cleaned_Working_Sheet!$M653&lt;=34,"Young",Cleaned_Working_Sheet!$M653&lt;=54,"Middle-aged",Cleaned_Working_Sheet!$M653&gt;54,"Old")</f>
        <v>Young</v>
      </c>
      <c r="O653" s="18" t="s">
        <v>15</v>
      </c>
    </row>
    <row r="654" spans="1:15" x14ac:dyDescent="0.25">
      <c r="A654" s="14">
        <v>11287</v>
      </c>
      <c r="B654" s="18" t="s">
        <v>36</v>
      </c>
      <c r="C654" s="18" t="s">
        <v>39</v>
      </c>
      <c r="D654" s="6">
        <v>70000</v>
      </c>
      <c r="E654" s="18" t="str" cm="1">
        <f t="array" ref="E654">_xlfn.IFS(Cleaned_Working_Sheet!$D654&lt;=50000,"Low Income",Cleaned_Working_Sheet!$D654&lt;100000,"Middle Income",TRUE,"High Income")</f>
        <v>Middle Income</v>
      </c>
      <c r="F654" s="16">
        <v>5</v>
      </c>
      <c r="G654" s="18" t="s">
        <v>19</v>
      </c>
      <c r="H654" s="18" t="s">
        <v>21</v>
      </c>
      <c r="I654" s="18" t="s">
        <v>18</v>
      </c>
      <c r="J654" s="16">
        <v>3</v>
      </c>
      <c r="K654" s="18" t="s">
        <v>23</v>
      </c>
      <c r="L654" s="18" t="s">
        <v>32</v>
      </c>
      <c r="M654" s="14">
        <v>45</v>
      </c>
      <c r="N654" s="18" t="str" cm="1">
        <f t="array" ref="N654">_xlfn.IFS(Cleaned_Working_Sheet!$M654&lt;=34,"Young",Cleaned_Working_Sheet!$M654&lt;=54,"Middle-aged",Cleaned_Working_Sheet!$M654&gt;54,"Old")</f>
        <v>Middle-aged</v>
      </c>
      <c r="O654" s="18" t="s">
        <v>18</v>
      </c>
    </row>
    <row r="655" spans="1:15" x14ac:dyDescent="0.25">
      <c r="A655" s="14">
        <v>13066</v>
      </c>
      <c r="B655" s="18" t="s">
        <v>37</v>
      </c>
      <c r="C655" s="18" t="s">
        <v>39</v>
      </c>
      <c r="D655" s="6">
        <v>30000</v>
      </c>
      <c r="E655" s="18" t="str" cm="1">
        <f t="array" ref="E655">_xlfn.IFS(Cleaned_Working_Sheet!$D655&lt;=50000,"Low Income",Cleaned_Working_Sheet!$D655&lt;100000,"Middle Income",TRUE,"High Income")</f>
        <v>Low Income</v>
      </c>
      <c r="F655" s="16">
        <v>0</v>
      </c>
      <c r="G655" s="18" t="s">
        <v>27</v>
      </c>
      <c r="H655" s="18" t="s">
        <v>14</v>
      </c>
      <c r="I655" s="18" t="s">
        <v>18</v>
      </c>
      <c r="J655" s="16">
        <v>2</v>
      </c>
      <c r="K655" s="18" t="s">
        <v>26</v>
      </c>
      <c r="L655" s="18" t="s">
        <v>32</v>
      </c>
      <c r="M655" s="14">
        <v>31</v>
      </c>
      <c r="N655" s="18" t="str" cm="1">
        <f t="array" ref="N655">_xlfn.IFS(Cleaned_Working_Sheet!$M655&lt;=34,"Young",Cleaned_Working_Sheet!$M655&lt;=54,"Middle-aged",Cleaned_Working_Sheet!$M655&gt;54,"Old")</f>
        <v>Young</v>
      </c>
      <c r="O655" s="18" t="s">
        <v>15</v>
      </c>
    </row>
    <row r="656" spans="1:15" x14ac:dyDescent="0.25">
      <c r="A656" s="14">
        <v>29106</v>
      </c>
      <c r="B656" s="18" t="s">
        <v>37</v>
      </c>
      <c r="C656" s="18" t="s">
        <v>39</v>
      </c>
      <c r="D656" s="6">
        <v>40000</v>
      </c>
      <c r="E656" s="18" t="str" cm="1">
        <f t="array" ref="E656">_xlfn.IFS(Cleaned_Working_Sheet!$D656&lt;=50000,"Low Income",Cleaned_Working_Sheet!$D656&lt;100000,"Middle Income",TRUE,"High Income")</f>
        <v>Low Income</v>
      </c>
      <c r="F656" s="16">
        <v>0</v>
      </c>
      <c r="G656" s="18" t="s">
        <v>27</v>
      </c>
      <c r="H656" s="18" t="s">
        <v>14</v>
      </c>
      <c r="I656" s="18" t="s">
        <v>18</v>
      </c>
      <c r="J656" s="16">
        <v>2</v>
      </c>
      <c r="K656" s="18" t="s">
        <v>26</v>
      </c>
      <c r="L656" s="18" t="s">
        <v>32</v>
      </c>
      <c r="M656" s="14">
        <v>31</v>
      </c>
      <c r="N656" s="18" t="str" cm="1">
        <f t="array" ref="N656">_xlfn.IFS(Cleaned_Working_Sheet!$M656&lt;=34,"Young",Cleaned_Working_Sheet!$M656&lt;=54,"Middle-aged",Cleaned_Working_Sheet!$M656&gt;54,"Old")</f>
        <v>Young</v>
      </c>
      <c r="O656" s="18" t="s">
        <v>15</v>
      </c>
    </row>
    <row r="657" spans="1:15" x14ac:dyDescent="0.25">
      <c r="A657" s="14">
        <v>26236</v>
      </c>
      <c r="B657" s="18" t="s">
        <v>36</v>
      </c>
      <c r="C657" s="18" t="s">
        <v>38</v>
      </c>
      <c r="D657" s="6">
        <v>40000</v>
      </c>
      <c r="E657" s="18" t="str" cm="1">
        <f t="array" ref="E657">_xlfn.IFS(Cleaned_Working_Sheet!$D657&lt;=50000,"Low Income",Cleaned_Working_Sheet!$D657&lt;100000,"Middle Income",TRUE,"High Income")</f>
        <v>Low Income</v>
      </c>
      <c r="F657" s="16">
        <v>3</v>
      </c>
      <c r="G657" s="18" t="s">
        <v>19</v>
      </c>
      <c r="H657" s="18" t="s">
        <v>20</v>
      </c>
      <c r="I657" s="18" t="s">
        <v>15</v>
      </c>
      <c r="J657" s="16">
        <v>1</v>
      </c>
      <c r="K657" s="18" t="s">
        <v>16</v>
      </c>
      <c r="L657" s="18" t="s">
        <v>32</v>
      </c>
      <c r="M657" s="14">
        <v>31</v>
      </c>
      <c r="N657" s="18" t="str" cm="1">
        <f t="array" ref="N657">_xlfn.IFS(Cleaned_Working_Sheet!$M657&lt;=34,"Young",Cleaned_Working_Sheet!$M657&lt;=54,"Middle-aged",Cleaned_Working_Sheet!$M657&gt;54,"Old")</f>
        <v>Young</v>
      </c>
      <c r="O657" s="18" t="s">
        <v>18</v>
      </c>
    </row>
    <row r="658" spans="1:15" x14ac:dyDescent="0.25">
      <c r="A658" s="14">
        <v>17531</v>
      </c>
      <c r="B658" s="18" t="s">
        <v>36</v>
      </c>
      <c r="C658" s="18" t="s">
        <v>39</v>
      </c>
      <c r="D658" s="6">
        <v>60000</v>
      </c>
      <c r="E658" s="18" t="str" cm="1">
        <f t="array" ref="E658">_xlfn.IFS(Cleaned_Working_Sheet!$D658&lt;=50000,"Low Income",Cleaned_Working_Sheet!$D658&lt;100000,"Middle Income",TRUE,"High Income")</f>
        <v>Middle Income</v>
      </c>
      <c r="F658" s="16">
        <v>2</v>
      </c>
      <c r="G658" s="18" t="s">
        <v>27</v>
      </c>
      <c r="H658" s="18" t="s">
        <v>21</v>
      </c>
      <c r="I658" s="18" t="s">
        <v>18</v>
      </c>
      <c r="J658" s="16">
        <v>2</v>
      </c>
      <c r="K658" s="18" t="s">
        <v>23</v>
      </c>
      <c r="L658" s="18" t="s">
        <v>32</v>
      </c>
      <c r="M658" s="14">
        <v>50</v>
      </c>
      <c r="N658" s="18" t="str" cm="1">
        <f t="array" ref="N658">_xlfn.IFS(Cleaned_Working_Sheet!$M658&lt;=34,"Young",Cleaned_Working_Sheet!$M658&lt;=54,"Middle-aged",Cleaned_Working_Sheet!$M658&gt;54,"Old")</f>
        <v>Middle-aged</v>
      </c>
      <c r="O658" s="18" t="s">
        <v>18</v>
      </c>
    </row>
    <row r="659" spans="1:15" x14ac:dyDescent="0.25">
      <c r="A659" s="14">
        <v>12964</v>
      </c>
      <c r="B659" s="18" t="s">
        <v>36</v>
      </c>
      <c r="C659" s="18" t="s">
        <v>39</v>
      </c>
      <c r="D659" s="6">
        <v>70000</v>
      </c>
      <c r="E659" s="18" t="str" cm="1">
        <f t="array" ref="E659">_xlfn.IFS(Cleaned_Working_Sheet!$D659&lt;=50000,"Low Income",Cleaned_Working_Sheet!$D659&lt;100000,"Middle Income",TRUE,"High Income")</f>
        <v>Middle Income</v>
      </c>
      <c r="F659" s="16">
        <v>1</v>
      </c>
      <c r="G659" s="18" t="s">
        <v>19</v>
      </c>
      <c r="H659" s="18" t="s">
        <v>14</v>
      </c>
      <c r="I659" s="18" t="s">
        <v>15</v>
      </c>
      <c r="J659" s="16">
        <v>1</v>
      </c>
      <c r="K659" s="18" t="s">
        <v>16</v>
      </c>
      <c r="L659" s="18" t="s">
        <v>32</v>
      </c>
      <c r="M659" s="14">
        <v>44</v>
      </c>
      <c r="N659" s="18" t="str" cm="1">
        <f t="array" ref="N659">_xlfn.IFS(Cleaned_Working_Sheet!$M659&lt;=34,"Young",Cleaned_Working_Sheet!$M659&lt;=54,"Middle-aged",Cleaned_Working_Sheet!$M659&gt;54,"Old")</f>
        <v>Middle-aged</v>
      </c>
      <c r="O659" s="18" t="s">
        <v>18</v>
      </c>
    </row>
    <row r="660" spans="1:15" x14ac:dyDescent="0.25">
      <c r="A660" s="14">
        <v>19133</v>
      </c>
      <c r="B660" s="18" t="s">
        <v>37</v>
      </c>
      <c r="C660" s="18" t="s">
        <v>39</v>
      </c>
      <c r="D660" s="6">
        <v>50000</v>
      </c>
      <c r="E660" s="18" t="str" cm="1">
        <f t="array" ref="E660">_xlfn.IFS(Cleaned_Working_Sheet!$D660&lt;=50000,"Low Income",Cleaned_Working_Sheet!$D660&lt;100000,"Middle Income",TRUE,"High Income")</f>
        <v>Low Income</v>
      </c>
      <c r="F660" s="16">
        <v>2</v>
      </c>
      <c r="G660" s="18" t="s">
        <v>13</v>
      </c>
      <c r="H660" s="18" t="s">
        <v>14</v>
      </c>
      <c r="I660" s="18" t="s">
        <v>15</v>
      </c>
      <c r="J660" s="16">
        <v>1</v>
      </c>
      <c r="K660" s="18" t="s">
        <v>22</v>
      </c>
      <c r="L660" s="18" t="s">
        <v>32</v>
      </c>
      <c r="M660" s="14">
        <v>38</v>
      </c>
      <c r="N660" s="18" t="str" cm="1">
        <f t="array" ref="N660">_xlfn.IFS(Cleaned_Working_Sheet!$M660&lt;=34,"Young",Cleaned_Working_Sheet!$M660&lt;=54,"Middle-aged",Cleaned_Working_Sheet!$M660&gt;54,"Old")</f>
        <v>Middle-aged</v>
      </c>
      <c r="O660" s="18" t="s">
        <v>15</v>
      </c>
    </row>
    <row r="661" spans="1:15" x14ac:dyDescent="0.25">
      <c r="A661" s="14">
        <v>24643</v>
      </c>
      <c r="B661" s="18" t="s">
        <v>37</v>
      </c>
      <c r="C661" s="18" t="s">
        <v>38</v>
      </c>
      <c r="D661" s="6">
        <v>60000</v>
      </c>
      <c r="E661" s="18" t="str" cm="1">
        <f t="array" ref="E661">_xlfn.IFS(Cleaned_Working_Sheet!$D661&lt;=50000,"Low Income",Cleaned_Working_Sheet!$D661&lt;100000,"Middle Income",TRUE,"High Income")</f>
        <v>Middle Income</v>
      </c>
      <c r="F661" s="16">
        <v>4</v>
      </c>
      <c r="G661" s="18" t="s">
        <v>13</v>
      </c>
      <c r="H661" s="18" t="s">
        <v>28</v>
      </c>
      <c r="I661" s="18" t="s">
        <v>15</v>
      </c>
      <c r="J661" s="16">
        <v>2</v>
      </c>
      <c r="K661" s="18" t="s">
        <v>43</v>
      </c>
      <c r="L661" s="18" t="s">
        <v>32</v>
      </c>
      <c r="M661" s="14">
        <v>63</v>
      </c>
      <c r="N661" s="18" t="str" cm="1">
        <f t="array" ref="N661">_xlfn.IFS(Cleaned_Working_Sheet!$M661&lt;=34,"Young",Cleaned_Working_Sheet!$M661&lt;=54,"Middle-aged",Cleaned_Working_Sheet!$M661&gt;54,"Old")</f>
        <v>Old</v>
      </c>
      <c r="O661" s="18" t="s">
        <v>18</v>
      </c>
    </row>
    <row r="662" spans="1:15" x14ac:dyDescent="0.25">
      <c r="A662" s="14">
        <v>21599</v>
      </c>
      <c r="B662" s="18" t="s">
        <v>36</v>
      </c>
      <c r="C662" s="18" t="s">
        <v>38</v>
      </c>
      <c r="D662" s="6">
        <v>60000</v>
      </c>
      <c r="E662" s="18" t="str" cm="1">
        <f t="array" ref="E662">_xlfn.IFS(Cleaned_Working_Sheet!$D662&lt;=50000,"Low Income",Cleaned_Working_Sheet!$D662&lt;100000,"Middle Income",TRUE,"High Income")</f>
        <v>Middle Income</v>
      </c>
      <c r="F662" s="16">
        <v>1</v>
      </c>
      <c r="G662" s="18" t="s">
        <v>31</v>
      </c>
      <c r="H662" s="18" t="s">
        <v>21</v>
      </c>
      <c r="I662" s="18" t="s">
        <v>15</v>
      </c>
      <c r="J662" s="16">
        <v>0</v>
      </c>
      <c r="K662" s="18" t="s">
        <v>22</v>
      </c>
      <c r="L662" s="18" t="s">
        <v>32</v>
      </c>
      <c r="M662" s="14">
        <v>36</v>
      </c>
      <c r="N662" s="18" t="str" cm="1">
        <f t="array" ref="N662">_xlfn.IFS(Cleaned_Working_Sheet!$M662&lt;=34,"Young",Cleaned_Working_Sheet!$M662&lt;=54,"Middle-aged",Cleaned_Working_Sheet!$M662&gt;54,"Old")</f>
        <v>Middle-aged</v>
      </c>
      <c r="O662" s="18" t="s">
        <v>15</v>
      </c>
    </row>
    <row r="663" spans="1:15" x14ac:dyDescent="0.25">
      <c r="A663" s="14">
        <v>22976</v>
      </c>
      <c r="B663" s="18" t="s">
        <v>37</v>
      </c>
      <c r="C663" s="18" t="s">
        <v>39</v>
      </c>
      <c r="D663" s="6">
        <v>40000</v>
      </c>
      <c r="E663" s="18" t="str" cm="1">
        <f t="array" ref="E663">_xlfn.IFS(Cleaned_Working_Sheet!$D663&lt;=50000,"Low Income",Cleaned_Working_Sheet!$D663&lt;100000,"Middle Income",TRUE,"High Income")</f>
        <v>Low Income</v>
      </c>
      <c r="F663" s="16">
        <v>0</v>
      </c>
      <c r="G663" s="18" t="s">
        <v>27</v>
      </c>
      <c r="H663" s="18" t="s">
        <v>14</v>
      </c>
      <c r="I663" s="18" t="s">
        <v>18</v>
      </c>
      <c r="J663" s="16">
        <v>2</v>
      </c>
      <c r="K663" s="18" t="s">
        <v>16</v>
      </c>
      <c r="L663" s="18" t="s">
        <v>32</v>
      </c>
      <c r="M663" s="14">
        <v>28</v>
      </c>
      <c r="N663" s="18" t="str" cm="1">
        <f t="array" ref="N663">_xlfn.IFS(Cleaned_Working_Sheet!$M663&lt;=34,"Young",Cleaned_Working_Sheet!$M663&lt;=54,"Middle-aged",Cleaned_Working_Sheet!$M663&gt;54,"Old")</f>
        <v>Young</v>
      </c>
      <c r="O663" s="18" t="s">
        <v>15</v>
      </c>
    </row>
    <row r="664" spans="1:15" x14ac:dyDescent="0.25">
      <c r="A664" s="14">
        <v>27637</v>
      </c>
      <c r="B664" s="18" t="s">
        <v>37</v>
      </c>
      <c r="C664" s="18" t="s">
        <v>38</v>
      </c>
      <c r="D664" s="6">
        <v>100000</v>
      </c>
      <c r="E664" s="18" t="str" cm="1">
        <f t="array" ref="E664">_xlfn.IFS(Cleaned_Working_Sheet!$D664&lt;=50000,"Low Income",Cleaned_Working_Sheet!$D664&lt;100000,"Middle Income",TRUE,"High Income")</f>
        <v>High Income</v>
      </c>
      <c r="F664" s="16">
        <v>1</v>
      </c>
      <c r="G664" s="18" t="s">
        <v>19</v>
      </c>
      <c r="H664" s="18" t="s">
        <v>21</v>
      </c>
      <c r="I664" s="18" t="s">
        <v>18</v>
      </c>
      <c r="J664" s="16">
        <v>3</v>
      </c>
      <c r="K664" s="18" t="s">
        <v>26</v>
      </c>
      <c r="L664" s="18" t="s">
        <v>32</v>
      </c>
      <c r="M664" s="14">
        <v>44</v>
      </c>
      <c r="N664" s="18" t="str" cm="1">
        <f t="array" ref="N664">_xlfn.IFS(Cleaned_Working_Sheet!$M664&lt;=34,"Young",Cleaned_Working_Sheet!$M664&lt;=54,"Middle-aged",Cleaned_Working_Sheet!$M664&gt;54,"Old")</f>
        <v>Middle-aged</v>
      </c>
      <c r="O664" s="18" t="s">
        <v>18</v>
      </c>
    </row>
    <row r="665" spans="1:15" x14ac:dyDescent="0.25">
      <c r="A665" s="14">
        <v>11890</v>
      </c>
      <c r="B665" s="18" t="s">
        <v>36</v>
      </c>
      <c r="C665" s="18" t="s">
        <v>38</v>
      </c>
      <c r="D665" s="6">
        <v>70000</v>
      </c>
      <c r="E665" s="18" t="str" cm="1">
        <f t="array" ref="E665">_xlfn.IFS(Cleaned_Working_Sheet!$D665&lt;=50000,"Low Income",Cleaned_Working_Sheet!$D665&lt;100000,"Middle Income",TRUE,"High Income")</f>
        <v>Middle Income</v>
      </c>
      <c r="F665" s="16">
        <v>5</v>
      </c>
      <c r="G665" s="18" t="s">
        <v>31</v>
      </c>
      <c r="H665" s="18" t="s">
        <v>21</v>
      </c>
      <c r="I665" s="18" t="s">
        <v>15</v>
      </c>
      <c r="J665" s="16">
        <v>1</v>
      </c>
      <c r="K665" s="18" t="s">
        <v>16</v>
      </c>
      <c r="L665" s="18" t="s">
        <v>32</v>
      </c>
      <c r="M665" s="14">
        <v>47</v>
      </c>
      <c r="N665" s="18" t="str" cm="1">
        <f t="array" ref="N665">_xlfn.IFS(Cleaned_Working_Sheet!$M665&lt;=34,"Young",Cleaned_Working_Sheet!$M665&lt;=54,"Middle-aged",Cleaned_Working_Sheet!$M665&gt;54,"Old")</f>
        <v>Middle-aged</v>
      </c>
      <c r="O665" s="18" t="s">
        <v>18</v>
      </c>
    </row>
    <row r="666" spans="1:15" x14ac:dyDescent="0.25">
      <c r="A666" s="14">
        <v>28580</v>
      </c>
      <c r="B666" s="18" t="s">
        <v>36</v>
      </c>
      <c r="C666" s="18" t="s">
        <v>38</v>
      </c>
      <c r="D666" s="6">
        <v>80000</v>
      </c>
      <c r="E666" s="18" t="str" cm="1">
        <f t="array" ref="E666">_xlfn.IFS(Cleaned_Working_Sheet!$D666&lt;=50000,"Low Income",Cleaned_Working_Sheet!$D666&lt;100000,"Middle Income",TRUE,"High Income")</f>
        <v>Middle Income</v>
      </c>
      <c r="F666" s="16">
        <v>0</v>
      </c>
      <c r="G666" s="18" t="s">
        <v>31</v>
      </c>
      <c r="H666" s="18" t="s">
        <v>14</v>
      </c>
      <c r="I666" s="18" t="s">
        <v>15</v>
      </c>
      <c r="J666" s="16">
        <v>0</v>
      </c>
      <c r="K666" s="18" t="s">
        <v>26</v>
      </c>
      <c r="L666" s="18" t="s">
        <v>32</v>
      </c>
      <c r="M666" s="14">
        <v>40</v>
      </c>
      <c r="N666" s="18" t="str" cm="1">
        <f t="array" ref="N666">_xlfn.IFS(Cleaned_Working_Sheet!$M666&lt;=34,"Young",Cleaned_Working_Sheet!$M666&lt;=54,"Middle-aged",Cleaned_Working_Sheet!$M666&gt;54,"Old")</f>
        <v>Middle-aged</v>
      </c>
      <c r="O666" s="18" t="s">
        <v>15</v>
      </c>
    </row>
    <row r="667" spans="1:15" x14ac:dyDescent="0.25">
      <c r="A667" s="14">
        <v>14443</v>
      </c>
      <c r="B667" s="18" t="s">
        <v>36</v>
      </c>
      <c r="C667" s="18" t="s">
        <v>39</v>
      </c>
      <c r="D667" s="6">
        <v>130000</v>
      </c>
      <c r="E667" s="18" t="str" cm="1">
        <f t="array" ref="E667">_xlfn.IFS(Cleaned_Working_Sheet!$D667&lt;=50000,"Low Income",Cleaned_Working_Sheet!$D667&lt;100000,"Middle Income",TRUE,"High Income")</f>
        <v>High Income</v>
      </c>
      <c r="F667" s="16">
        <v>1</v>
      </c>
      <c r="G667" s="18" t="s">
        <v>31</v>
      </c>
      <c r="H667" s="18" t="s">
        <v>28</v>
      </c>
      <c r="I667" s="18" t="s">
        <v>15</v>
      </c>
      <c r="J667" s="16">
        <v>4</v>
      </c>
      <c r="K667" s="18" t="s">
        <v>16</v>
      </c>
      <c r="L667" s="18" t="s">
        <v>32</v>
      </c>
      <c r="M667" s="14">
        <v>40</v>
      </c>
      <c r="N667" s="18" t="str" cm="1">
        <f t="array" ref="N667">_xlfn.IFS(Cleaned_Working_Sheet!$M667&lt;=34,"Young",Cleaned_Working_Sheet!$M667&lt;=54,"Middle-aged",Cleaned_Working_Sheet!$M667&gt;54,"Old")</f>
        <v>Middle-aged</v>
      </c>
      <c r="O667" s="18" t="s">
        <v>18</v>
      </c>
    </row>
    <row r="668" spans="1:15" x14ac:dyDescent="0.25">
      <c r="A668" s="14">
        <v>17864</v>
      </c>
      <c r="B668" s="18" t="s">
        <v>36</v>
      </c>
      <c r="C668" s="18" t="s">
        <v>38</v>
      </c>
      <c r="D668" s="6">
        <v>60000</v>
      </c>
      <c r="E668" s="18" t="str" cm="1">
        <f t="array" ref="E668">_xlfn.IFS(Cleaned_Working_Sheet!$D668&lt;=50000,"Low Income",Cleaned_Working_Sheet!$D668&lt;100000,"Middle Income",TRUE,"High Income")</f>
        <v>Middle Income</v>
      </c>
      <c r="F668" s="16">
        <v>1</v>
      </c>
      <c r="G668" s="18" t="s">
        <v>19</v>
      </c>
      <c r="H668" s="18" t="s">
        <v>14</v>
      </c>
      <c r="I668" s="18" t="s">
        <v>15</v>
      </c>
      <c r="J668" s="16">
        <v>1</v>
      </c>
      <c r="K668" s="18" t="s">
        <v>22</v>
      </c>
      <c r="L668" s="18" t="s">
        <v>32</v>
      </c>
      <c r="M668" s="14">
        <v>46</v>
      </c>
      <c r="N668" s="18" t="str" cm="1">
        <f t="array" ref="N668">_xlfn.IFS(Cleaned_Working_Sheet!$M668&lt;=34,"Young",Cleaned_Working_Sheet!$M668&lt;=54,"Middle-aged",Cleaned_Working_Sheet!$M668&gt;54,"Old")</f>
        <v>Middle-aged</v>
      </c>
      <c r="O668" s="18" t="s">
        <v>15</v>
      </c>
    </row>
    <row r="669" spans="1:15" x14ac:dyDescent="0.25">
      <c r="A669" s="14">
        <v>20505</v>
      </c>
      <c r="B669" s="18" t="s">
        <v>36</v>
      </c>
      <c r="C669" s="18" t="s">
        <v>38</v>
      </c>
      <c r="D669" s="6">
        <v>40000</v>
      </c>
      <c r="E669" s="18" t="str" cm="1">
        <f t="array" ref="E669">_xlfn.IFS(Cleaned_Working_Sheet!$D669&lt;=50000,"Low Income",Cleaned_Working_Sheet!$D669&lt;100000,"Middle Income",TRUE,"High Income")</f>
        <v>Low Income</v>
      </c>
      <c r="F669" s="16">
        <v>5</v>
      </c>
      <c r="G669" s="18" t="s">
        <v>27</v>
      </c>
      <c r="H669" s="18" t="s">
        <v>21</v>
      </c>
      <c r="I669" s="18" t="s">
        <v>18</v>
      </c>
      <c r="J669" s="16">
        <v>2</v>
      </c>
      <c r="K669" s="18" t="s">
        <v>43</v>
      </c>
      <c r="L669" s="18" t="s">
        <v>32</v>
      </c>
      <c r="M669" s="14">
        <v>61</v>
      </c>
      <c r="N669" s="18" t="str" cm="1">
        <f t="array" ref="N669">_xlfn.IFS(Cleaned_Working_Sheet!$M669&lt;=34,"Young",Cleaned_Working_Sheet!$M669&lt;=54,"Middle-aged",Cleaned_Working_Sheet!$M669&gt;54,"Old")</f>
        <v>Old</v>
      </c>
      <c r="O669" s="18" t="s">
        <v>18</v>
      </c>
    </row>
    <row r="670" spans="1:15" x14ac:dyDescent="0.25">
      <c r="A670" s="14">
        <v>14592</v>
      </c>
      <c r="B670" s="18" t="s">
        <v>36</v>
      </c>
      <c r="C670" s="18" t="s">
        <v>38</v>
      </c>
      <c r="D670" s="6">
        <v>60000</v>
      </c>
      <c r="E670" s="18" t="str" cm="1">
        <f t="array" ref="E670">_xlfn.IFS(Cleaned_Working_Sheet!$D670&lt;=50000,"Low Income",Cleaned_Working_Sheet!$D670&lt;100000,"Middle Income",TRUE,"High Income")</f>
        <v>Middle Income</v>
      </c>
      <c r="F670" s="16">
        <v>0</v>
      </c>
      <c r="G670" s="18" t="s">
        <v>31</v>
      </c>
      <c r="H670" s="18" t="s">
        <v>21</v>
      </c>
      <c r="I670" s="18" t="s">
        <v>15</v>
      </c>
      <c r="J670" s="16">
        <v>0</v>
      </c>
      <c r="K670" s="18" t="s">
        <v>16</v>
      </c>
      <c r="L670" s="18" t="s">
        <v>32</v>
      </c>
      <c r="M670" s="14">
        <v>40</v>
      </c>
      <c r="N670" s="18" t="str" cm="1">
        <f t="array" ref="N670">_xlfn.IFS(Cleaned_Working_Sheet!$M670&lt;=34,"Young",Cleaned_Working_Sheet!$M670&lt;=54,"Middle-aged",Cleaned_Working_Sheet!$M670&gt;54,"Old")</f>
        <v>Middle-aged</v>
      </c>
      <c r="O670" s="18" t="s">
        <v>18</v>
      </c>
    </row>
    <row r="671" spans="1:15" x14ac:dyDescent="0.25">
      <c r="A671" s="14">
        <v>22227</v>
      </c>
      <c r="B671" s="18" t="s">
        <v>36</v>
      </c>
      <c r="C671" s="18" t="s">
        <v>38</v>
      </c>
      <c r="D671" s="6">
        <v>60000</v>
      </c>
      <c r="E671" s="18" t="str" cm="1">
        <f t="array" ref="E671">_xlfn.IFS(Cleaned_Working_Sheet!$D671&lt;=50000,"Low Income",Cleaned_Working_Sheet!$D671&lt;100000,"Middle Income",TRUE,"High Income")</f>
        <v>Middle Income</v>
      </c>
      <c r="F671" s="16">
        <v>2</v>
      </c>
      <c r="G671" s="18" t="s">
        <v>27</v>
      </c>
      <c r="H671" s="18" t="s">
        <v>21</v>
      </c>
      <c r="I671" s="18" t="s">
        <v>15</v>
      </c>
      <c r="J671" s="16">
        <v>2</v>
      </c>
      <c r="K671" s="18" t="s">
        <v>23</v>
      </c>
      <c r="L671" s="18" t="s">
        <v>32</v>
      </c>
      <c r="M671" s="14">
        <v>50</v>
      </c>
      <c r="N671" s="18" t="str" cm="1">
        <f t="array" ref="N671">_xlfn.IFS(Cleaned_Working_Sheet!$M671&lt;=34,"Young",Cleaned_Working_Sheet!$M671&lt;=54,"Middle-aged",Cleaned_Working_Sheet!$M671&gt;54,"Old")</f>
        <v>Middle-aged</v>
      </c>
      <c r="O671" s="18" t="s">
        <v>18</v>
      </c>
    </row>
    <row r="672" spans="1:15" x14ac:dyDescent="0.25">
      <c r="A672" s="14">
        <v>21471</v>
      </c>
      <c r="B672" s="18" t="s">
        <v>36</v>
      </c>
      <c r="C672" s="18" t="s">
        <v>39</v>
      </c>
      <c r="D672" s="6">
        <v>70000</v>
      </c>
      <c r="E672" s="18" t="str" cm="1">
        <f t="array" ref="E672">_xlfn.IFS(Cleaned_Working_Sheet!$D672&lt;=50000,"Low Income",Cleaned_Working_Sheet!$D672&lt;100000,"Middle Income",TRUE,"High Income")</f>
        <v>Middle Income</v>
      </c>
      <c r="F672" s="16">
        <v>2</v>
      </c>
      <c r="G672" s="18" t="s">
        <v>19</v>
      </c>
      <c r="H672" s="18" t="s">
        <v>21</v>
      </c>
      <c r="I672" s="18" t="s">
        <v>15</v>
      </c>
      <c r="J672" s="16">
        <v>1</v>
      </c>
      <c r="K672" s="18" t="s">
        <v>43</v>
      </c>
      <c r="L672" s="18" t="s">
        <v>32</v>
      </c>
      <c r="M672" s="14">
        <v>59</v>
      </c>
      <c r="N672" s="18" t="str" cm="1">
        <f t="array" ref="N672">_xlfn.IFS(Cleaned_Working_Sheet!$M672&lt;=34,"Young",Cleaned_Working_Sheet!$M672&lt;=54,"Middle-aged",Cleaned_Working_Sheet!$M672&gt;54,"Old")</f>
        <v>Old</v>
      </c>
      <c r="O672" s="18" t="s">
        <v>18</v>
      </c>
    </row>
    <row r="673" spans="1:15" x14ac:dyDescent="0.25">
      <c r="A673" s="14">
        <v>22252</v>
      </c>
      <c r="B673" s="18" t="s">
        <v>37</v>
      </c>
      <c r="C673" s="18" t="s">
        <v>38</v>
      </c>
      <c r="D673" s="6">
        <v>60000</v>
      </c>
      <c r="E673" s="18" t="str" cm="1">
        <f t="array" ref="E673">_xlfn.IFS(Cleaned_Working_Sheet!$D673&lt;=50000,"Low Income",Cleaned_Working_Sheet!$D673&lt;100000,"Middle Income",TRUE,"High Income")</f>
        <v>Middle Income</v>
      </c>
      <c r="F673" s="16">
        <v>1</v>
      </c>
      <c r="G673" s="18" t="s">
        <v>31</v>
      </c>
      <c r="H673" s="18" t="s">
        <v>21</v>
      </c>
      <c r="I673" s="18" t="s">
        <v>15</v>
      </c>
      <c r="J673" s="16">
        <v>0</v>
      </c>
      <c r="K673" s="18" t="s">
        <v>22</v>
      </c>
      <c r="L673" s="18" t="s">
        <v>32</v>
      </c>
      <c r="M673" s="14">
        <v>36</v>
      </c>
      <c r="N673" s="18" t="str" cm="1">
        <f t="array" ref="N673">_xlfn.IFS(Cleaned_Working_Sheet!$M673&lt;=34,"Young",Cleaned_Working_Sheet!$M673&lt;=54,"Middle-aged",Cleaned_Working_Sheet!$M673&gt;54,"Old")</f>
        <v>Middle-aged</v>
      </c>
      <c r="O673" s="18" t="s">
        <v>15</v>
      </c>
    </row>
    <row r="674" spans="1:15" x14ac:dyDescent="0.25">
      <c r="A674" s="14">
        <v>21260</v>
      </c>
      <c r="B674" s="18" t="s">
        <v>37</v>
      </c>
      <c r="C674" s="18" t="s">
        <v>38</v>
      </c>
      <c r="D674" s="6">
        <v>40000</v>
      </c>
      <c r="E674" s="18" t="str" cm="1">
        <f t="array" ref="E674">_xlfn.IFS(Cleaned_Working_Sheet!$D674&lt;=50000,"Low Income",Cleaned_Working_Sheet!$D674&lt;100000,"Middle Income",TRUE,"High Income")</f>
        <v>Low Income</v>
      </c>
      <c r="F674" s="16">
        <v>0</v>
      </c>
      <c r="G674" s="18" t="s">
        <v>27</v>
      </c>
      <c r="H674" s="18" t="s">
        <v>14</v>
      </c>
      <c r="I674" s="18" t="s">
        <v>15</v>
      </c>
      <c r="J674" s="16">
        <v>2</v>
      </c>
      <c r="K674" s="18" t="s">
        <v>23</v>
      </c>
      <c r="L674" s="18" t="s">
        <v>32</v>
      </c>
      <c r="M674" s="14">
        <v>30</v>
      </c>
      <c r="N674" s="18" t="str" cm="1">
        <f t="array" ref="N674">_xlfn.IFS(Cleaned_Working_Sheet!$M674&lt;=34,"Young",Cleaned_Working_Sheet!$M674&lt;=54,"Middle-aged",Cleaned_Working_Sheet!$M674&gt;54,"Old")</f>
        <v>Young</v>
      </c>
      <c r="O674" s="18" t="s">
        <v>18</v>
      </c>
    </row>
    <row r="675" spans="1:15" x14ac:dyDescent="0.25">
      <c r="A675" s="14">
        <v>11817</v>
      </c>
      <c r="B675" s="18" t="s">
        <v>37</v>
      </c>
      <c r="C675" s="18" t="s">
        <v>38</v>
      </c>
      <c r="D675" s="6">
        <v>70000</v>
      </c>
      <c r="E675" s="18" t="str" cm="1">
        <f t="array" ref="E675">_xlfn.IFS(Cleaned_Working_Sheet!$D675&lt;=50000,"Low Income",Cleaned_Working_Sheet!$D675&lt;100000,"Middle Income",TRUE,"High Income")</f>
        <v>Middle Income</v>
      </c>
      <c r="F675" s="16">
        <v>4</v>
      </c>
      <c r="G675" s="18" t="s">
        <v>31</v>
      </c>
      <c r="H675" s="18" t="s">
        <v>21</v>
      </c>
      <c r="I675" s="18" t="s">
        <v>15</v>
      </c>
      <c r="J675" s="16">
        <v>0</v>
      </c>
      <c r="K675" s="18" t="s">
        <v>22</v>
      </c>
      <c r="L675" s="18" t="s">
        <v>32</v>
      </c>
      <c r="M675" s="14">
        <v>35</v>
      </c>
      <c r="N675" s="18" t="str" cm="1">
        <f t="array" ref="N675">_xlfn.IFS(Cleaned_Working_Sheet!$M675&lt;=34,"Young",Cleaned_Working_Sheet!$M675&lt;=54,"Middle-aged",Cleaned_Working_Sheet!$M675&gt;54,"Old")</f>
        <v>Middle-aged</v>
      </c>
      <c r="O675" s="18" t="s">
        <v>15</v>
      </c>
    </row>
    <row r="676" spans="1:15" x14ac:dyDescent="0.25">
      <c r="A676" s="14">
        <v>19223</v>
      </c>
      <c r="B676" s="18" t="s">
        <v>36</v>
      </c>
      <c r="C676" s="18" t="s">
        <v>38</v>
      </c>
      <c r="D676" s="6">
        <v>30000</v>
      </c>
      <c r="E676" s="18" t="str" cm="1">
        <f t="array" ref="E676">_xlfn.IFS(Cleaned_Working_Sheet!$D676&lt;=50000,"Low Income",Cleaned_Working_Sheet!$D676&lt;100000,"Middle Income",TRUE,"High Income")</f>
        <v>Low Income</v>
      </c>
      <c r="F676" s="16">
        <v>2</v>
      </c>
      <c r="G676" s="18" t="s">
        <v>27</v>
      </c>
      <c r="H676" s="18" t="s">
        <v>14</v>
      </c>
      <c r="I676" s="18" t="s">
        <v>15</v>
      </c>
      <c r="J676" s="16">
        <v>2</v>
      </c>
      <c r="K676" s="18" t="s">
        <v>26</v>
      </c>
      <c r="L676" s="18" t="s">
        <v>32</v>
      </c>
      <c r="M676" s="14">
        <v>48</v>
      </c>
      <c r="N676" s="18" t="str" cm="1">
        <f t="array" ref="N676">_xlfn.IFS(Cleaned_Working_Sheet!$M676&lt;=34,"Young",Cleaned_Working_Sheet!$M676&lt;=54,"Middle-aged",Cleaned_Working_Sheet!$M676&gt;54,"Old")</f>
        <v>Middle-aged</v>
      </c>
      <c r="O676" s="18" t="s">
        <v>18</v>
      </c>
    </row>
    <row r="677" spans="1:15" x14ac:dyDescent="0.25">
      <c r="A677" s="14">
        <v>18517</v>
      </c>
      <c r="B677" s="18" t="s">
        <v>36</v>
      </c>
      <c r="C677" s="18" t="s">
        <v>39</v>
      </c>
      <c r="D677" s="6">
        <v>100000</v>
      </c>
      <c r="E677" s="18" t="str" cm="1">
        <f t="array" ref="E677">_xlfn.IFS(Cleaned_Working_Sheet!$D677&lt;=50000,"Low Income",Cleaned_Working_Sheet!$D677&lt;100000,"Middle Income",TRUE,"High Income")</f>
        <v>High Income</v>
      </c>
      <c r="F677" s="16">
        <v>3</v>
      </c>
      <c r="G677" s="18" t="s">
        <v>13</v>
      </c>
      <c r="H677" s="18" t="s">
        <v>28</v>
      </c>
      <c r="I677" s="18" t="s">
        <v>15</v>
      </c>
      <c r="J677" s="16">
        <v>4</v>
      </c>
      <c r="K677" s="18" t="s">
        <v>16</v>
      </c>
      <c r="L677" s="18" t="s">
        <v>32</v>
      </c>
      <c r="M677" s="14">
        <v>41</v>
      </c>
      <c r="N677" s="18" t="str" cm="1">
        <f t="array" ref="N677">_xlfn.IFS(Cleaned_Working_Sheet!$M677&lt;=34,"Young",Cleaned_Working_Sheet!$M677&lt;=54,"Middle-aged",Cleaned_Working_Sheet!$M677&gt;54,"Old")</f>
        <v>Middle-aged</v>
      </c>
      <c r="O677" s="18" t="s">
        <v>18</v>
      </c>
    </row>
    <row r="678" spans="1:15" x14ac:dyDescent="0.25">
      <c r="A678" s="14">
        <v>21717</v>
      </c>
      <c r="B678" s="18" t="s">
        <v>36</v>
      </c>
      <c r="C678" s="18" t="s">
        <v>39</v>
      </c>
      <c r="D678" s="6">
        <v>40000</v>
      </c>
      <c r="E678" s="18" t="str" cm="1">
        <f t="array" ref="E678">_xlfn.IFS(Cleaned_Working_Sheet!$D678&lt;=50000,"Low Income",Cleaned_Working_Sheet!$D678&lt;100000,"Middle Income",TRUE,"High Income")</f>
        <v>Low Income</v>
      </c>
      <c r="F678" s="16">
        <v>2</v>
      </c>
      <c r="G678" s="18" t="s">
        <v>19</v>
      </c>
      <c r="H678" s="18" t="s">
        <v>20</v>
      </c>
      <c r="I678" s="18" t="s">
        <v>15</v>
      </c>
      <c r="J678" s="16">
        <v>1</v>
      </c>
      <c r="K678" s="18" t="s">
        <v>16</v>
      </c>
      <c r="L678" s="18" t="s">
        <v>32</v>
      </c>
      <c r="M678" s="14">
        <v>47</v>
      </c>
      <c r="N678" s="18" t="str" cm="1">
        <f t="array" ref="N678">_xlfn.IFS(Cleaned_Working_Sheet!$M678&lt;=34,"Young",Cleaned_Working_Sheet!$M678&lt;=54,"Middle-aged",Cleaned_Working_Sheet!$M678&gt;54,"Old")</f>
        <v>Middle-aged</v>
      </c>
      <c r="O678" s="18" t="s">
        <v>18</v>
      </c>
    </row>
    <row r="679" spans="1:15" x14ac:dyDescent="0.25">
      <c r="A679" s="14">
        <v>13760</v>
      </c>
      <c r="B679" s="18" t="s">
        <v>36</v>
      </c>
      <c r="C679" s="18" t="s">
        <v>39</v>
      </c>
      <c r="D679" s="6">
        <v>60000</v>
      </c>
      <c r="E679" s="18" t="str" cm="1">
        <f t="array" ref="E679">_xlfn.IFS(Cleaned_Working_Sheet!$D679&lt;=50000,"Low Income",Cleaned_Working_Sheet!$D679&lt;100000,"Middle Income",TRUE,"High Income")</f>
        <v>Middle Income</v>
      </c>
      <c r="F679" s="16">
        <v>4</v>
      </c>
      <c r="G679" s="18" t="s">
        <v>31</v>
      </c>
      <c r="H679" s="18" t="s">
        <v>14</v>
      </c>
      <c r="I679" s="18" t="s">
        <v>18</v>
      </c>
      <c r="J679" s="16">
        <v>0</v>
      </c>
      <c r="K679" s="18" t="s">
        <v>16</v>
      </c>
      <c r="L679" s="18" t="s">
        <v>32</v>
      </c>
      <c r="M679" s="14">
        <v>47</v>
      </c>
      <c r="N679" s="18" t="str" cm="1">
        <f t="array" ref="N679">_xlfn.IFS(Cleaned_Working_Sheet!$M679&lt;=34,"Young",Cleaned_Working_Sheet!$M679&lt;=54,"Middle-aged",Cleaned_Working_Sheet!$M679&gt;54,"Old")</f>
        <v>Middle-aged</v>
      </c>
      <c r="O679" s="18" t="s">
        <v>18</v>
      </c>
    </row>
    <row r="680" spans="1:15" x14ac:dyDescent="0.25">
      <c r="A680" s="14">
        <v>18145</v>
      </c>
      <c r="B680" s="18" t="s">
        <v>36</v>
      </c>
      <c r="C680" s="18" t="s">
        <v>39</v>
      </c>
      <c r="D680" s="6">
        <v>80000</v>
      </c>
      <c r="E680" s="18" t="str" cm="1">
        <f t="array" ref="E680">_xlfn.IFS(Cleaned_Working_Sheet!$D680&lt;=50000,"Low Income",Cleaned_Working_Sheet!$D680&lt;100000,"Middle Income",TRUE,"High Income")</f>
        <v>Middle Income</v>
      </c>
      <c r="F680" s="16">
        <v>5</v>
      </c>
      <c r="G680" s="18" t="s">
        <v>13</v>
      </c>
      <c r="H680" s="18" t="s">
        <v>28</v>
      </c>
      <c r="I680" s="18" t="s">
        <v>18</v>
      </c>
      <c r="J680" s="16">
        <v>2</v>
      </c>
      <c r="K680" s="18" t="s">
        <v>22</v>
      </c>
      <c r="L680" s="18" t="s">
        <v>17</v>
      </c>
      <c r="M680" s="14">
        <v>62</v>
      </c>
      <c r="N680" s="18" t="str" cm="1">
        <f t="array" ref="N680">_xlfn.IFS(Cleaned_Working_Sheet!$M680&lt;=34,"Young",Cleaned_Working_Sheet!$M680&lt;=54,"Middle-aged",Cleaned_Working_Sheet!$M680&gt;54,"Old")</f>
        <v>Old</v>
      </c>
      <c r="O680" s="18" t="s">
        <v>18</v>
      </c>
    </row>
    <row r="681" spans="1:15" x14ac:dyDescent="0.25">
      <c r="A681" s="14">
        <v>21770</v>
      </c>
      <c r="B681" s="18" t="s">
        <v>36</v>
      </c>
      <c r="C681" s="18" t="s">
        <v>39</v>
      </c>
      <c r="D681" s="6">
        <v>60000</v>
      </c>
      <c r="E681" s="18" t="str" cm="1">
        <f t="array" ref="E681">_xlfn.IFS(Cleaned_Working_Sheet!$D681&lt;=50000,"Low Income",Cleaned_Working_Sheet!$D681&lt;100000,"Middle Income",TRUE,"High Income")</f>
        <v>Middle Income</v>
      </c>
      <c r="F681" s="16">
        <v>4</v>
      </c>
      <c r="G681" s="18" t="s">
        <v>13</v>
      </c>
      <c r="H681" s="18" t="s">
        <v>28</v>
      </c>
      <c r="I681" s="18" t="s">
        <v>15</v>
      </c>
      <c r="J681" s="16">
        <v>2</v>
      </c>
      <c r="K681" s="18" t="s">
        <v>43</v>
      </c>
      <c r="L681" s="18" t="s">
        <v>32</v>
      </c>
      <c r="M681" s="14">
        <v>60</v>
      </c>
      <c r="N681" s="18" t="str" cm="1">
        <f t="array" ref="N681">_xlfn.IFS(Cleaned_Working_Sheet!$M681&lt;=34,"Young",Cleaned_Working_Sheet!$M681&lt;=54,"Middle-aged",Cleaned_Working_Sheet!$M681&gt;54,"Old")</f>
        <v>Old</v>
      </c>
      <c r="O681" s="18" t="s">
        <v>18</v>
      </c>
    </row>
    <row r="682" spans="1:15" x14ac:dyDescent="0.25">
      <c r="A682" s="14">
        <v>11165</v>
      </c>
      <c r="B682" s="18" t="s">
        <v>36</v>
      </c>
      <c r="C682" s="18" t="s">
        <v>38</v>
      </c>
      <c r="D682" s="6">
        <v>60000</v>
      </c>
      <c r="E682" s="18" t="str" cm="1">
        <f t="array" ref="E682">_xlfn.IFS(Cleaned_Working_Sheet!$D682&lt;=50000,"Low Income",Cleaned_Working_Sheet!$D682&lt;100000,"Middle Income",TRUE,"High Income")</f>
        <v>Middle Income</v>
      </c>
      <c r="F682" s="16">
        <v>0</v>
      </c>
      <c r="G682" s="18" t="s">
        <v>19</v>
      </c>
      <c r="H682" s="18" t="s">
        <v>14</v>
      </c>
      <c r="I682" s="18" t="s">
        <v>18</v>
      </c>
      <c r="J682" s="16">
        <v>1</v>
      </c>
      <c r="K682" s="18" t="s">
        <v>26</v>
      </c>
      <c r="L682" s="18" t="s">
        <v>32</v>
      </c>
      <c r="M682" s="14">
        <v>33</v>
      </c>
      <c r="N682" s="18" t="str" cm="1">
        <f t="array" ref="N682">_xlfn.IFS(Cleaned_Working_Sheet!$M682&lt;=34,"Young",Cleaned_Working_Sheet!$M682&lt;=54,"Middle-aged",Cleaned_Working_Sheet!$M682&gt;54,"Old")</f>
        <v>Young</v>
      </c>
      <c r="O682" s="18" t="s">
        <v>18</v>
      </c>
    </row>
    <row r="683" spans="1:15" x14ac:dyDescent="0.25">
      <c r="A683" s="14">
        <v>16377</v>
      </c>
      <c r="B683" s="18" t="s">
        <v>37</v>
      </c>
      <c r="C683" s="18" t="s">
        <v>38</v>
      </c>
      <c r="D683" s="6">
        <v>80000</v>
      </c>
      <c r="E683" s="18" t="str" cm="1">
        <f t="array" ref="E683">_xlfn.IFS(Cleaned_Working_Sheet!$D683&lt;=50000,"Low Income",Cleaned_Working_Sheet!$D683&lt;100000,"Middle Income",TRUE,"High Income")</f>
        <v>Middle Income</v>
      </c>
      <c r="F683" s="16">
        <v>4</v>
      </c>
      <c r="G683" s="18" t="s">
        <v>31</v>
      </c>
      <c r="H683" s="18" t="s">
        <v>14</v>
      </c>
      <c r="I683" s="18" t="s">
        <v>18</v>
      </c>
      <c r="J683" s="16">
        <v>0</v>
      </c>
      <c r="K683" s="18" t="s">
        <v>16</v>
      </c>
      <c r="L683" s="18" t="s">
        <v>32</v>
      </c>
      <c r="M683" s="14">
        <v>47</v>
      </c>
      <c r="N683" s="18" t="str" cm="1">
        <f t="array" ref="N683">_xlfn.IFS(Cleaned_Working_Sheet!$M683&lt;=34,"Young",Cleaned_Working_Sheet!$M683&lt;=54,"Middle-aged",Cleaned_Working_Sheet!$M683&gt;54,"Old")</f>
        <v>Middle-aged</v>
      </c>
      <c r="O683" s="18" t="s">
        <v>18</v>
      </c>
    </row>
    <row r="684" spans="1:15" x14ac:dyDescent="0.25">
      <c r="A684" s="14">
        <v>26248</v>
      </c>
      <c r="B684" s="18" t="s">
        <v>36</v>
      </c>
      <c r="C684" s="18" t="s">
        <v>39</v>
      </c>
      <c r="D684" s="6">
        <v>20000</v>
      </c>
      <c r="E684" s="18" t="str" cm="1">
        <f t="array" ref="E684">_xlfn.IFS(Cleaned_Working_Sheet!$D684&lt;=50000,"Low Income",Cleaned_Working_Sheet!$D684&lt;100000,"Middle Income",TRUE,"High Income")</f>
        <v>Low Income</v>
      </c>
      <c r="F684" s="16">
        <v>3</v>
      </c>
      <c r="G684" s="18" t="s">
        <v>29</v>
      </c>
      <c r="H684" s="18" t="s">
        <v>20</v>
      </c>
      <c r="I684" s="18" t="s">
        <v>18</v>
      </c>
      <c r="J684" s="16">
        <v>2</v>
      </c>
      <c r="K684" s="18" t="s">
        <v>16</v>
      </c>
      <c r="L684" s="18" t="s">
        <v>32</v>
      </c>
      <c r="M684" s="14">
        <v>52</v>
      </c>
      <c r="N684" s="18" t="str" cm="1">
        <f t="array" ref="N684">_xlfn.IFS(Cleaned_Working_Sheet!$M684&lt;=34,"Young",Cleaned_Working_Sheet!$M684&lt;=54,"Middle-aged",Cleaned_Working_Sheet!$M684&gt;54,"Old")</f>
        <v>Middle-aged</v>
      </c>
      <c r="O684" s="18" t="s">
        <v>18</v>
      </c>
    </row>
    <row r="685" spans="1:15" x14ac:dyDescent="0.25">
      <c r="A685" s="14">
        <v>23461</v>
      </c>
      <c r="B685" s="18" t="s">
        <v>36</v>
      </c>
      <c r="C685" s="18" t="s">
        <v>38</v>
      </c>
      <c r="D685" s="6">
        <v>90000</v>
      </c>
      <c r="E685" s="18" t="str" cm="1">
        <f t="array" ref="E685">_xlfn.IFS(Cleaned_Working_Sheet!$D685&lt;=50000,"Low Income",Cleaned_Working_Sheet!$D685&lt;100000,"Middle Income",TRUE,"High Income")</f>
        <v>Middle Income</v>
      </c>
      <c r="F685" s="16">
        <v>5</v>
      </c>
      <c r="G685" s="18" t="s">
        <v>19</v>
      </c>
      <c r="H685" s="18" t="s">
        <v>21</v>
      </c>
      <c r="I685" s="18" t="s">
        <v>15</v>
      </c>
      <c r="J685" s="16">
        <v>3</v>
      </c>
      <c r="K685" s="18" t="s">
        <v>22</v>
      </c>
      <c r="L685" s="18" t="s">
        <v>32</v>
      </c>
      <c r="M685" s="14">
        <v>40</v>
      </c>
      <c r="N685" s="18" t="str" cm="1">
        <f t="array" ref="N685">_xlfn.IFS(Cleaned_Working_Sheet!$M685&lt;=34,"Young",Cleaned_Working_Sheet!$M685&lt;=54,"Middle-aged",Cleaned_Working_Sheet!$M685&gt;54,"Old")</f>
        <v>Middle-aged</v>
      </c>
      <c r="O685" s="18" t="s">
        <v>18</v>
      </c>
    </row>
    <row r="686" spans="1:15" x14ac:dyDescent="0.25">
      <c r="A686" s="14">
        <v>29133</v>
      </c>
      <c r="B686" s="18" t="s">
        <v>37</v>
      </c>
      <c r="C686" s="18" t="s">
        <v>38</v>
      </c>
      <c r="D686" s="6">
        <v>60000</v>
      </c>
      <c r="E686" s="18" t="str" cm="1">
        <f t="array" ref="E686">_xlfn.IFS(Cleaned_Working_Sheet!$D686&lt;=50000,"Low Income",Cleaned_Working_Sheet!$D686&lt;100000,"Middle Income",TRUE,"High Income")</f>
        <v>Middle Income</v>
      </c>
      <c r="F686" s="16">
        <v>4</v>
      </c>
      <c r="G686" s="18" t="s">
        <v>13</v>
      </c>
      <c r="H686" s="18" t="s">
        <v>14</v>
      </c>
      <c r="I686" s="18" t="s">
        <v>18</v>
      </c>
      <c r="J686" s="16">
        <v>2</v>
      </c>
      <c r="K686" s="18" t="s">
        <v>16</v>
      </c>
      <c r="L686" s="18" t="s">
        <v>32</v>
      </c>
      <c r="M686" s="14">
        <v>42</v>
      </c>
      <c r="N686" s="18" t="str" cm="1">
        <f t="array" ref="N686">_xlfn.IFS(Cleaned_Working_Sheet!$M686&lt;=34,"Young",Cleaned_Working_Sheet!$M686&lt;=54,"Middle-aged",Cleaned_Working_Sheet!$M686&gt;54,"Old")</f>
        <v>Middle-aged</v>
      </c>
      <c r="O686" s="18" t="s">
        <v>18</v>
      </c>
    </row>
    <row r="687" spans="1:15" x14ac:dyDescent="0.25">
      <c r="A687" s="14">
        <v>27673</v>
      </c>
      <c r="B687" s="18" t="s">
        <v>37</v>
      </c>
      <c r="C687" s="18" t="s">
        <v>38</v>
      </c>
      <c r="D687" s="6">
        <v>60000</v>
      </c>
      <c r="E687" s="18" t="str" cm="1">
        <f t="array" ref="E687">_xlfn.IFS(Cleaned_Working_Sheet!$D687&lt;=50000,"Low Income",Cleaned_Working_Sheet!$D687&lt;100000,"Middle Income",TRUE,"High Income")</f>
        <v>Middle Income</v>
      </c>
      <c r="F687" s="16">
        <v>3</v>
      </c>
      <c r="G687" s="18" t="s">
        <v>31</v>
      </c>
      <c r="H687" s="18" t="s">
        <v>28</v>
      </c>
      <c r="I687" s="18" t="s">
        <v>15</v>
      </c>
      <c r="J687" s="16">
        <v>2</v>
      </c>
      <c r="K687" s="18" t="s">
        <v>23</v>
      </c>
      <c r="L687" s="18" t="s">
        <v>32</v>
      </c>
      <c r="M687" s="14">
        <v>53</v>
      </c>
      <c r="N687" s="18" t="str" cm="1">
        <f t="array" ref="N687">_xlfn.IFS(Cleaned_Working_Sheet!$M687&lt;=34,"Young",Cleaned_Working_Sheet!$M687&lt;=54,"Middle-aged",Cleaned_Working_Sheet!$M687&gt;54,"Old")</f>
        <v>Middle-aged</v>
      </c>
      <c r="O687" s="18" t="s">
        <v>15</v>
      </c>
    </row>
    <row r="688" spans="1:15" x14ac:dyDescent="0.25">
      <c r="A688" s="14">
        <v>12774</v>
      </c>
      <c r="B688" s="18" t="s">
        <v>36</v>
      </c>
      <c r="C688" s="18" t="s">
        <v>38</v>
      </c>
      <c r="D688" s="6">
        <v>40000</v>
      </c>
      <c r="E688" s="18" t="str" cm="1">
        <f t="array" ref="E688">_xlfn.IFS(Cleaned_Working_Sheet!$D688&lt;=50000,"Low Income",Cleaned_Working_Sheet!$D688&lt;100000,"Middle Income",TRUE,"High Income")</f>
        <v>Low Income</v>
      </c>
      <c r="F688" s="16">
        <v>1</v>
      </c>
      <c r="G688" s="18" t="s">
        <v>19</v>
      </c>
      <c r="H688" s="18" t="s">
        <v>20</v>
      </c>
      <c r="I688" s="18" t="s">
        <v>15</v>
      </c>
      <c r="J688" s="16">
        <v>1</v>
      </c>
      <c r="K688" s="18" t="s">
        <v>26</v>
      </c>
      <c r="L688" s="18" t="s">
        <v>32</v>
      </c>
      <c r="M688" s="14">
        <v>51</v>
      </c>
      <c r="N688" s="18" t="str" cm="1">
        <f t="array" ref="N688">_xlfn.IFS(Cleaned_Working_Sheet!$M688&lt;=34,"Young",Cleaned_Working_Sheet!$M688&lt;=54,"Middle-aged",Cleaned_Working_Sheet!$M688&gt;54,"Old")</f>
        <v>Middle-aged</v>
      </c>
      <c r="O688" s="18" t="s">
        <v>15</v>
      </c>
    </row>
    <row r="689" spans="1:15" x14ac:dyDescent="0.25">
      <c r="A689" s="14">
        <v>18910</v>
      </c>
      <c r="B689" s="18" t="s">
        <v>37</v>
      </c>
      <c r="C689" s="18" t="s">
        <v>39</v>
      </c>
      <c r="D689" s="6">
        <v>30000</v>
      </c>
      <c r="E689" s="18" t="str" cm="1">
        <f t="array" ref="E689">_xlfn.IFS(Cleaned_Working_Sheet!$D689&lt;=50000,"Low Income",Cleaned_Working_Sheet!$D689&lt;100000,"Middle Income",TRUE,"High Income")</f>
        <v>Low Income</v>
      </c>
      <c r="F689" s="16">
        <v>0</v>
      </c>
      <c r="G689" s="18" t="s">
        <v>19</v>
      </c>
      <c r="H689" s="18" t="s">
        <v>14</v>
      </c>
      <c r="I689" s="18" t="s">
        <v>15</v>
      </c>
      <c r="J689" s="16">
        <v>2</v>
      </c>
      <c r="K689" s="18" t="s">
        <v>23</v>
      </c>
      <c r="L689" s="18" t="s">
        <v>32</v>
      </c>
      <c r="M689" s="14">
        <v>30</v>
      </c>
      <c r="N689" s="18" t="str" cm="1">
        <f t="array" ref="N689">_xlfn.IFS(Cleaned_Working_Sheet!$M689&lt;=34,"Young",Cleaned_Working_Sheet!$M689&lt;=54,"Middle-aged",Cleaned_Working_Sheet!$M689&gt;54,"Old")</f>
        <v>Young</v>
      </c>
      <c r="O689" s="18" t="s">
        <v>18</v>
      </c>
    </row>
    <row r="690" spans="1:15" x14ac:dyDescent="0.25">
      <c r="A690" s="14">
        <v>11699</v>
      </c>
      <c r="B690" s="18" t="s">
        <v>37</v>
      </c>
      <c r="C690" s="18" t="s">
        <v>39</v>
      </c>
      <c r="D690" s="6">
        <v>60000</v>
      </c>
      <c r="E690" s="18" t="str" cm="1">
        <f t="array" ref="E690">_xlfn.IFS(Cleaned_Working_Sheet!$D690&lt;=50000,"Low Income",Cleaned_Working_Sheet!$D690&lt;100000,"Middle Income",TRUE,"High Income")</f>
        <v>Middle Income</v>
      </c>
      <c r="F690" s="16">
        <v>0</v>
      </c>
      <c r="G690" s="18" t="s">
        <v>13</v>
      </c>
      <c r="H690" s="18" t="s">
        <v>14</v>
      </c>
      <c r="I690" s="18" t="s">
        <v>18</v>
      </c>
      <c r="J690" s="16">
        <v>2</v>
      </c>
      <c r="K690" s="18" t="s">
        <v>16</v>
      </c>
      <c r="L690" s="18" t="s">
        <v>32</v>
      </c>
      <c r="M690" s="14">
        <v>30</v>
      </c>
      <c r="N690" s="18" t="str" cm="1">
        <f t="array" ref="N690">_xlfn.IFS(Cleaned_Working_Sheet!$M690&lt;=34,"Young",Cleaned_Working_Sheet!$M690&lt;=54,"Middle-aged",Cleaned_Working_Sheet!$M690&gt;54,"Old")</f>
        <v>Young</v>
      </c>
      <c r="O690" s="18" t="s">
        <v>18</v>
      </c>
    </row>
    <row r="691" spans="1:15" x14ac:dyDescent="0.25">
      <c r="A691" s="14">
        <v>16725</v>
      </c>
      <c r="B691" s="18" t="s">
        <v>36</v>
      </c>
      <c r="C691" s="18" t="s">
        <v>39</v>
      </c>
      <c r="D691" s="6">
        <v>30000</v>
      </c>
      <c r="E691" s="18" t="str" cm="1">
        <f t="array" ref="E691">_xlfn.IFS(Cleaned_Working_Sheet!$D691&lt;=50000,"Low Income",Cleaned_Working_Sheet!$D691&lt;100000,"Middle Income",TRUE,"High Income")</f>
        <v>Low Income</v>
      </c>
      <c r="F691" s="16">
        <v>0</v>
      </c>
      <c r="G691" s="18" t="s">
        <v>27</v>
      </c>
      <c r="H691" s="18" t="s">
        <v>14</v>
      </c>
      <c r="I691" s="18" t="s">
        <v>15</v>
      </c>
      <c r="J691" s="16">
        <v>2</v>
      </c>
      <c r="K691" s="18" t="s">
        <v>23</v>
      </c>
      <c r="L691" s="18" t="s">
        <v>32</v>
      </c>
      <c r="M691" s="14">
        <v>26</v>
      </c>
      <c r="N691" s="18" t="str" cm="1">
        <f t="array" ref="N691">_xlfn.IFS(Cleaned_Working_Sheet!$M691&lt;=34,"Young",Cleaned_Working_Sheet!$M691&lt;=54,"Middle-aged",Cleaned_Working_Sheet!$M691&gt;54,"Old")</f>
        <v>Young</v>
      </c>
      <c r="O691" s="18" t="s">
        <v>18</v>
      </c>
    </row>
    <row r="692" spans="1:15" x14ac:dyDescent="0.25">
      <c r="A692" s="14">
        <v>28269</v>
      </c>
      <c r="B692" s="18" t="s">
        <v>37</v>
      </c>
      <c r="C692" s="18" t="s">
        <v>38</v>
      </c>
      <c r="D692" s="6">
        <v>130000</v>
      </c>
      <c r="E692" s="18" t="str" cm="1">
        <f t="array" ref="E692">_xlfn.IFS(Cleaned_Working_Sheet!$D692&lt;=50000,"Low Income",Cleaned_Working_Sheet!$D692&lt;100000,"Middle Income",TRUE,"High Income")</f>
        <v>High Income</v>
      </c>
      <c r="F692" s="16">
        <v>1</v>
      </c>
      <c r="G692" s="18" t="s">
        <v>13</v>
      </c>
      <c r="H692" s="18" t="s">
        <v>28</v>
      </c>
      <c r="I692" s="18" t="s">
        <v>18</v>
      </c>
      <c r="J692" s="16">
        <v>1</v>
      </c>
      <c r="K692" s="18" t="s">
        <v>22</v>
      </c>
      <c r="L692" s="18" t="s">
        <v>32</v>
      </c>
      <c r="M692" s="14">
        <v>45</v>
      </c>
      <c r="N692" s="18" t="str" cm="1">
        <f t="array" ref="N692">_xlfn.IFS(Cleaned_Working_Sheet!$M692&lt;=34,"Young",Cleaned_Working_Sheet!$M692&lt;=54,"Middle-aged",Cleaned_Working_Sheet!$M692&gt;54,"Old")</f>
        <v>Middle-aged</v>
      </c>
      <c r="O692" s="18" t="s">
        <v>18</v>
      </c>
    </row>
    <row r="693" spans="1:15" x14ac:dyDescent="0.25">
      <c r="A693" s="14">
        <v>23144</v>
      </c>
      <c r="B693" s="18" t="s">
        <v>36</v>
      </c>
      <c r="C693" s="18" t="s">
        <v>39</v>
      </c>
      <c r="D693" s="6">
        <v>50000</v>
      </c>
      <c r="E693" s="18" t="str" cm="1">
        <f t="array" ref="E693">_xlfn.IFS(Cleaned_Working_Sheet!$D693&lt;=50000,"Low Income",Cleaned_Working_Sheet!$D693&lt;100000,"Middle Income",TRUE,"High Income")</f>
        <v>Low Income</v>
      </c>
      <c r="F693" s="16">
        <v>1</v>
      </c>
      <c r="G693" s="18" t="s">
        <v>13</v>
      </c>
      <c r="H693" s="18" t="s">
        <v>14</v>
      </c>
      <c r="I693" s="18" t="s">
        <v>15</v>
      </c>
      <c r="J693" s="16">
        <v>0</v>
      </c>
      <c r="K693" s="18" t="s">
        <v>16</v>
      </c>
      <c r="L693" s="18" t="s">
        <v>32</v>
      </c>
      <c r="M693" s="14">
        <v>34</v>
      </c>
      <c r="N693" s="18" t="str" cm="1">
        <f t="array" ref="N693">_xlfn.IFS(Cleaned_Working_Sheet!$M693&lt;=34,"Young",Cleaned_Working_Sheet!$M693&lt;=54,"Middle-aged",Cleaned_Working_Sheet!$M693&gt;54,"Old")</f>
        <v>Young</v>
      </c>
      <c r="O693" s="18" t="s">
        <v>15</v>
      </c>
    </row>
    <row r="694" spans="1:15" x14ac:dyDescent="0.25">
      <c r="A694" s="14">
        <v>23376</v>
      </c>
      <c r="B694" s="18" t="s">
        <v>36</v>
      </c>
      <c r="C694" s="18" t="s">
        <v>39</v>
      </c>
      <c r="D694" s="6">
        <v>70000</v>
      </c>
      <c r="E694" s="18" t="str" cm="1">
        <f t="array" ref="E694">_xlfn.IFS(Cleaned_Working_Sheet!$D694&lt;=50000,"Low Income",Cleaned_Working_Sheet!$D694&lt;100000,"Middle Income",TRUE,"High Income")</f>
        <v>Middle Income</v>
      </c>
      <c r="F694" s="16">
        <v>1</v>
      </c>
      <c r="G694" s="18" t="s">
        <v>13</v>
      </c>
      <c r="H694" s="18" t="s">
        <v>21</v>
      </c>
      <c r="I694" s="18" t="s">
        <v>15</v>
      </c>
      <c r="J694" s="16">
        <v>1</v>
      </c>
      <c r="K694" s="18" t="s">
        <v>22</v>
      </c>
      <c r="L694" s="18" t="s">
        <v>32</v>
      </c>
      <c r="M694" s="14">
        <v>44</v>
      </c>
      <c r="N694" s="18" t="str" cm="1">
        <f t="array" ref="N694">_xlfn.IFS(Cleaned_Working_Sheet!$M694&lt;=34,"Young",Cleaned_Working_Sheet!$M694&lt;=54,"Middle-aged",Cleaned_Working_Sheet!$M694&gt;54,"Old")</f>
        <v>Middle-aged</v>
      </c>
      <c r="O694" s="18" t="s">
        <v>15</v>
      </c>
    </row>
    <row r="695" spans="1:15" x14ac:dyDescent="0.25">
      <c r="A695" s="14">
        <v>25970</v>
      </c>
      <c r="B695" s="18" t="s">
        <v>37</v>
      </c>
      <c r="C695" s="18" t="s">
        <v>38</v>
      </c>
      <c r="D695" s="6">
        <v>60000</v>
      </c>
      <c r="E695" s="18" t="str" cm="1">
        <f t="array" ref="E695">_xlfn.IFS(Cleaned_Working_Sheet!$D695&lt;=50000,"Low Income",Cleaned_Working_Sheet!$D695&lt;100000,"Middle Income",TRUE,"High Income")</f>
        <v>Middle Income</v>
      </c>
      <c r="F695" s="16">
        <v>4</v>
      </c>
      <c r="G695" s="18" t="s">
        <v>13</v>
      </c>
      <c r="H695" s="18" t="s">
        <v>14</v>
      </c>
      <c r="I695" s="18" t="s">
        <v>18</v>
      </c>
      <c r="J695" s="16">
        <v>2</v>
      </c>
      <c r="K695" s="18" t="s">
        <v>16</v>
      </c>
      <c r="L695" s="18" t="s">
        <v>32</v>
      </c>
      <c r="M695" s="14">
        <v>41</v>
      </c>
      <c r="N695" s="18" t="str" cm="1">
        <f t="array" ref="N695">_xlfn.IFS(Cleaned_Working_Sheet!$M695&lt;=34,"Young",Cleaned_Working_Sheet!$M695&lt;=54,"Middle-aged",Cleaned_Working_Sheet!$M695&gt;54,"Old")</f>
        <v>Middle-aged</v>
      </c>
      <c r="O695" s="18" t="s">
        <v>15</v>
      </c>
    </row>
    <row r="696" spans="1:15" x14ac:dyDescent="0.25">
      <c r="A696" s="14">
        <v>28068</v>
      </c>
      <c r="B696" s="18" t="s">
        <v>37</v>
      </c>
      <c r="C696" s="18" t="s">
        <v>38</v>
      </c>
      <c r="D696" s="6">
        <v>80000</v>
      </c>
      <c r="E696" s="18" t="str" cm="1">
        <f t="array" ref="E696">_xlfn.IFS(Cleaned_Working_Sheet!$D696&lt;=50000,"Low Income",Cleaned_Working_Sheet!$D696&lt;100000,"Middle Income",TRUE,"High Income")</f>
        <v>Middle Income</v>
      </c>
      <c r="F696" s="16">
        <v>3</v>
      </c>
      <c r="G696" s="18" t="s">
        <v>31</v>
      </c>
      <c r="H696" s="18" t="s">
        <v>21</v>
      </c>
      <c r="I696" s="18" t="s">
        <v>18</v>
      </c>
      <c r="J696" s="16">
        <v>0</v>
      </c>
      <c r="K696" s="18" t="s">
        <v>16</v>
      </c>
      <c r="L696" s="18" t="s">
        <v>32</v>
      </c>
      <c r="M696" s="14">
        <v>36</v>
      </c>
      <c r="N696" s="18" t="str" cm="1">
        <f t="array" ref="N696">_xlfn.IFS(Cleaned_Working_Sheet!$M696&lt;=34,"Young",Cleaned_Working_Sheet!$M696&lt;=54,"Middle-aged",Cleaned_Working_Sheet!$M696&gt;54,"Old")</f>
        <v>Middle-aged</v>
      </c>
      <c r="O696" s="18" t="s">
        <v>15</v>
      </c>
    </row>
    <row r="697" spans="1:15" x14ac:dyDescent="0.25">
      <c r="A697" s="14">
        <v>18390</v>
      </c>
      <c r="B697" s="18" t="s">
        <v>36</v>
      </c>
      <c r="C697" s="18" t="s">
        <v>39</v>
      </c>
      <c r="D697" s="6">
        <v>80000</v>
      </c>
      <c r="E697" s="18" t="str" cm="1">
        <f t="array" ref="E697">_xlfn.IFS(Cleaned_Working_Sheet!$D697&lt;=50000,"Low Income",Cleaned_Working_Sheet!$D697&lt;100000,"Middle Income",TRUE,"High Income")</f>
        <v>Middle Income</v>
      </c>
      <c r="F697" s="16">
        <v>5</v>
      </c>
      <c r="G697" s="18" t="s">
        <v>19</v>
      </c>
      <c r="H697" s="18" t="s">
        <v>21</v>
      </c>
      <c r="I697" s="18" t="s">
        <v>15</v>
      </c>
      <c r="J697" s="16">
        <v>2</v>
      </c>
      <c r="K697" s="18" t="s">
        <v>16</v>
      </c>
      <c r="L697" s="18" t="s">
        <v>32</v>
      </c>
      <c r="M697" s="14">
        <v>44</v>
      </c>
      <c r="N697" s="18" t="str" cm="1">
        <f t="array" ref="N697">_xlfn.IFS(Cleaned_Working_Sheet!$M697&lt;=34,"Young",Cleaned_Working_Sheet!$M697&lt;=54,"Middle-aged",Cleaned_Working_Sheet!$M697&gt;54,"Old")</f>
        <v>Middle-aged</v>
      </c>
      <c r="O697" s="18" t="s">
        <v>18</v>
      </c>
    </row>
    <row r="698" spans="1:15" x14ac:dyDescent="0.25">
      <c r="A698" s="14">
        <v>29112</v>
      </c>
      <c r="B698" s="18" t="s">
        <v>37</v>
      </c>
      <c r="C698" s="18" t="s">
        <v>39</v>
      </c>
      <c r="D698" s="6">
        <v>60000</v>
      </c>
      <c r="E698" s="18" t="str" cm="1">
        <f t="array" ref="E698">_xlfn.IFS(Cleaned_Working_Sheet!$D698&lt;=50000,"Low Income",Cleaned_Working_Sheet!$D698&lt;100000,"Middle Income",TRUE,"High Income")</f>
        <v>Middle Income</v>
      </c>
      <c r="F698" s="16">
        <v>0</v>
      </c>
      <c r="G698" s="18" t="s">
        <v>19</v>
      </c>
      <c r="H698" s="18" t="s">
        <v>21</v>
      </c>
      <c r="I698" s="18" t="s">
        <v>18</v>
      </c>
      <c r="J698" s="16">
        <v>2</v>
      </c>
      <c r="K698" s="18" t="s">
        <v>26</v>
      </c>
      <c r="L698" s="18" t="s">
        <v>32</v>
      </c>
      <c r="M698" s="14">
        <v>30</v>
      </c>
      <c r="N698" s="18" t="str" cm="1">
        <f t="array" ref="N698">_xlfn.IFS(Cleaned_Working_Sheet!$M698&lt;=34,"Young",Cleaned_Working_Sheet!$M698&lt;=54,"Middle-aged",Cleaned_Working_Sheet!$M698&gt;54,"Old")</f>
        <v>Young</v>
      </c>
      <c r="O698" s="18" t="s">
        <v>18</v>
      </c>
    </row>
    <row r="699" spans="1:15" x14ac:dyDescent="0.25">
      <c r="A699" s="14">
        <v>14090</v>
      </c>
      <c r="B699" s="18" t="s">
        <v>36</v>
      </c>
      <c r="C699" s="18" t="s">
        <v>38</v>
      </c>
      <c r="D699" s="6">
        <v>30000</v>
      </c>
      <c r="E699" s="18" t="str" cm="1">
        <f t="array" ref="E699">_xlfn.IFS(Cleaned_Working_Sheet!$D699&lt;=50000,"Low Income",Cleaned_Working_Sheet!$D699&lt;100000,"Middle Income",TRUE,"High Income")</f>
        <v>Low Income</v>
      </c>
      <c r="F699" s="16">
        <v>0</v>
      </c>
      <c r="G699" s="18" t="s">
        <v>29</v>
      </c>
      <c r="H699" s="18" t="s">
        <v>20</v>
      </c>
      <c r="I699" s="18" t="s">
        <v>18</v>
      </c>
      <c r="J699" s="16">
        <v>2</v>
      </c>
      <c r="K699" s="18" t="s">
        <v>16</v>
      </c>
      <c r="L699" s="18" t="s">
        <v>32</v>
      </c>
      <c r="M699" s="14">
        <v>28</v>
      </c>
      <c r="N699" s="18" t="str" cm="1">
        <f t="array" ref="N699">_xlfn.IFS(Cleaned_Working_Sheet!$M699&lt;=34,"Young",Cleaned_Working_Sheet!$M699&lt;=54,"Middle-aged",Cleaned_Working_Sheet!$M699&gt;54,"Old")</f>
        <v>Young</v>
      </c>
      <c r="O699" s="18" t="s">
        <v>18</v>
      </c>
    </row>
    <row r="700" spans="1:15" x14ac:dyDescent="0.25">
      <c r="A700" s="14">
        <v>27040</v>
      </c>
      <c r="B700" s="18" t="s">
        <v>36</v>
      </c>
      <c r="C700" s="18" t="s">
        <v>39</v>
      </c>
      <c r="D700" s="6">
        <v>20000</v>
      </c>
      <c r="E700" s="18" t="str" cm="1">
        <f t="array" ref="E700">_xlfn.IFS(Cleaned_Working_Sheet!$D700&lt;=50000,"Low Income",Cleaned_Working_Sheet!$D700&lt;100000,"Middle Income",TRUE,"High Income")</f>
        <v>Low Income</v>
      </c>
      <c r="F700" s="16">
        <v>2</v>
      </c>
      <c r="G700" s="18" t="s">
        <v>29</v>
      </c>
      <c r="H700" s="18" t="s">
        <v>20</v>
      </c>
      <c r="I700" s="18" t="s">
        <v>15</v>
      </c>
      <c r="J700" s="16">
        <v>2</v>
      </c>
      <c r="K700" s="18" t="s">
        <v>26</v>
      </c>
      <c r="L700" s="18" t="s">
        <v>32</v>
      </c>
      <c r="M700" s="14">
        <v>49</v>
      </c>
      <c r="N700" s="18" t="str" cm="1">
        <f t="array" ref="N700">_xlfn.IFS(Cleaned_Working_Sheet!$M700&lt;=34,"Young",Cleaned_Working_Sheet!$M700&lt;=54,"Middle-aged",Cleaned_Working_Sheet!$M700&gt;54,"Old")</f>
        <v>Middle-aged</v>
      </c>
      <c r="O700" s="18" t="s">
        <v>18</v>
      </c>
    </row>
    <row r="701" spans="1:15" x14ac:dyDescent="0.25">
      <c r="A701" s="14">
        <v>23479</v>
      </c>
      <c r="B701" s="18" t="s">
        <v>37</v>
      </c>
      <c r="C701" s="18" t="s">
        <v>39</v>
      </c>
      <c r="D701" s="6">
        <v>90000</v>
      </c>
      <c r="E701" s="18" t="str" cm="1">
        <f t="array" ref="E701">_xlfn.IFS(Cleaned_Working_Sheet!$D701&lt;=50000,"Low Income",Cleaned_Working_Sheet!$D701&lt;100000,"Middle Income",TRUE,"High Income")</f>
        <v>Middle Income</v>
      </c>
      <c r="F701" s="16">
        <v>0</v>
      </c>
      <c r="G701" s="18" t="s">
        <v>19</v>
      </c>
      <c r="H701" s="18" t="s">
        <v>21</v>
      </c>
      <c r="I701" s="18" t="s">
        <v>18</v>
      </c>
      <c r="J701" s="16">
        <v>2</v>
      </c>
      <c r="K701" s="18" t="s">
        <v>16</v>
      </c>
      <c r="L701" s="18" t="s">
        <v>32</v>
      </c>
      <c r="M701" s="14">
        <v>43</v>
      </c>
      <c r="N701" s="18" t="str" cm="1">
        <f t="array" ref="N701">_xlfn.IFS(Cleaned_Working_Sheet!$M701&lt;=34,"Young",Cleaned_Working_Sheet!$M701&lt;=54,"Middle-aged",Cleaned_Working_Sheet!$M701&gt;54,"Old")</f>
        <v>Middle-aged</v>
      </c>
      <c r="O701" s="18" t="s">
        <v>15</v>
      </c>
    </row>
    <row r="702" spans="1:15" x14ac:dyDescent="0.25">
      <c r="A702" s="14">
        <v>16795</v>
      </c>
      <c r="B702" s="18" t="s">
        <v>36</v>
      </c>
      <c r="C702" s="18" t="s">
        <v>38</v>
      </c>
      <c r="D702" s="6">
        <v>70000</v>
      </c>
      <c r="E702" s="18" t="str" cm="1">
        <f t="array" ref="E702">_xlfn.IFS(Cleaned_Working_Sheet!$D702&lt;=50000,"Low Income",Cleaned_Working_Sheet!$D702&lt;100000,"Middle Income",TRUE,"High Income")</f>
        <v>Middle Income</v>
      </c>
      <c r="F702" s="16">
        <v>4</v>
      </c>
      <c r="G702" s="18" t="s">
        <v>13</v>
      </c>
      <c r="H702" s="18" t="s">
        <v>28</v>
      </c>
      <c r="I702" s="18" t="s">
        <v>15</v>
      </c>
      <c r="J702" s="16">
        <v>1</v>
      </c>
      <c r="K702" s="18" t="s">
        <v>26</v>
      </c>
      <c r="L702" s="18" t="s">
        <v>32</v>
      </c>
      <c r="M702" s="14">
        <v>59</v>
      </c>
      <c r="N702" s="18" t="str" cm="1">
        <f t="array" ref="N702">_xlfn.IFS(Cleaned_Working_Sheet!$M702&lt;=34,"Young",Cleaned_Working_Sheet!$M702&lt;=54,"Middle-aged",Cleaned_Working_Sheet!$M702&gt;54,"Old")</f>
        <v>Old</v>
      </c>
      <c r="O702" s="18" t="s">
        <v>18</v>
      </c>
    </row>
    <row r="703" spans="1:15" x14ac:dyDescent="0.25">
      <c r="A703" s="14">
        <v>22014</v>
      </c>
      <c r="B703" s="18" t="s">
        <v>37</v>
      </c>
      <c r="C703" s="18" t="s">
        <v>39</v>
      </c>
      <c r="D703" s="6">
        <v>30000</v>
      </c>
      <c r="E703" s="18" t="str" cm="1">
        <f t="array" ref="E703">_xlfn.IFS(Cleaned_Working_Sheet!$D703&lt;=50000,"Low Income",Cleaned_Working_Sheet!$D703&lt;100000,"Middle Income",TRUE,"High Income")</f>
        <v>Low Income</v>
      </c>
      <c r="F703" s="16">
        <v>0</v>
      </c>
      <c r="G703" s="18" t="s">
        <v>27</v>
      </c>
      <c r="H703" s="18" t="s">
        <v>14</v>
      </c>
      <c r="I703" s="18" t="s">
        <v>15</v>
      </c>
      <c r="J703" s="16">
        <v>2</v>
      </c>
      <c r="K703" s="18" t="s">
        <v>23</v>
      </c>
      <c r="L703" s="18" t="s">
        <v>32</v>
      </c>
      <c r="M703" s="14">
        <v>26</v>
      </c>
      <c r="N703" s="18" t="str" cm="1">
        <f t="array" ref="N703">_xlfn.IFS(Cleaned_Working_Sheet!$M703&lt;=34,"Young",Cleaned_Working_Sheet!$M703&lt;=54,"Middle-aged",Cleaned_Working_Sheet!$M703&gt;54,"Old")</f>
        <v>Young</v>
      </c>
      <c r="O703" s="18" t="s">
        <v>18</v>
      </c>
    </row>
    <row r="704" spans="1:15" x14ac:dyDescent="0.25">
      <c r="A704" s="14">
        <v>13314</v>
      </c>
      <c r="B704" s="18" t="s">
        <v>36</v>
      </c>
      <c r="C704" s="18" t="s">
        <v>39</v>
      </c>
      <c r="D704" s="6">
        <v>120000</v>
      </c>
      <c r="E704" s="18" t="str" cm="1">
        <f t="array" ref="E704">_xlfn.IFS(Cleaned_Working_Sheet!$D704&lt;=50000,"Low Income",Cleaned_Working_Sheet!$D704&lt;100000,"Middle Income",TRUE,"High Income")</f>
        <v>High Income</v>
      </c>
      <c r="F704" s="16">
        <v>1</v>
      </c>
      <c r="G704" s="18" t="s">
        <v>27</v>
      </c>
      <c r="H704" s="18" t="s">
        <v>21</v>
      </c>
      <c r="I704" s="18" t="s">
        <v>15</v>
      </c>
      <c r="J704" s="16">
        <v>4</v>
      </c>
      <c r="K704" s="18" t="s">
        <v>23</v>
      </c>
      <c r="L704" s="18" t="s">
        <v>32</v>
      </c>
      <c r="M704" s="14">
        <v>46</v>
      </c>
      <c r="N704" s="18" t="str" cm="1">
        <f t="array" ref="N704">_xlfn.IFS(Cleaned_Working_Sheet!$M704&lt;=34,"Young",Cleaned_Working_Sheet!$M704&lt;=54,"Middle-aged",Cleaned_Working_Sheet!$M704&gt;54,"Old")</f>
        <v>Middle-aged</v>
      </c>
      <c r="O704" s="18" t="s">
        <v>15</v>
      </c>
    </row>
    <row r="705" spans="1:15" x14ac:dyDescent="0.25">
      <c r="A705" s="14">
        <v>11619</v>
      </c>
      <c r="B705" s="18" t="s">
        <v>37</v>
      </c>
      <c r="C705" s="18" t="s">
        <v>38</v>
      </c>
      <c r="D705" s="6">
        <v>50000</v>
      </c>
      <c r="E705" s="18" t="str" cm="1">
        <f t="array" ref="E705">_xlfn.IFS(Cleaned_Working_Sheet!$D705&lt;=50000,"Low Income",Cleaned_Working_Sheet!$D705&lt;100000,"Middle Income",TRUE,"High Income")</f>
        <v>Low Income</v>
      </c>
      <c r="F705" s="16">
        <v>0</v>
      </c>
      <c r="G705" s="18" t="s">
        <v>31</v>
      </c>
      <c r="H705" s="18" t="s">
        <v>14</v>
      </c>
      <c r="I705" s="18" t="s">
        <v>15</v>
      </c>
      <c r="J705" s="16">
        <v>0</v>
      </c>
      <c r="K705" s="18" t="s">
        <v>26</v>
      </c>
      <c r="L705" s="18" t="s">
        <v>32</v>
      </c>
      <c r="M705" s="14">
        <v>33</v>
      </c>
      <c r="N705" s="18" t="str" cm="1">
        <f t="array" ref="N705">_xlfn.IFS(Cleaned_Working_Sheet!$M705&lt;=34,"Young",Cleaned_Working_Sheet!$M705&lt;=54,"Middle-aged",Cleaned_Working_Sheet!$M705&gt;54,"Old")</f>
        <v>Young</v>
      </c>
      <c r="O705" s="18" t="s">
        <v>18</v>
      </c>
    </row>
    <row r="706" spans="1:15" x14ac:dyDescent="0.25">
      <c r="A706" s="14">
        <v>29132</v>
      </c>
      <c r="B706" s="18" t="s">
        <v>37</v>
      </c>
      <c r="C706" s="18" t="s">
        <v>38</v>
      </c>
      <c r="D706" s="6">
        <v>40000</v>
      </c>
      <c r="E706" s="18" t="str" cm="1">
        <f t="array" ref="E706">_xlfn.IFS(Cleaned_Working_Sheet!$D706&lt;=50000,"Low Income",Cleaned_Working_Sheet!$D706&lt;100000,"Middle Income",TRUE,"High Income")</f>
        <v>Low Income</v>
      </c>
      <c r="F706" s="16">
        <v>0</v>
      </c>
      <c r="G706" s="18" t="s">
        <v>13</v>
      </c>
      <c r="H706" s="18" t="s">
        <v>21</v>
      </c>
      <c r="I706" s="18" t="s">
        <v>15</v>
      </c>
      <c r="J706" s="16">
        <v>1</v>
      </c>
      <c r="K706" s="18" t="s">
        <v>22</v>
      </c>
      <c r="L706" s="18" t="s">
        <v>32</v>
      </c>
      <c r="M706" s="14">
        <v>42</v>
      </c>
      <c r="N706" s="18" t="str" cm="1">
        <f t="array" ref="N706">_xlfn.IFS(Cleaned_Working_Sheet!$M706&lt;=34,"Young",Cleaned_Working_Sheet!$M706&lt;=54,"Middle-aged",Cleaned_Working_Sheet!$M706&gt;54,"Old")</f>
        <v>Middle-aged</v>
      </c>
      <c r="O706" s="18" t="s">
        <v>15</v>
      </c>
    </row>
    <row r="707" spans="1:15" x14ac:dyDescent="0.25">
      <c r="A707" s="14">
        <v>11199</v>
      </c>
      <c r="B707" s="18" t="s">
        <v>36</v>
      </c>
      <c r="C707" s="18" t="s">
        <v>38</v>
      </c>
      <c r="D707" s="6">
        <v>70000</v>
      </c>
      <c r="E707" s="18" t="str" cm="1">
        <f t="array" ref="E707">_xlfn.IFS(Cleaned_Working_Sheet!$D707&lt;=50000,"Low Income",Cleaned_Working_Sheet!$D707&lt;100000,"Middle Income",TRUE,"High Income")</f>
        <v>Middle Income</v>
      </c>
      <c r="F707" s="16">
        <v>4</v>
      </c>
      <c r="G707" s="18" t="s">
        <v>13</v>
      </c>
      <c r="H707" s="18" t="s">
        <v>28</v>
      </c>
      <c r="I707" s="18" t="s">
        <v>15</v>
      </c>
      <c r="J707" s="16">
        <v>1</v>
      </c>
      <c r="K707" s="18" t="s">
        <v>43</v>
      </c>
      <c r="L707" s="18" t="s">
        <v>32</v>
      </c>
      <c r="M707" s="14">
        <v>59</v>
      </c>
      <c r="N707" s="18" t="str" cm="1">
        <f t="array" ref="N707">_xlfn.IFS(Cleaned_Working_Sheet!$M707&lt;=34,"Young",Cleaned_Working_Sheet!$M707&lt;=54,"Middle-aged",Cleaned_Working_Sheet!$M707&gt;54,"Old")</f>
        <v>Old</v>
      </c>
      <c r="O707" s="18" t="s">
        <v>18</v>
      </c>
    </row>
    <row r="708" spans="1:15" x14ac:dyDescent="0.25">
      <c r="A708" s="14">
        <v>20296</v>
      </c>
      <c r="B708" s="18" t="s">
        <v>37</v>
      </c>
      <c r="C708" s="18" t="s">
        <v>38</v>
      </c>
      <c r="D708" s="6">
        <v>60000</v>
      </c>
      <c r="E708" s="18" t="str" cm="1">
        <f t="array" ref="E708">_xlfn.IFS(Cleaned_Working_Sheet!$D708&lt;=50000,"Low Income",Cleaned_Working_Sheet!$D708&lt;100000,"Middle Income",TRUE,"High Income")</f>
        <v>Middle Income</v>
      </c>
      <c r="F708" s="16">
        <v>0</v>
      </c>
      <c r="G708" s="18" t="s">
        <v>19</v>
      </c>
      <c r="H708" s="18" t="s">
        <v>14</v>
      </c>
      <c r="I708" s="18" t="s">
        <v>18</v>
      </c>
      <c r="J708" s="16">
        <v>1</v>
      </c>
      <c r="K708" s="18" t="s">
        <v>26</v>
      </c>
      <c r="L708" s="18" t="s">
        <v>32</v>
      </c>
      <c r="M708" s="14">
        <v>33</v>
      </c>
      <c r="N708" s="18" t="str" cm="1">
        <f t="array" ref="N708">_xlfn.IFS(Cleaned_Working_Sheet!$M708&lt;=34,"Young",Cleaned_Working_Sheet!$M708&lt;=54,"Middle-aged",Cleaned_Working_Sheet!$M708&gt;54,"Old")</f>
        <v>Young</v>
      </c>
      <c r="O708" s="18" t="s">
        <v>15</v>
      </c>
    </row>
    <row r="709" spans="1:15" x14ac:dyDescent="0.25">
      <c r="A709" s="14">
        <v>17546</v>
      </c>
      <c r="B709" s="18" t="s">
        <v>36</v>
      </c>
      <c r="C709" s="18" t="s">
        <v>38</v>
      </c>
      <c r="D709" s="6">
        <v>70000</v>
      </c>
      <c r="E709" s="18" t="str" cm="1">
        <f t="array" ref="E709">_xlfn.IFS(Cleaned_Working_Sheet!$D709&lt;=50000,"Low Income",Cleaned_Working_Sheet!$D709&lt;100000,"Middle Income",TRUE,"High Income")</f>
        <v>Middle Income</v>
      </c>
      <c r="F709" s="16">
        <v>1</v>
      </c>
      <c r="G709" s="18" t="s">
        <v>19</v>
      </c>
      <c r="H709" s="18" t="s">
        <v>14</v>
      </c>
      <c r="I709" s="18" t="s">
        <v>15</v>
      </c>
      <c r="J709" s="16">
        <v>1</v>
      </c>
      <c r="K709" s="18" t="s">
        <v>16</v>
      </c>
      <c r="L709" s="18" t="s">
        <v>32</v>
      </c>
      <c r="M709" s="14">
        <v>44</v>
      </c>
      <c r="N709" s="18" t="str" cm="1">
        <f t="array" ref="N709">_xlfn.IFS(Cleaned_Working_Sheet!$M709&lt;=34,"Young",Cleaned_Working_Sheet!$M709&lt;=54,"Middle-aged",Cleaned_Working_Sheet!$M709&gt;54,"Old")</f>
        <v>Middle-aged</v>
      </c>
      <c r="O709" s="18" t="s">
        <v>15</v>
      </c>
    </row>
    <row r="710" spans="1:15" x14ac:dyDescent="0.25">
      <c r="A710" s="14">
        <v>18069</v>
      </c>
      <c r="B710" s="18" t="s">
        <v>36</v>
      </c>
      <c r="C710" s="18" t="s">
        <v>39</v>
      </c>
      <c r="D710" s="6">
        <v>70000</v>
      </c>
      <c r="E710" s="18" t="str" cm="1">
        <f t="array" ref="E710">_xlfn.IFS(Cleaned_Working_Sheet!$D710&lt;=50000,"Low Income",Cleaned_Working_Sheet!$D710&lt;100000,"Middle Income",TRUE,"High Income")</f>
        <v>Middle Income</v>
      </c>
      <c r="F710" s="16">
        <v>5</v>
      </c>
      <c r="G710" s="18" t="s">
        <v>13</v>
      </c>
      <c r="H710" s="18" t="s">
        <v>28</v>
      </c>
      <c r="I710" s="18" t="s">
        <v>15</v>
      </c>
      <c r="J710" s="16">
        <v>4</v>
      </c>
      <c r="K710" s="18" t="s">
        <v>43</v>
      </c>
      <c r="L710" s="18" t="s">
        <v>32</v>
      </c>
      <c r="M710" s="14">
        <v>60</v>
      </c>
      <c r="N710" s="18" t="str" cm="1">
        <f t="array" ref="N710">_xlfn.IFS(Cleaned_Working_Sheet!$M710&lt;=34,"Young",Cleaned_Working_Sheet!$M710&lt;=54,"Middle-aged",Cleaned_Working_Sheet!$M710&gt;54,"Old")</f>
        <v>Old</v>
      </c>
      <c r="O710" s="18" t="s">
        <v>18</v>
      </c>
    </row>
    <row r="711" spans="1:15" x14ac:dyDescent="0.25">
      <c r="A711" s="14">
        <v>23712</v>
      </c>
      <c r="B711" s="18" t="s">
        <v>37</v>
      </c>
      <c r="C711" s="18" t="s">
        <v>38</v>
      </c>
      <c r="D711" s="6">
        <v>70000</v>
      </c>
      <c r="E711" s="18" t="str" cm="1">
        <f t="array" ref="E711">_xlfn.IFS(Cleaned_Working_Sheet!$D711&lt;=50000,"Low Income",Cleaned_Working_Sheet!$D711&lt;100000,"Middle Income",TRUE,"High Income")</f>
        <v>Middle Income</v>
      </c>
      <c r="F711" s="16">
        <v>2</v>
      </c>
      <c r="G711" s="18" t="s">
        <v>13</v>
      </c>
      <c r="H711" s="18" t="s">
        <v>28</v>
      </c>
      <c r="I711" s="18" t="s">
        <v>15</v>
      </c>
      <c r="J711" s="16">
        <v>1</v>
      </c>
      <c r="K711" s="18" t="s">
        <v>43</v>
      </c>
      <c r="L711" s="18" t="s">
        <v>32</v>
      </c>
      <c r="M711" s="14">
        <v>59</v>
      </c>
      <c r="N711" s="18" t="str" cm="1">
        <f t="array" ref="N711">_xlfn.IFS(Cleaned_Working_Sheet!$M711&lt;=34,"Young",Cleaned_Working_Sheet!$M711&lt;=54,"Middle-aged",Cleaned_Working_Sheet!$M711&gt;54,"Old")</f>
        <v>Old</v>
      </c>
      <c r="O711" s="18" t="s">
        <v>18</v>
      </c>
    </row>
    <row r="712" spans="1:15" x14ac:dyDescent="0.25">
      <c r="A712" s="14">
        <v>23358</v>
      </c>
      <c r="B712" s="18" t="s">
        <v>36</v>
      </c>
      <c r="C712" s="18" t="s">
        <v>39</v>
      </c>
      <c r="D712" s="6">
        <v>60000</v>
      </c>
      <c r="E712" s="18" t="str" cm="1">
        <f t="array" ref="E712">_xlfn.IFS(Cleaned_Working_Sheet!$D712&lt;=50000,"Low Income",Cleaned_Working_Sheet!$D712&lt;100000,"Middle Income",TRUE,"High Income")</f>
        <v>Middle Income</v>
      </c>
      <c r="F712" s="16">
        <v>0</v>
      </c>
      <c r="G712" s="18" t="s">
        <v>27</v>
      </c>
      <c r="H712" s="18" t="s">
        <v>21</v>
      </c>
      <c r="I712" s="18" t="s">
        <v>15</v>
      </c>
      <c r="J712" s="16">
        <v>2</v>
      </c>
      <c r="K712" s="18" t="s">
        <v>23</v>
      </c>
      <c r="L712" s="18" t="s">
        <v>32</v>
      </c>
      <c r="M712" s="14">
        <v>32</v>
      </c>
      <c r="N712" s="18" t="str" cm="1">
        <f t="array" ref="N712">_xlfn.IFS(Cleaned_Working_Sheet!$M712&lt;=34,"Young",Cleaned_Working_Sheet!$M712&lt;=54,"Middle-aged",Cleaned_Working_Sheet!$M712&gt;54,"Old")</f>
        <v>Young</v>
      </c>
      <c r="O712" s="18" t="s">
        <v>15</v>
      </c>
    </row>
    <row r="713" spans="1:15" x14ac:dyDescent="0.25">
      <c r="A713" s="14">
        <v>20518</v>
      </c>
      <c r="B713" s="18" t="s">
        <v>36</v>
      </c>
      <c r="C713" s="18" t="s">
        <v>38</v>
      </c>
      <c r="D713" s="6">
        <v>70000</v>
      </c>
      <c r="E713" s="18" t="str" cm="1">
        <f t="array" ref="E713">_xlfn.IFS(Cleaned_Working_Sheet!$D713&lt;=50000,"Low Income",Cleaned_Working_Sheet!$D713&lt;100000,"Middle Income",TRUE,"High Income")</f>
        <v>Middle Income</v>
      </c>
      <c r="F713" s="16">
        <v>2</v>
      </c>
      <c r="G713" s="18" t="s">
        <v>19</v>
      </c>
      <c r="H713" s="18" t="s">
        <v>21</v>
      </c>
      <c r="I713" s="18" t="s">
        <v>15</v>
      </c>
      <c r="J713" s="16">
        <v>1</v>
      </c>
      <c r="K713" s="18" t="s">
        <v>43</v>
      </c>
      <c r="L713" s="18" t="s">
        <v>32</v>
      </c>
      <c r="M713" s="14">
        <v>58</v>
      </c>
      <c r="N713" s="18" t="str" cm="1">
        <f t="array" ref="N713">_xlfn.IFS(Cleaned_Working_Sheet!$M713&lt;=34,"Young",Cleaned_Working_Sheet!$M713&lt;=54,"Middle-aged",Cleaned_Working_Sheet!$M713&gt;54,"Old")</f>
        <v>Old</v>
      </c>
      <c r="O713" s="18" t="s">
        <v>18</v>
      </c>
    </row>
    <row r="714" spans="1:15" x14ac:dyDescent="0.25">
      <c r="A714" s="14">
        <v>28026</v>
      </c>
      <c r="B714" s="18" t="s">
        <v>36</v>
      </c>
      <c r="C714" s="18" t="s">
        <v>38</v>
      </c>
      <c r="D714" s="6">
        <v>40000</v>
      </c>
      <c r="E714" s="18" t="str" cm="1">
        <f t="array" ref="E714">_xlfn.IFS(Cleaned_Working_Sheet!$D714&lt;=50000,"Low Income",Cleaned_Working_Sheet!$D714&lt;100000,"Middle Income",TRUE,"High Income")</f>
        <v>Low Income</v>
      </c>
      <c r="F714" s="16">
        <v>2</v>
      </c>
      <c r="G714" s="18" t="s">
        <v>27</v>
      </c>
      <c r="H714" s="18" t="s">
        <v>21</v>
      </c>
      <c r="I714" s="18" t="s">
        <v>18</v>
      </c>
      <c r="J714" s="16">
        <v>2</v>
      </c>
      <c r="K714" s="18" t="s">
        <v>22</v>
      </c>
      <c r="L714" s="18" t="s">
        <v>32</v>
      </c>
      <c r="M714" s="14">
        <v>59</v>
      </c>
      <c r="N714" s="18" t="str" cm="1">
        <f t="array" ref="N714">_xlfn.IFS(Cleaned_Working_Sheet!$M714&lt;=34,"Young",Cleaned_Working_Sheet!$M714&lt;=54,"Middle-aged",Cleaned_Working_Sheet!$M714&gt;54,"Old")</f>
        <v>Old</v>
      </c>
      <c r="O714" s="18" t="s">
        <v>18</v>
      </c>
    </row>
    <row r="715" spans="1:15" x14ac:dyDescent="0.25">
      <c r="A715" s="14">
        <v>11669</v>
      </c>
      <c r="B715" s="18" t="s">
        <v>37</v>
      </c>
      <c r="C715" s="18" t="s">
        <v>38</v>
      </c>
      <c r="D715" s="6">
        <v>70000</v>
      </c>
      <c r="E715" s="18" t="str" cm="1">
        <f t="array" ref="E715">_xlfn.IFS(Cleaned_Working_Sheet!$D715&lt;=50000,"Low Income",Cleaned_Working_Sheet!$D715&lt;100000,"Middle Income",TRUE,"High Income")</f>
        <v>Middle Income</v>
      </c>
      <c r="F715" s="16">
        <v>2</v>
      </c>
      <c r="G715" s="18" t="s">
        <v>13</v>
      </c>
      <c r="H715" s="18" t="s">
        <v>14</v>
      </c>
      <c r="I715" s="18" t="s">
        <v>15</v>
      </c>
      <c r="J715" s="16">
        <v>1</v>
      </c>
      <c r="K715" s="18" t="s">
        <v>22</v>
      </c>
      <c r="L715" s="18" t="s">
        <v>32</v>
      </c>
      <c r="M715" s="14">
        <v>38</v>
      </c>
      <c r="N715" s="18" t="str" cm="1">
        <f t="array" ref="N715">_xlfn.IFS(Cleaned_Working_Sheet!$M715&lt;=34,"Young",Cleaned_Working_Sheet!$M715&lt;=54,"Middle-aged",Cleaned_Working_Sheet!$M715&gt;54,"Old")</f>
        <v>Middle-aged</v>
      </c>
      <c r="O715" s="18" t="s">
        <v>18</v>
      </c>
    </row>
    <row r="716" spans="1:15" x14ac:dyDescent="0.25">
      <c r="A716" s="14">
        <v>16020</v>
      </c>
      <c r="B716" s="18" t="s">
        <v>36</v>
      </c>
      <c r="C716" s="18" t="s">
        <v>39</v>
      </c>
      <c r="D716" s="6">
        <v>40000</v>
      </c>
      <c r="E716" s="18" t="str" cm="1">
        <f t="array" ref="E716">_xlfn.IFS(Cleaned_Working_Sheet!$D716&lt;=50000,"Low Income",Cleaned_Working_Sheet!$D716&lt;100000,"Middle Income",TRUE,"High Income")</f>
        <v>Low Income</v>
      </c>
      <c r="F716" s="16">
        <v>0</v>
      </c>
      <c r="G716" s="18" t="s">
        <v>27</v>
      </c>
      <c r="H716" s="18" t="s">
        <v>14</v>
      </c>
      <c r="I716" s="18" t="s">
        <v>15</v>
      </c>
      <c r="J716" s="16">
        <v>2</v>
      </c>
      <c r="K716" s="18" t="s">
        <v>23</v>
      </c>
      <c r="L716" s="18" t="s">
        <v>32</v>
      </c>
      <c r="M716" s="14">
        <v>28</v>
      </c>
      <c r="N716" s="18" t="str" cm="1">
        <f t="array" ref="N716">_xlfn.IFS(Cleaned_Working_Sheet!$M716&lt;=34,"Young",Cleaned_Working_Sheet!$M716&lt;=54,"Middle-aged",Cleaned_Working_Sheet!$M716&gt;54,"Old")</f>
        <v>Young</v>
      </c>
      <c r="O716" s="18" t="s">
        <v>15</v>
      </c>
    </row>
    <row r="717" spans="1:15" x14ac:dyDescent="0.25">
      <c r="A717" s="14">
        <v>27090</v>
      </c>
      <c r="B717" s="18" t="s">
        <v>36</v>
      </c>
      <c r="C717" s="18" t="s">
        <v>38</v>
      </c>
      <c r="D717" s="6">
        <v>60000</v>
      </c>
      <c r="E717" s="18" t="str" cm="1">
        <f t="array" ref="E717">_xlfn.IFS(Cleaned_Working_Sheet!$D717&lt;=50000,"Low Income",Cleaned_Working_Sheet!$D717&lt;100000,"Middle Income",TRUE,"High Income")</f>
        <v>Middle Income</v>
      </c>
      <c r="F717" s="16">
        <v>1</v>
      </c>
      <c r="G717" s="18" t="s">
        <v>31</v>
      </c>
      <c r="H717" s="18" t="s">
        <v>21</v>
      </c>
      <c r="I717" s="18" t="s">
        <v>15</v>
      </c>
      <c r="J717" s="16">
        <v>0</v>
      </c>
      <c r="K717" s="18" t="s">
        <v>22</v>
      </c>
      <c r="L717" s="18" t="s">
        <v>32</v>
      </c>
      <c r="M717" s="14">
        <v>37</v>
      </c>
      <c r="N717" s="18" t="str" cm="1">
        <f t="array" ref="N717">_xlfn.IFS(Cleaned_Working_Sheet!$M717&lt;=34,"Young",Cleaned_Working_Sheet!$M717&lt;=54,"Middle-aged",Cleaned_Working_Sheet!$M717&gt;54,"Old")</f>
        <v>Middle-aged</v>
      </c>
      <c r="O717" s="18" t="s">
        <v>15</v>
      </c>
    </row>
    <row r="718" spans="1:15" x14ac:dyDescent="0.25">
      <c r="A718" s="14">
        <v>27198</v>
      </c>
      <c r="B718" s="18" t="s">
        <v>37</v>
      </c>
      <c r="C718" s="18" t="s">
        <v>38</v>
      </c>
      <c r="D718" s="6">
        <v>80000</v>
      </c>
      <c r="E718" s="18" t="str" cm="1">
        <f t="array" ref="E718">_xlfn.IFS(Cleaned_Working_Sheet!$D718&lt;=50000,"Low Income",Cleaned_Working_Sheet!$D718&lt;100000,"Middle Income",TRUE,"High Income")</f>
        <v>Middle Income</v>
      </c>
      <c r="F718" s="16">
        <v>0</v>
      </c>
      <c r="G718" s="18" t="s">
        <v>31</v>
      </c>
      <c r="H718" s="18" t="s">
        <v>14</v>
      </c>
      <c r="I718" s="18" t="s">
        <v>18</v>
      </c>
      <c r="J718" s="16">
        <v>0</v>
      </c>
      <c r="K718" s="18" t="s">
        <v>16</v>
      </c>
      <c r="L718" s="18" t="s">
        <v>32</v>
      </c>
      <c r="M718" s="14">
        <v>40</v>
      </c>
      <c r="N718" s="18" t="str" cm="1">
        <f t="array" ref="N718">_xlfn.IFS(Cleaned_Working_Sheet!$M718&lt;=34,"Young",Cleaned_Working_Sheet!$M718&lt;=54,"Middle-aged",Cleaned_Working_Sheet!$M718&gt;54,"Old")</f>
        <v>Middle-aged</v>
      </c>
      <c r="O718" s="18" t="s">
        <v>18</v>
      </c>
    </row>
    <row r="719" spans="1:15" x14ac:dyDescent="0.25">
      <c r="A719" s="14">
        <v>19661</v>
      </c>
      <c r="B719" s="18" t="s">
        <v>37</v>
      </c>
      <c r="C719" s="18" t="s">
        <v>39</v>
      </c>
      <c r="D719" s="6">
        <v>90000</v>
      </c>
      <c r="E719" s="18" t="str" cm="1">
        <f t="array" ref="E719">_xlfn.IFS(Cleaned_Working_Sheet!$D719&lt;=50000,"Low Income",Cleaned_Working_Sheet!$D719&lt;100000,"Middle Income",TRUE,"High Income")</f>
        <v>Middle Income</v>
      </c>
      <c r="F719" s="16">
        <v>4</v>
      </c>
      <c r="G719" s="18" t="s">
        <v>13</v>
      </c>
      <c r="H719" s="18" t="s">
        <v>28</v>
      </c>
      <c r="I719" s="18" t="s">
        <v>15</v>
      </c>
      <c r="J719" s="16">
        <v>1</v>
      </c>
      <c r="K719" s="18" t="s">
        <v>26</v>
      </c>
      <c r="L719" s="18" t="s">
        <v>32</v>
      </c>
      <c r="M719" s="14">
        <v>38</v>
      </c>
      <c r="N719" s="18" t="str" cm="1">
        <f t="array" ref="N719">_xlfn.IFS(Cleaned_Working_Sheet!$M719&lt;=34,"Young",Cleaned_Working_Sheet!$M719&lt;=54,"Middle-aged",Cleaned_Working_Sheet!$M719&gt;54,"Old")</f>
        <v>Middle-aged</v>
      </c>
      <c r="O719" s="18" t="s">
        <v>15</v>
      </c>
    </row>
    <row r="720" spans="1:15" x14ac:dyDescent="0.25">
      <c r="A720" s="14">
        <v>26327</v>
      </c>
      <c r="B720" s="18" t="s">
        <v>36</v>
      </c>
      <c r="C720" s="18" t="s">
        <v>39</v>
      </c>
      <c r="D720" s="6">
        <v>70000</v>
      </c>
      <c r="E720" s="18" t="str" cm="1">
        <f t="array" ref="E720">_xlfn.IFS(Cleaned_Working_Sheet!$D720&lt;=50000,"Low Income",Cleaned_Working_Sheet!$D720&lt;100000,"Middle Income",TRUE,"High Income")</f>
        <v>Middle Income</v>
      </c>
      <c r="F720" s="16">
        <v>4</v>
      </c>
      <c r="G720" s="18" t="s">
        <v>31</v>
      </c>
      <c r="H720" s="18" t="s">
        <v>21</v>
      </c>
      <c r="I720" s="18" t="s">
        <v>15</v>
      </c>
      <c r="J720" s="16">
        <v>0</v>
      </c>
      <c r="K720" s="18" t="s">
        <v>22</v>
      </c>
      <c r="L720" s="18" t="s">
        <v>32</v>
      </c>
      <c r="M720" s="14">
        <v>36</v>
      </c>
      <c r="N720" s="18" t="str" cm="1">
        <f t="array" ref="N720">_xlfn.IFS(Cleaned_Working_Sheet!$M720&lt;=34,"Young",Cleaned_Working_Sheet!$M720&lt;=54,"Middle-aged",Cleaned_Working_Sheet!$M720&gt;54,"Old")</f>
        <v>Middle-aged</v>
      </c>
      <c r="O720" s="18" t="s">
        <v>15</v>
      </c>
    </row>
    <row r="721" spans="1:15" x14ac:dyDescent="0.25">
      <c r="A721" s="14">
        <v>26341</v>
      </c>
      <c r="B721" s="18" t="s">
        <v>36</v>
      </c>
      <c r="C721" s="18" t="s">
        <v>38</v>
      </c>
      <c r="D721" s="6">
        <v>70000</v>
      </c>
      <c r="E721" s="18" t="str" cm="1">
        <f t="array" ref="E721">_xlfn.IFS(Cleaned_Working_Sheet!$D721&lt;=50000,"Low Income",Cleaned_Working_Sheet!$D721&lt;100000,"Middle Income",TRUE,"High Income")</f>
        <v>Middle Income</v>
      </c>
      <c r="F721" s="16">
        <v>5</v>
      </c>
      <c r="G721" s="18" t="s">
        <v>31</v>
      </c>
      <c r="H721" s="18" t="s">
        <v>21</v>
      </c>
      <c r="I721" s="18" t="s">
        <v>15</v>
      </c>
      <c r="J721" s="16">
        <v>2</v>
      </c>
      <c r="K721" s="18" t="s">
        <v>16</v>
      </c>
      <c r="L721" s="18" t="s">
        <v>32</v>
      </c>
      <c r="M721" s="14">
        <v>37</v>
      </c>
      <c r="N721" s="18" t="str" cm="1">
        <f t="array" ref="N721">_xlfn.IFS(Cleaned_Working_Sheet!$M721&lt;=34,"Young",Cleaned_Working_Sheet!$M721&lt;=54,"Middle-aged",Cleaned_Working_Sheet!$M721&gt;54,"Old")</f>
        <v>Middle-aged</v>
      </c>
      <c r="O721" s="18" t="s">
        <v>18</v>
      </c>
    </row>
    <row r="722" spans="1:15" x14ac:dyDescent="0.25">
      <c r="A722" s="14">
        <v>24958</v>
      </c>
      <c r="B722" s="18" t="s">
        <v>37</v>
      </c>
      <c r="C722" s="18" t="s">
        <v>38</v>
      </c>
      <c r="D722" s="6">
        <v>40000</v>
      </c>
      <c r="E722" s="18" t="str" cm="1">
        <f t="array" ref="E722">_xlfn.IFS(Cleaned_Working_Sheet!$D722&lt;=50000,"Low Income",Cleaned_Working_Sheet!$D722&lt;100000,"Middle Income",TRUE,"High Income")</f>
        <v>Low Income</v>
      </c>
      <c r="F722" s="16">
        <v>5</v>
      </c>
      <c r="G722" s="18" t="s">
        <v>27</v>
      </c>
      <c r="H722" s="18" t="s">
        <v>21</v>
      </c>
      <c r="I722" s="18" t="s">
        <v>18</v>
      </c>
      <c r="J722" s="16">
        <v>3</v>
      </c>
      <c r="K722" s="18" t="s">
        <v>22</v>
      </c>
      <c r="L722" s="18" t="s">
        <v>32</v>
      </c>
      <c r="M722" s="14">
        <v>60</v>
      </c>
      <c r="N722" s="18" t="str" cm="1">
        <f t="array" ref="N722">_xlfn.IFS(Cleaned_Working_Sheet!$M722&lt;=34,"Young",Cleaned_Working_Sheet!$M722&lt;=54,"Middle-aged",Cleaned_Working_Sheet!$M722&gt;54,"Old")</f>
        <v>Old</v>
      </c>
      <c r="O722" s="18" t="s">
        <v>15</v>
      </c>
    </row>
    <row r="723" spans="1:15" x14ac:dyDescent="0.25">
      <c r="A723" s="14">
        <v>13287</v>
      </c>
      <c r="B723" s="18" t="s">
        <v>37</v>
      </c>
      <c r="C723" s="18" t="s">
        <v>39</v>
      </c>
      <c r="D723" s="6">
        <v>110000</v>
      </c>
      <c r="E723" s="18" t="str" cm="1">
        <f t="array" ref="E723">_xlfn.IFS(Cleaned_Working_Sheet!$D723&lt;=50000,"Low Income",Cleaned_Working_Sheet!$D723&lt;100000,"Middle Income",TRUE,"High Income")</f>
        <v>High Income</v>
      </c>
      <c r="F723" s="16">
        <v>4</v>
      </c>
      <c r="G723" s="18" t="s">
        <v>13</v>
      </c>
      <c r="H723" s="18" t="s">
        <v>28</v>
      </c>
      <c r="I723" s="18" t="s">
        <v>15</v>
      </c>
      <c r="J723" s="16">
        <v>4</v>
      </c>
      <c r="K723" s="18" t="s">
        <v>23</v>
      </c>
      <c r="L723" s="18" t="s">
        <v>32</v>
      </c>
      <c r="M723" s="14">
        <v>42</v>
      </c>
      <c r="N723" s="18" t="str" cm="1">
        <f t="array" ref="N723">_xlfn.IFS(Cleaned_Working_Sheet!$M723&lt;=34,"Young",Cleaned_Working_Sheet!$M723&lt;=54,"Middle-aged",Cleaned_Working_Sheet!$M723&gt;54,"Old")</f>
        <v>Middle-aged</v>
      </c>
      <c r="O723" s="18" t="s">
        <v>15</v>
      </c>
    </row>
    <row r="724" spans="1:15" x14ac:dyDescent="0.25">
      <c r="A724" s="14">
        <v>14493</v>
      </c>
      <c r="B724" s="18" t="s">
        <v>37</v>
      </c>
      <c r="C724" s="18" t="s">
        <v>38</v>
      </c>
      <c r="D724" s="6">
        <v>70000</v>
      </c>
      <c r="E724" s="18" t="str" cm="1">
        <f t="array" ref="E724">_xlfn.IFS(Cleaned_Working_Sheet!$D724&lt;=50000,"Low Income",Cleaned_Working_Sheet!$D724&lt;100000,"Middle Income",TRUE,"High Income")</f>
        <v>Middle Income</v>
      </c>
      <c r="F724" s="16">
        <v>3</v>
      </c>
      <c r="G724" s="18" t="s">
        <v>31</v>
      </c>
      <c r="H724" s="18" t="s">
        <v>28</v>
      </c>
      <c r="I724" s="18" t="s">
        <v>18</v>
      </c>
      <c r="J724" s="16">
        <v>2</v>
      </c>
      <c r="K724" s="18" t="s">
        <v>26</v>
      </c>
      <c r="L724" s="18" t="s">
        <v>32</v>
      </c>
      <c r="M724" s="14">
        <v>53</v>
      </c>
      <c r="N724" s="18" t="str" cm="1">
        <f t="array" ref="N724">_xlfn.IFS(Cleaned_Working_Sheet!$M724&lt;=34,"Young",Cleaned_Working_Sheet!$M724&lt;=54,"Middle-aged",Cleaned_Working_Sheet!$M724&gt;54,"Old")</f>
        <v>Middle-aged</v>
      </c>
      <c r="O724" s="18" t="s">
        <v>18</v>
      </c>
    </row>
    <row r="725" spans="1:15" x14ac:dyDescent="0.25">
      <c r="A725" s="14">
        <v>26678</v>
      </c>
      <c r="B725" s="18" t="s">
        <v>37</v>
      </c>
      <c r="C725" s="18" t="s">
        <v>38</v>
      </c>
      <c r="D725" s="6">
        <v>80000</v>
      </c>
      <c r="E725" s="18" t="str" cm="1">
        <f t="array" ref="E725">_xlfn.IFS(Cleaned_Working_Sheet!$D725&lt;=50000,"Low Income",Cleaned_Working_Sheet!$D725&lt;100000,"Middle Income",TRUE,"High Income")</f>
        <v>Middle Income</v>
      </c>
      <c r="F725" s="16">
        <v>2</v>
      </c>
      <c r="G725" s="18" t="s">
        <v>29</v>
      </c>
      <c r="H725" s="18" t="s">
        <v>14</v>
      </c>
      <c r="I725" s="18" t="s">
        <v>15</v>
      </c>
      <c r="J725" s="16">
        <v>2</v>
      </c>
      <c r="K725" s="18" t="s">
        <v>23</v>
      </c>
      <c r="L725" s="18" t="s">
        <v>32</v>
      </c>
      <c r="M725" s="14">
        <v>49</v>
      </c>
      <c r="N725" s="18" t="str" cm="1">
        <f t="array" ref="N725">_xlfn.IFS(Cleaned_Working_Sheet!$M725&lt;=34,"Young",Cleaned_Working_Sheet!$M725&lt;=54,"Middle-aged",Cleaned_Working_Sheet!$M725&gt;54,"Old")</f>
        <v>Middle-aged</v>
      </c>
      <c r="O725" s="18" t="s">
        <v>18</v>
      </c>
    </row>
    <row r="726" spans="1:15" x14ac:dyDescent="0.25">
      <c r="A726" s="14">
        <v>23275</v>
      </c>
      <c r="B726" s="18" t="s">
        <v>36</v>
      </c>
      <c r="C726" s="18" t="s">
        <v>39</v>
      </c>
      <c r="D726" s="6">
        <v>30000</v>
      </c>
      <c r="E726" s="18" t="str" cm="1">
        <f t="array" ref="E726">_xlfn.IFS(Cleaned_Working_Sheet!$D726&lt;=50000,"Low Income",Cleaned_Working_Sheet!$D726&lt;100000,"Middle Income",TRUE,"High Income")</f>
        <v>Low Income</v>
      </c>
      <c r="F726" s="16">
        <v>2</v>
      </c>
      <c r="G726" s="18" t="s">
        <v>27</v>
      </c>
      <c r="H726" s="18" t="s">
        <v>14</v>
      </c>
      <c r="I726" s="18" t="s">
        <v>15</v>
      </c>
      <c r="J726" s="16">
        <v>2</v>
      </c>
      <c r="K726" s="18" t="s">
        <v>26</v>
      </c>
      <c r="L726" s="18" t="s">
        <v>32</v>
      </c>
      <c r="M726" s="14">
        <v>49</v>
      </c>
      <c r="N726" s="18" t="str" cm="1">
        <f t="array" ref="N726">_xlfn.IFS(Cleaned_Working_Sheet!$M726&lt;=34,"Young",Cleaned_Working_Sheet!$M726&lt;=54,"Middle-aged",Cleaned_Working_Sheet!$M726&gt;54,"Old")</f>
        <v>Middle-aged</v>
      </c>
      <c r="O726" s="18" t="s">
        <v>18</v>
      </c>
    </row>
    <row r="727" spans="1:15" x14ac:dyDescent="0.25">
      <c r="A727" s="14">
        <v>11270</v>
      </c>
      <c r="B727" s="18" t="s">
        <v>36</v>
      </c>
      <c r="C727" s="18" t="s">
        <v>39</v>
      </c>
      <c r="D727" s="6">
        <v>130000</v>
      </c>
      <c r="E727" s="18" t="str" cm="1">
        <f t="array" ref="E727">_xlfn.IFS(Cleaned_Working_Sheet!$D727&lt;=50000,"Low Income",Cleaned_Working_Sheet!$D727&lt;100000,"Middle Income",TRUE,"High Income")</f>
        <v>High Income</v>
      </c>
      <c r="F727" s="16">
        <v>2</v>
      </c>
      <c r="G727" s="18" t="s">
        <v>31</v>
      </c>
      <c r="H727" s="18" t="s">
        <v>28</v>
      </c>
      <c r="I727" s="18" t="s">
        <v>15</v>
      </c>
      <c r="J727" s="16">
        <v>3</v>
      </c>
      <c r="K727" s="18" t="s">
        <v>16</v>
      </c>
      <c r="L727" s="18" t="s">
        <v>32</v>
      </c>
      <c r="M727" s="14">
        <v>42</v>
      </c>
      <c r="N727" s="18" t="str" cm="1">
        <f t="array" ref="N727">_xlfn.IFS(Cleaned_Working_Sheet!$M727&lt;=34,"Young",Cleaned_Working_Sheet!$M727&lt;=54,"Middle-aged",Cleaned_Working_Sheet!$M727&gt;54,"Old")</f>
        <v>Middle-aged</v>
      </c>
      <c r="O727" s="18" t="s">
        <v>15</v>
      </c>
    </row>
    <row r="728" spans="1:15" x14ac:dyDescent="0.25">
      <c r="A728" s="14">
        <v>20084</v>
      </c>
      <c r="B728" s="18" t="s">
        <v>36</v>
      </c>
      <c r="C728" s="18" t="s">
        <v>39</v>
      </c>
      <c r="D728" s="6">
        <v>20000</v>
      </c>
      <c r="E728" s="18" t="str" cm="1">
        <f t="array" ref="E728">_xlfn.IFS(Cleaned_Working_Sheet!$D728&lt;=50000,"Low Income",Cleaned_Working_Sheet!$D728&lt;100000,"Middle Income",TRUE,"High Income")</f>
        <v>Low Income</v>
      </c>
      <c r="F728" s="16">
        <v>2</v>
      </c>
      <c r="G728" s="18" t="s">
        <v>27</v>
      </c>
      <c r="H728" s="18" t="s">
        <v>25</v>
      </c>
      <c r="I728" s="18" t="s">
        <v>18</v>
      </c>
      <c r="J728" s="16">
        <v>2</v>
      </c>
      <c r="K728" s="18" t="s">
        <v>16</v>
      </c>
      <c r="L728" s="18" t="s">
        <v>32</v>
      </c>
      <c r="M728" s="14">
        <v>53</v>
      </c>
      <c r="N728" s="18" t="str" cm="1">
        <f t="array" ref="N728">_xlfn.IFS(Cleaned_Working_Sheet!$M728&lt;=34,"Young",Cleaned_Working_Sheet!$M728&lt;=54,"Middle-aged",Cleaned_Working_Sheet!$M728&gt;54,"Old")</f>
        <v>Middle-aged</v>
      </c>
      <c r="O728" s="18" t="s">
        <v>18</v>
      </c>
    </row>
    <row r="729" spans="1:15" x14ac:dyDescent="0.25">
      <c r="A729" s="14">
        <v>16144</v>
      </c>
      <c r="B729" s="18" t="s">
        <v>36</v>
      </c>
      <c r="C729" s="18" t="s">
        <v>39</v>
      </c>
      <c r="D729" s="6">
        <v>70000</v>
      </c>
      <c r="E729" s="18" t="str" cm="1">
        <f t="array" ref="E729">_xlfn.IFS(Cleaned_Working_Sheet!$D729&lt;=50000,"Low Income",Cleaned_Working_Sheet!$D729&lt;100000,"Middle Income",TRUE,"High Income")</f>
        <v>Middle Income</v>
      </c>
      <c r="F729" s="16">
        <v>1</v>
      </c>
      <c r="G729" s="18" t="s">
        <v>31</v>
      </c>
      <c r="H729" s="18" t="s">
        <v>21</v>
      </c>
      <c r="I729" s="18" t="s">
        <v>15</v>
      </c>
      <c r="J729" s="16">
        <v>1</v>
      </c>
      <c r="K729" s="18" t="s">
        <v>16</v>
      </c>
      <c r="L729" s="18" t="s">
        <v>32</v>
      </c>
      <c r="M729" s="14">
        <v>46</v>
      </c>
      <c r="N729" s="18" t="str" cm="1">
        <f t="array" ref="N729">_xlfn.IFS(Cleaned_Working_Sheet!$M729&lt;=34,"Young",Cleaned_Working_Sheet!$M729&lt;=54,"Middle-aged",Cleaned_Working_Sheet!$M729&gt;54,"Old")</f>
        <v>Middle-aged</v>
      </c>
      <c r="O729" s="18" t="s">
        <v>15</v>
      </c>
    </row>
    <row r="730" spans="1:15" x14ac:dyDescent="0.25">
      <c r="A730" s="14">
        <v>27731</v>
      </c>
      <c r="B730" s="18" t="s">
        <v>36</v>
      </c>
      <c r="C730" s="18" t="s">
        <v>39</v>
      </c>
      <c r="D730" s="6">
        <v>40000</v>
      </c>
      <c r="E730" s="18" t="str" cm="1">
        <f t="array" ref="E730">_xlfn.IFS(Cleaned_Working_Sheet!$D730&lt;=50000,"Low Income",Cleaned_Working_Sheet!$D730&lt;100000,"Middle Income",TRUE,"High Income")</f>
        <v>Low Income</v>
      </c>
      <c r="F730" s="16">
        <v>0</v>
      </c>
      <c r="G730" s="18" t="s">
        <v>27</v>
      </c>
      <c r="H730" s="18" t="s">
        <v>14</v>
      </c>
      <c r="I730" s="18" t="s">
        <v>15</v>
      </c>
      <c r="J730" s="16">
        <v>2</v>
      </c>
      <c r="K730" s="18" t="s">
        <v>23</v>
      </c>
      <c r="L730" s="18" t="s">
        <v>32</v>
      </c>
      <c r="M730" s="14">
        <v>27</v>
      </c>
      <c r="N730" s="18" t="str" cm="1">
        <f t="array" ref="N730">_xlfn.IFS(Cleaned_Working_Sheet!$M730&lt;=34,"Young",Cleaned_Working_Sheet!$M730&lt;=54,"Middle-aged",Cleaned_Working_Sheet!$M730&gt;54,"Old")</f>
        <v>Young</v>
      </c>
      <c r="O730" s="18" t="s">
        <v>18</v>
      </c>
    </row>
    <row r="731" spans="1:15" x14ac:dyDescent="0.25">
      <c r="A731" s="14">
        <v>11886</v>
      </c>
      <c r="B731" s="18" t="s">
        <v>36</v>
      </c>
      <c r="C731" s="18" t="s">
        <v>38</v>
      </c>
      <c r="D731" s="6">
        <v>60000</v>
      </c>
      <c r="E731" s="18" t="str" cm="1">
        <f t="array" ref="E731">_xlfn.IFS(Cleaned_Working_Sheet!$D731&lt;=50000,"Low Income",Cleaned_Working_Sheet!$D731&lt;100000,"Middle Income",TRUE,"High Income")</f>
        <v>Middle Income</v>
      </c>
      <c r="F731" s="16">
        <v>3</v>
      </c>
      <c r="G731" s="18" t="s">
        <v>13</v>
      </c>
      <c r="H731" s="18" t="s">
        <v>21</v>
      </c>
      <c r="I731" s="18" t="s">
        <v>15</v>
      </c>
      <c r="J731" s="16">
        <v>1</v>
      </c>
      <c r="K731" s="18" t="s">
        <v>16</v>
      </c>
      <c r="L731" s="18" t="s">
        <v>32</v>
      </c>
      <c r="M731" s="14">
        <v>48</v>
      </c>
      <c r="N731" s="18" t="str" cm="1">
        <f t="array" ref="N731">_xlfn.IFS(Cleaned_Working_Sheet!$M731&lt;=34,"Young",Cleaned_Working_Sheet!$M731&lt;=54,"Middle-aged",Cleaned_Working_Sheet!$M731&gt;54,"Old")</f>
        <v>Middle-aged</v>
      </c>
      <c r="O731" s="18" t="s">
        <v>15</v>
      </c>
    </row>
    <row r="732" spans="1:15" x14ac:dyDescent="0.25">
      <c r="A732" s="14">
        <v>24324</v>
      </c>
      <c r="B732" s="18" t="s">
        <v>37</v>
      </c>
      <c r="C732" s="18" t="s">
        <v>38</v>
      </c>
      <c r="D732" s="6">
        <v>60000</v>
      </c>
      <c r="E732" s="18" t="str" cm="1">
        <f t="array" ref="E732">_xlfn.IFS(Cleaned_Working_Sheet!$D732&lt;=50000,"Low Income",Cleaned_Working_Sheet!$D732&lt;100000,"Middle Income",TRUE,"High Income")</f>
        <v>Middle Income</v>
      </c>
      <c r="F732" s="16">
        <v>4</v>
      </c>
      <c r="G732" s="18" t="s">
        <v>13</v>
      </c>
      <c r="H732" s="18" t="s">
        <v>14</v>
      </c>
      <c r="I732" s="18" t="s">
        <v>15</v>
      </c>
      <c r="J732" s="16">
        <v>2</v>
      </c>
      <c r="K732" s="18" t="s">
        <v>22</v>
      </c>
      <c r="L732" s="18" t="s">
        <v>32</v>
      </c>
      <c r="M732" s="14">
        <v>41</v>
      </c>
      <c r="N732" s="18" t="str" cm="1">
        <f t="array" ref="N732">_xlfn.IFS(Cleaned_Working_Sheet!$M732&lt;=34,"Young",Cleaned_Working_Sheet!$M732&lt;=54,"Middle-aged",Cleaned_Working_Sheet!$M732&gt;54,"Old")</f>
        <v>Middle-aged</v>
      </c>
      <c r="O732" s="18" t="s">
        <v>15</v>
      </c>
    </row>
    <row r="733" spans="1:15" x14ac:dyDescent="0.25">
      <c r="A733" s="14">
        <v>22220</v>
      </c>
      <c r="B733" s="18" t="s">
        <v>36</v>
      </c>
      <c r="C733" s="18" t="s">
        <v>39</v>
      </c>
      <c r="D733" s="6">
        <v>60000</v>
      </c>
      <c r="E733" s="18" t="str" cm="1">
        <f t="array" ref="E733">_xlfn.IFS(Cleaned_Working_Sheet!$D733&lt;=50000,"Low Income",Cleaned_Working_Sheet!$D733&lt;100000,"Middle Income",TRUE,"High Income")</f>
        <v>Middle Income</v>
      </c>
      <c r="F733" s="16">
        <v>2</v>
      </c>
      <c r="G733" s="18" t="s">
        <v>27</v>
      </c>
      <c r="H733" s="18" t="s">
        <v>21</v>
      </c>
      <c r="I733" s="18" t="s">
        <v>18</v>
      </c>
      <c r="J733" s="16">
        <v>2</v>
      </c>
      <c r="K733" s="18" t="s">
        <v>26</v>
      </c>
      <c r="L733" s="18" t="s">
        <v>32</v>
      </c>
      <c r="M733" s="14">
        <v>49</v>
      </c>
      <c r="N733" s="18" t="str" cm="1">
        <f t="array" ref="N733">_xlfn.IFS(Cleaned_Working_Sheet!$M733&lt;=34,"Young",Cleaned_Working_Sheet!$M733&lt;=54,"Middle-aged",Cleaned_Working_Sheet!$M733&gt;54,"Old")</f>
        <v>Middle-aged</v>
      </c>
      <c r="O733" s="18" t="s">
        <v>15</v>
      </c>
    </row>
    <row r="734" spans="1:15" x14ac:dyDescent="0.25">
      <c r="A734" s="14">
        <v>26625</v>
      </c>
      <c r="B734" s="18" t="s">
        <v>37</v>
      </c>
      <c r="C734" s="18" t="s">
        <v>38</v>
      </c>
      <c r="D734" s="6">
        <v>60000</v>
      </c>
      <c r="E734" s="18" t="str" cm="1">
        <f t="array" ref="E734">_xlfn.IFS(Cleaned_Working_Sheet!$D734&lt;=50000,"Low Income",Cleaned_Working_Sheet!$D734&lt;100000,"Middle Income",TRUE,"High Income")</f>
        <v>Middle Income</v>
      </c>
      <c r="F734" s="16">
        <v>0</v>
      </c>
      <c r="G734" s="18" t="s">
        <v>31</v>
      </c>
      <c r="H734" s="18" t="s">
        <v>21</v>
      </c>
      <c r="I734" s="18" t="s">
        <v>15</v>
      </c>
      <c r="J734" s="16">
        <v>1</v>
      </c>
      <c r="K734" s="18" t="s">
        <v>22</v>
      </c>
      <c r="L734" s="18" t="s">
        <v>32</v>
      </c>
      <c r="M734" s="14">
        <v>38</v>
      </c>
      <c r="N734" s="18" t="str" cm="1">
        <f t="array" ref="N734">_xlfn.IFS(Cleaned_Working_Sheet!$M734&lt;=34,"Young",Cleaned_Working_Sheet!$M734&lt;=54,"Middle-aged",Cleaned_Working_Sheet!$M734&gt;54,"Old")</f>
        <v>Middle-aged</v>
      </c>
      <c r="O734" s="18" t="s">
        <v>15</v>
      </c>
    </row>
    <row r="735" spans="1:15" x14ac:dyDescent="0.25">
      <c r="A735" s="14">
        <v>23027</v>
      </c>
      <c r="B735" s="18" t="s">
        <v>37</v>
      </c>
      <c r="C735" s="18" t="s">
        <v>39</v>
      </c>
      <c r="D735" s="6">
        <v>130000</v>
      </c>
      <c r="E735" s="18" t="str" cm="1">
        <f t="array" ref="E735">_xlfn.IFS(Cleaned_Working_Sheet!$D735&lt;=50000,"Low Income",Cleaned_Working_Sheet!$D735&lt;100000,"Middle Income",TRUE,"High Income")</f>
        <v>High Income</v>
      </c>
      <c r="F735" s="16">
        <v>1</v>
      </c>
      <c r="G735" s="18" t="s">
        <v>13</v>
      </c>
      <c r="H735" s="18" t="s">
        <v>28</v>
      </c>
      <c r="I735" s="18" t="s">
        <v>18</v>
      </c>
      <c r="J735" s="16">
        <v>4</v>
      </c>
      <c r="K735" s="18" t="s">
        <v>16</v>
      </c>
      <c r="L735" s="18" t="s">
        <v>32</v>
      </c>
      <c r="M735" s="14">
        <v>44</v>
      </c>
      <c r="N735" s="18" t="str" cm="1">
        <f t="array" ref="N735">_xlfn.IFS(Cleaned_Working_Sheet!$M735&lt;=34,"Young",Cleaned_Working_Sheet!$M735&lt;=54,"Middle-aged",Cleaned_Working_Sheet!$M735&gt;54,"Old")</f>
        <v>Middle-aged</v>
      </c>
      <c r="O735" s="18" t="s">
        <v>18</v>
      </c>
    </row>
    <row r="736" spans="1:15" x14ac:dyDescent="0.25">
      <c r="A736" s="14">
        <v>16867</v>
      </c>
      <c r="B736" s="18" t="s">
        <v>37</v>
      </c>
      <c r="C736" s="18" t="s">
        <v>38</v>
      </c>
      <c r="D736" s="6">
        <v>130000</v>
      </c>
      <c r="E736" s="18" t="str" cm="1">
        <f t="array" ref="E736">_xlfn.IFS(Cleaned_Working_Sheet!$D736&lt;=50000,"Low Income",Cleaned_Working_Sheet!$D736&lt;100000,"Middle Income",TRUE,"High Income")</f>
        <v>High Income</v>
      </c>
      <c r="F736" s="16">
        <v>1</v>
      </c>
      <c r="G736" s="18" t="s">
        <v>13</v>
      </c>
      <c r="H736" s="18" t="s">
        <v>28</v>
      </c>
      <c r="I736" s="18" t="s">
        <v>18</v>
      </c>
      <c r="J736" s="16">
        <v>3</v>
      </c>
      <c r="K736" s="18" t="s">
        <v>16</v>
      </c>
      <c r="L736" s="18" t="s">
        <v>32</v>
      </c>
      <c r="M736" s="14">
        <v>45</v>
      </c>
      <c r="N736" s="18" t="str" cm="1">
        <f t="array" ref="N736">_xlfn.IFS(Cleaned_Working_Sheet!$M736&lt;=34,"Young",Cleaned_Working_Sheet!$M736&lt;=54,"Middle-aged",Cleaned_Working_Sheet!$M736&gt;54,"Old")</f>
        <v>Middle-aged</v>
      </c>
      <c r="O736" s="18" t="s">
        <v>15</v>
      </c>
    </row>
    <row r="737" spans="1:15" x14ac:dyDescent="0.25">
      <c r="A737" s="14">
        <v>14514</v>
      </c>
      <c r="B737" s="18" t="s">
        <v>37</v>
      </c>
      <c r="C737" s="18" t="s">
        <v>38</v>
      </c>
      <c r="D737" s="6">
        <v>30000</v>
      </c>
      <c r="E737" s="18" t="str" cm="1">
        <f t="array" ref="E737">_xlfn.IFS(Cleaned_Working_Sheet!$D737&lt;=50000,"Low Income",Cleaned_Working_Sheet!$D737&lt;100000,"Middle Income",TRUE,"High Income")</f>
        <v>Low Income</v>
      </c>
      <c r="F737" s="16">
        <v>0</v>
      </c>
      <c r="G737" s="18" t="s">
        <v>19</v>
      </c>
      <c r="H737" s="18" t="s">
        <v>14</v>
      </c>
      <c r="I737" s="18" t="s">
        <v>15</v>
      </c>
      <c r="J737" s="16">
        <v>1</v>
      </c>
      <c r="K737" s="18" t="s">
        <v>23</v>
      </c>
      <c r="L737" s="18" t="s">
        <v>32</v>
      </c>
      <c r="M737" s="14">
        <v>26</v>
      </c>
      <c r="N737" s="18" t="str" cm="1">
        <f t="array" ref="N737">_xlfn.IFS(Cleaned_Working_Sheet!$M737&lt;=34,"Young",Cleaned_Working_Sheet!$M737&lt;=54,"Middle-aged",Cleaned_Working_Sheet!$M737&gt;54,"Old")</f>
        <v>Young</v>
      </c>
      <c r="O737" s="18" t="s">
        <v>18</v>
      </c>
    </row>
    <row r="738" spans="1:15" x14ac:dyDescent="0.25">
      <c r="A738" s="14">
        <v>19634</v>
      </c>
      <c r="B738" s="18" t="s">
        <v>36</v>
      </c>
      <c r="C738" s="18" t="s">
        <v>39</v>
      </c>
      <c r="D738" s="6">
        <v>40000</v>
      </c>
      <c r="E738" s="18" t="str" cm="1">
        <f t="array" ref="E738">_xlfn.IFS(Cleaned_Working_Sheet!$D738&lt;=50000,"Low Income",Cleaned_Working_Sheet!$D738&lt;100000,"Middle Income",TRUE,"High Income")</f>
        <v>Low Income</v>
      </c>
      <c r="F738" s="16">
        <v>0</v>
      </c>
      <c r="G738" s="18" t="s">
        <v>27</v>
      </c>
      <c r="H738" s="18" t="s">
        <v>14</v>
      </c>
      <c r="I738" s="18" t="s">
        <v>15</v>
      </c>
      <c r="J738" s="16">
        <v>1</v>
      </c>
      <c r="K738" s="18" t="s">
        <v>23</v>
      </c>
      <c r="L738" s="18" t="s">
        <v>32</v>
      </c>
      <c r="M738" s="14">
        <v>31</v>
      </c>
      <c r="N738" s="18" t="str" cm="1">
        <f t="array" ref="N738">_xlfn.IFS(Cleaned_Working_Sheet!$M738&lt;=34,"Young",Cleaned_Working_Sheet!$M738&lt;=54,"Middle-aged",Cleaned_Working_Sheet!$M738&gt;54,"Old")</f>
        <v>Young</v>
      </c>
      <c r="O738" s="18" t="s">
        <v>18</v>
      </c>
    </row>
    <row r="739" spans="1:15" x14ac:dyDescent="0.25">
      <c r="A739" s="14">
        <v>18504</v>
      </c>
      <c r="B739" s="18" t="s">
        <v>36</v>
      </c>
      <c r="C739" s="18" t="s">
        <v>39</v>
      </c>
      <c r="D739" s="6">
        <v>70000</v>
      </c>
      <c r="E739" s="18" t="str" cm="1">
        <f t="array" ref="E739">_xlfn.IFS(Cleaned_Working_Sheet!$D739&lt;=50000,"Low Income",Cleaned_Working_Sheet!$D739&lt;100000,"Middle Income",TRUE,"High Income")</f>
        <v>Middle Income</v>
      </c>
      <c r="F739" s="16">
        <v>2</v>
      </c>
      <c r="G739" s="18" t="s">
        <v>29</v>
      </c>
      <c r="H739" s="18" t="s">
        <v>14</v>
      </c>
      <c r="I739" s="18" t="s">
        <v>18</v>
      </c>
      <c r="J739" s="16">
        <v>2</v>
      </c>
      <c r="K739" s="18" t="s">
        <v>26</v>
      </c>
      <c r="L739" s="18" t="s">
        <v>32</v>
      </c>
      <c r="M739" s="14">
        <v>49</v>
      </c>
      <c r="N739" s="18" t="str" cm="1">
        <f t="array" ref="N739">_xlfn.IFS(Cleaned_Working_Sheet!$M739&lt;=34,"Young",Cleaned_Working_Sheet!$M739&lt;=54,"Middle-aged",Cleaned_Working_Sheet!$M739&gt;54,"Old")</f>
        <v>Middle-aged</v>
      </c>
      <c r="O739" s="18" t="s">
        <v>18</v>
      </c>
    </row>
    <row r="740" spans="1:15" x14ac:dyDescent="0.25">
      <c r="A740" s="14">
        <v>28799</v>
      </c>
      <c r="B740" s="18" t="s">
        <v>37</v>
      </c>
      <c r="C740" s="18" t="s">
        <v>38</v>
      </c>
      <c r="D740" s="6">
        <v>40000</v>
      </c>
      <c r="E740" s="18" t="str" cm="1">
        <f t="array" ref="E740">_xlfn.IFS(Cleaned_Working_Sheet!$D740&lt;=50000,"Low Income",Cleaned_Working_Sheet!$D740&lt;100000,"Middle Income",TRUE,"High Income")</f>
        <v>Low Income</v>
      </c>
      <c r="F740" s="16">
        <v>2</v>
      </c>
      <c r="G740" s="18" t="s">
        <v>19</v>
      </c>
      <c r="H740" s="18" t="s">
        <v>20</v>
      </c>
      <c r="I740" s="18" t="s">
        <v>18</v>
      </c>
      <c r="J740" s="16">
        <v>1</v>
      </c>
      <c r="K740" s="18" t="s">
        <v>26</v>
      </c>
      <c r="L740" s="18" t="s">
        <v>32</v>
      </c>
      <c r="M740" s="14">
        <v>47</v>
      </c>
      <c r="N740" s="18" t="str" cm="1">
        <f t="array" ref="N740">_xlfn.IFS(Cleaned_Working_Sheet!$M740&lt;=34,"Young",Cleaned_Working_Sheet!$M740&lt;=54,"Middle-aged",Cleaned_Working_Sheet!$M740&gt;54,"Old")</f>
        <v>Middle-aged</v>
      </c>
      <c r="O740" s="18" t="s">
        <v>15</v>
      </c>
    </row>
    <row r="741" spans="1:15" x14ac:dyDescent="0.25">
      <c r="A741" s="14">
        <v>11225</v>
      </c>
      <c r="B741" s="18" t="s">
        <v>36</v>
      </c>
      <c r="C741" s="18" t="s">
        <v>38</v>
      </c>
      <c r="D741" s="6">
        <v>60000</v>
      </c>
      <c r="E741" s="18" t="str" cm="1">
        <f t="array" ref="E741">_xlfn.IFS(Cleaned_Working_Sheet!$D741&lt;=50000,"Low Income",Cleaned_Working_Sheet!$D741&lt;100000,"Middle Income",TRUE,"High Income")</f>
        <v>Middle Income</v>
      </c>
      <c r="F741" s="16">
        <v>2</v>
      </c>
      <c r="G741" s="18" t="s">
        <v>19</v>
      </c>
      <c r="H741" s="18" t="s">
        <v>21</v>
      </c>
      <c r="I741" s="18" t="s">
        <v>15</v>
      </c>
      <c r="J741" s="16">
        <v>1</v>
      </c>
      <c r="K741" s="18" t="s">
        <v>43</v>
      </c>
      <c r="L741" s="18" t="s">
        <v>32</v>
      </c>
      <c r="M741" s="14">
        <v>55</v>
      </c>
      <c r="N741" s="18" t="str" cm="1">
        <f t="array" ref="N741">_xlfn.IFS(Cleaned_Working_Sheet!$M741&lt;=34,"Young",Cleaned_Working_Sheet!$M741&lt;=54,"Middle-aged",Cleaned_Working_Sheet!$M741&gt;54,"Old")</f>
        <v>Old</v>
      </c>
      <c r="O741" s="18" t="s">
        <v>18</v>
      </c>
    </row>
    <row r="742" spans="1:15" x14ac:dyDescent="0.25">
      <c r="A742" s="14">
        <v>17657</v>
      </c>
      <c r="B742" s="18" t="s">
        <v>36</v>
      </c>
      <c r="C742" s="18" t="s">
        <v>39</v>
      </c>
      <c r="D742" s="6">
        <v>40000</v>
      </c>
      <c r="E742" s="18" t="str" cm="1">
        <f t="array" ref="E742">_xlfn.IFS(Cleaned_Working_Sheet!$D742&lt;=50000,"Low Income",Cleaned_Working_Sheet!$D742&lt;100000,"Middle Income",TRUE,"High Income")</f>
        <v>Low Income</v>
      </c>
      <c r="F742" s="16">
        <v>4</v>
      </c>
      <c r="G742" s="18" t="s">
        <v>19</v>
      </c>
      <c r="H742" s="18" t="s">
        <v>20</v>
      </c>
      <c r="I742" s="18" t="s">
        <v>18</v>
      </c>
      <c r="J742" s="16">
        <v>0</v>
      </c>
      <c r="K742" s="18" t="s">
        <v>16</v>
      </c>
      <c r="L742" s="18" t="s">
        <v>32</v>
      </c>
      <c r="M742" s="14">
        <v>30</v>
      </c>
      <c r="N742" s="18" t="str" cm="1">
        <f t="array" ref="N742">_xlfn.IFS(Cleaned_Working_Sheet!$M742&lt;=34,"Young",Cleaned_Working_Sheet!$M742&lt;=54,"Middle-aged",Cleaned_Working_Sheet!$M742&gt;54,"Old")</f>
        <v>Young</v>
      </c>
      <c r="O742" s="18" t="s">
        <v>18</v>
      </c>
    </row>
    <row r="743" spans="1:15" x14ac:dyDescent="0.25">
      <c r="A743" s="14">
        <v>14913</v>
      </c>
      <c r="B743" s="18" t="s">
        <v>36</v>
      </c>
      <c r="C743" s="18" t="s">
        <v>38</v>
      </c>
      <c r="D743" s="6">
        <v>40000</v>
      </c>
      <c r="E743" s="18" t="str" cm="1">
        <f t="array" ref="E743">_xlfn.IFS(Cleaned_Working_Sheet!$D743&lt;=50000,"Low Income",Cleaned_Working_Sheet!$D743&lt;100000,"Middle Income",TRUE,"High Income")</f>
        <v>Low Income</v>
      </c>
      <c r="F743" s="16">
        <v>1</v>
      </c>
      <c r="G743" s="18" t="s">
        <v>19</v>
      </c>
      <c r="H743" s="18" t="s">
        <v>20</v>
      </c>
      <c r="I743" s="18" t="s">
        <v>15</v>
      </c>
      <c r="J743" s="16">
        <v>1</v>
      </c>
      <c r="K743" s="18" t="s">
        <v>26</v>
      </c>
      <c r="L743" s="18" t="s">
        <v>32</v>
      </c>
      <c r="M743" s="14">
        <v>48</v>
      </c>
      <c r="N743" s="18" t="str" cm="1">
        <f t="array" ref="N743">_xlfn.IFS(Cleaned_Working_Sheet!$M743&lt;=34,"Young",Cleaned_Working_Sheet!$M743&lt;=54,"Middle-aged",Cleaned_Working_Sheet!$M743&gt;54,"Old")</f>
        <v>Middle-aged</v>
      </c>
      <c r="O743" s="18" t="s">
        <v>15</v>
      </c>
    </row>
    <row r="744" spans="1:15" x14ac:dyDescent="0.25">
      <c r="A744" s="14">
        <v>14077</v>
      </c>
      <c r="B744" s="18" t="s">
        <v>37</v>
      </c>
      <c r="C744" s="18" t="s">
        <v>39</v>
      </c>
      <c r="D744" s="6">
        <v>30000</v>
      </c>
      <c r="E744" s="18" t="str" cm="1">
        <f t="array" ref="E744">_xlfn.IFS(Cleaned_Working_Sheet!$D744&lt;=50000,"Low Income",Cleaned_Working_Sheet!$D744&lt;100000,"Middle Income",TRUE,"High Income")</f>
        <v>Low Income</v>
      </c>
      <c r="F744" s="16">
        <v>0</v>
      </c>
      <c r="G744" s="18" t="s">
        <v>27</v>
      </c>
      <c r="H744" s="18" t="s">
        <v>14</v>
      </c>
      <c r="I744" s="18" t="s">
        <v>15</v>
      </c>
      <c r="J744" s="16">
        <v>2</v>
      </c>
      <c r="K744" s="18" t="s">
        <v>23</v>
      </c>
      <c r="L744" s="18" t="s">
        <v>32</v>
      </c>
      <c r="M744" s="14">
        <v>30</v>
      </c>
      <c r="N744" s="18" t="str" cm="1">
        <f t="array" ref="N744">_xlfn.IFS(Cleaned_Working_Sheet!$M744&lt;=34,"Young",Cleaned_Working_Sheet!$M744&lt;=54,"Middle-aged",Cleaned_Working_Sheet!$M744&gt;54,"Old")</f>
        <v>Young</v>
      </c>
      <c r="O744" s="18" t="s">
        <v>18</v>
      </c>
    </row>
    <row r="745" spans="1:15" x14ac:dyDescent="0.25">
      <c r="A745" s="14">
        <v>13296</v>
      </c>
      <c r="B745" s="18" t="s">
        <v>36</v>
      </c>
      <c r="C745" s="18" t="s">
        <v>39</v>
      </c>
      <c r="D745" s="6">
        <v>110000</v>
      </c>
      <c r="E745" s="18" t="str" cm="1">
        <f t="array" ref="E745">_xlfn.IFS(Cleaned_Working_Sheet!$D745&lt;=50000,"Low Income",Cleaned_Working_Sheet!$D745&lt;100000,"Middle Income",TRUE,"High Income")</f>
        <v>High Income</v>
      </c>
      <c r="F745" s="16">
        <v>1</v>
      </c>
      <c r="G745" s="18" t="s">
        <v>13</v>
      </c>
      <c r="H745" s="18" t="s">
        <v>28</v>
      </c>
      <c r="I745" s="18" t="s">
        <v>15</v>
      </c>
      <c r="J745" s="16">
        <v>3</v>
      </c>
      <c r="K745" s="18" t="s">
        <v>23</v>
      </c>
      <c r="L745" s="18" t="s">
        <v>32</v>
      </c>
      <c r="M745" s="14">
        <v>45</v>
      </c>
      <c r="N745" s="18" t="str" cm="1">
        <f t="array" ref="N745">_xlfn.IFS(Cleaned_Working_Sheet!$M745&lt;=34,"Young",Cleaned_Working_Sheet!$M745&lt;=54,"Middle-aged",Cleaned_Working_Sheet!$M745&gt;54,"Old")</f>
        <v>Middle-aged</v>
      </c>
      <c r="O745" s="18" t="s">
        <v>18</v>
      </c>
    </row>
    <row r="746" spans="1:15" x14ac:dyDescent="0.25">
      <c r="A746" s="14">
        <v>20535</v>
      </c>
      <c r="B746" s="18" t="s">
        <v>36</v>
      </c>
      <c r="C746" s="18" t="s">
        <v>38</v>
      </c>
      <c r="D746" s="6">
        <v>70000</v>
      </c>
      <c r="E746" s="18" t="str" cm="1">
        <f t="array" ref="E746">_xlfn.IFS(Cleaned_Working_Sheet!$D746&lt;=50000,"Low Income",Cleaned_Working_Sheet!$D746&lt;100000,"Middle Income",TRUE,"High Income")</f>
        <v>Middle Income</v>
      </c>
      <c r="F746" s="16">
        <v>4</v>
      </c>
      <c r="G746" s="18" t="s">
        <v>19</v>
      </c>
      <c r="H746" s="18" t="s">
        <v>21</v>
      </c>
      <c r="I746" s="18" t="s">
        <v>15</v>
      </c>
      <c r="J746" s="16">
        <v>1</v>
      </c>
      <c r="K746" s="18" t="s">
        <v>43</v>
      </c>
      <c r="L746" s="18" t="s">
        <v>32</v>
      </c>
      <c r="M746" s="14">
        <v>56</v>
      </c>
      <c r="N746" s="18" t="str" cm="1">
        <f t="array" ref="N746">_xlfn.IFS(Cleaned_Working_Sheet!$M746&lt;=34,"Young",Cleaned_Working_Sheet!$M746&lt;=54,"Middle-aged",Cleaned_Working_Sheet!$M746&gt;54,"Old")</f>
        <v>Old</v>
      </c>
      <c r="O746" s="18" t="s">
        <v>18</v>
      </c>
    </row>
    <row r="747" spans="1:15" x14ac:dyDescent="0.25">
      <c r="A747" s="14">
        <v>12452</v>
      </c>
      <c r="B747" s="18" t="s">
        <v>36</v>
      </c>
      <c r="C747" s="18" t="s">
        <v>39</v>
      </c>
      <c r="D747" s="6">
        <v>60000</v>
      </c>
      <c r="E747" s="18" t="str" cm="1">
        <f t="array" ref="E747">_xlfn.IFS(Cleaned_Working_Sheet!$D747&lt;=50000,"Low Income",Cleaned_Working_Sheet!$D747&lt;100000,"Middle Income",TRUE,"High Income")</f>
        <v>Middle Income</v>
      </c>
      <c r="F747" s="16">
        <v>4</v>
      </c>
      <c r="G747" s="18" t="s">
        <v>31</v>
      </c>
      <c r="H747" s="18" t="s">
        <v>14</v>
      </c>
      <c r="I747" s="18" t="s">
        <v>15</v>
      </c>
      <c r="J747" s="16">
        <v>0</v>
      </c>
      <c r="K747" s="18" t="s">
        <v>26</v>
      </c>
      <c r="L747" s="18" t="s">
        <v>32</v>
      </c>
      <c r="M747" s="14">
        <v>47</v>
      </c>
      <c r="N747" s="18" t="str" cm="1">
        <f t="array" ref="N747">_xlfn.IFS(Cleaned_Working_Sheet!$M747&lt;=34,"Young",Cleaned_Working_Sheet!$M747&lt;=54,"Middle-aged",Cleaned_Working_Sheet!$M747&gt;54,"Old")</f>
        <v>Middle-aged</v>
      </c>
      <c r="O747" s="18" t="s">
        <v>15</v>
      </c>
    </row>
    <row r="748" spans="1:15" x14ac:dyDescent="0.25">
      <c r="A748" s="14">
        <v>28043</v>
      </c>
      <c r="B748" s="18" t="s">
        <v>36</v>
      </c>
      <c r="C748" s="18" t="s">
        <v>38</v>
      </c>
      <c r="D748" s="6">
        <v>60000</v>
      </c>
      <c r="E748" s="18" t="str" cm="1">
        <f t="array" ref="E748">_xlfn.IFS(Cleaned_Working_Sheet!$D748&lt;=50000,"Low Income",Cleaned_Working_Sheet!$D748&lt;100000,"Middle Income",TRUE,"High Income")</f>
        <v>Middle Income</v>
      </c>
      <c r="F748" s="16">
        <v>2</v>
      </c>
      <c r="G748" s="18" t="s">
        <v>13</v>
      </c>
      <c r="H748" s="18" t="s">
        <v>28</v>
      </c>
      <c r="I748" s="18" t="s">
        <v>15</v>
      </c>
      <c r="J748" s="16">
        <v>0</v>
      </c>
      <c r="K748" s="18" t="s">
        <v>43</v>
      </c>
      <c r="L748" s="18" t="s">
        <v>32</v>
      </c>
      <c r="M748" s="14">
        <v>56</v>
      </c>
      <c r="N748" s="18" t="str" cm="1">
        <f t="array" ref="N748">_xlfn.IFS(Cleaned_Working_Sheet!$M748&lt;=34,"Young",Cleaned_Working_Sheet!$M748&lt;=54,"Middle-aged",Cleaned_Working_Sheet!$M748&gt;54,"Old")</f>
        <v>Old</v>
      </c>
      <c r="O748" s="18" t="s">
        <v>18</v>
      </c>
    </row>
    <row r="749" spans="1:15" x14ac:dyDescent="0.25">
      <c r="A749" s="14">
        <v>12957</v>
      </c>
      <c r="B749" s="18" t="s">
        <v>37</v>
      </c>
      <c r="C749" s="18" t="s">
        <v>38</v>
      </c>
      <c r="D749" s="6">
        <v>70000</v>
      </c>
      <c r="E749" s="18" t="str" cm="1">
        <f t="array" ref="E749">_xlfn.IFS(Cleaned_Working_Sheet!$D749&lt;=50000,"Low Income",Cleaned_Working_Sheet!$D749&lt;100000,"Middle Income",TRUE,"High Income")</f>
        <v>Middle Income</v>
      </c>
      <c r="F749" s="16">
        <v>1</v>
      </c>
      <c r="G749" s="18" t="s">
        <v>13</v>
      </c>
      <c r="H749" s="18" t="s">
        <v>21</v>
      </c>
      <c r="I749" s="18" t="s">
        <v>18</v>
      </c>
      <c r="J749" s="16">
        <v>1</v>
      </c>
      <c r="K749" s="18" t="s">
        <v>16</v>
      </c>
      <c r="L749" s="18" t="s">
        <v>32</v>
      </c>
      <c r="M749" s="14">
        <v>44</v>
      </c>
      <c r="N749" s="18" t="str" cm="1">
        <f t="array" ref="N749">_xlfn.IFS(Cleaned_Working_Sheet!$M749&lt;=34,"Young",Cleaned_Working_Sheet!$M749&lt;=54,"Middle-aged",Cleaned_Working_Sheet!$M749&gt;54,"Old")</f>
        <v>Middle-aged</v>
      </c>
      <c r="O749" s="18" t="s">
        <v>18</v>
      </c>
    </row>
    <row r="750" spans="1:15" x14ac:dyDescent="0.25">
      <c r="A750" s="14">
        <v>15412</v>
      </c>
      <c r="B750" s="18" t="s">
        <v>36</v>
      </c>
      <c r="C750" s="18" t="s">
        <v>39</v>
      </c>
      <c r="D750" s="6">
        <v>130000</v>
      </c>
      <c r="E750" s="18" t="str" cm="1">
        <f t="array" ref="E750">_xlfn.IFS(Cleaned_Working_Sheet!$D750&lt;=50000,"Low Income",Cleaned_Working_Sheet!$D750&lt;100000,"Middle Income",TRUE,"High Income")</f>
        <v>High Income</v>
      </c>
      <c r="F750" s="16">
        <v>2</v>
      </c>
      <c r="G750" s="18" t="s">
        <v>31</v>
      </c>
      <c r="H750" s="18" t="s">
        <v>28</v>
      </c>
      <c r="I750" s="18" t="s">
        <v>15</v>
      </c>
      <c r="J750" s="16">
        <v>3</v>
      </c>
      <c r="K750" s="18" t="s">
        <v>22</v>
      </c>
      <c r="L750" s="18" t="s">
        <v>32</v>
      </c>
      <c r="M750" s="14">
        <v>69</v>
      </c>
      <c r="N750" s="18" t="str" cm="1">
        <f t="array" ref="N750">_xlfn.IFS(Cleaned_Working_Sheet!$M750&lt;=34,"Young",Cleaned_Working_Sheet!$M750&lt;=54,"Middle-aged",Cleaned_Working_Sheet!$M750&gt;54,"Old")</f>
        <v>Old</v>
      </c>
      <c r="O750" s="18" t="s">
        <v>18</v>
      </c>
    </row>
    <row r="751" spans="1:15" x14ac:dyDescent="0.25">
      <c r="A751" s="14">
        <v>20514</v>
      </c>
      <c r="B751" s="18" t="s">
        <v>36</v>
      </c>
      <c r="C751" s="18" t="s">
        <v>38</v>
      </c>
      <c r="D751" s="6">
        <v>70000</v>
      </c>
      <c r="E751" s="18" t="str" cm="1">
        <f t="array" ref="E751">_xlfn.IFS(Cleaned_Working_Sheet!$D751&lt;=50000,"Low Income",Cleaned_Working_Sheet!$D751&lt;100000,"Middle Income",TRUE,"High Income")</f>
        <v>Middle Income</v>
      </c>
      <c r="F751" s="16">
        <v>2</v>
      </c>
      <c r="G751" s="18" t="s">
        <v>19</v>
      </c>
      <c r="H751" s="18" t="s">
        <v>21</v>
      </c>
      <c r="I751" s="18" t="s">
        <v>15</v>
      </c>
      <c r="J751" s="16">
        <v>1</v>
      </c>
      <c r="K751" s="18" t="s">
        <v>22</v>
      </c>
      <c r="L751" s="18" t="s">
        <v>32</v>
      </c>
      <c r="M751" s="14">
        <v>59</v>
      </c>
      <c r="N751" s="18" t="str" cm="1">
        <f t="array" ref="N751">_xlfn.IFS(Cleaned_Working_Sheet!$M751&lt;=34,"Young",Cleaned_Working_Sheet!$M751&lt;=54,"Middle-aged",Cleaned_Working_Sheet!$M751&gt;54,"Old")</f>
        <v>Old</v>
      </c>
      <c r="O751" s="18" t="s">
        <v>18</v>
      </c>
    </row>
    <row r="752" spans="1:15" x14ac:dyDescent="0.25">
      <c r="A752" s="14">
        <v>20758</v>
      </c>
      <c r="B752" s="18" t="s">
        <v>36</v>
      </c>
      <c r="C752" s="18" t="s">
        <v>39</v>
      </c>
      <c r="D752" s="6">
        <v>30000</v>
      </c>
      <c r="E752" s="18" t="str" cm="1">
        <f t="array" ref="E752">_xlfn.IFS(Cleaned_Working_Sheet!$D752&lt;=50000,"Low Income",Cleaned_Working_Sheet!$D752&lt;100000,"Middle Income",TRUE,"High Income")</f>
        <v>Low Income</v>
      </c>
      <c r="F752" s="16">
        <v>2</v>
      </c>
      <c r="G752" s="18" t="s">
        <v>27</v>
      </c>
      <c r="H752" s="18" t="s">
        <v>14</v>
      </c>
      <c r="I752" s="18" t="s">
        <v>15</v>
      </c>
      <c r="J752" s="16">
        <v>2</v>
      </c>
      <c r="K752" s="18" t="s">
        <v>26</v>
      </c>
      <c r="L752" s="18" t="s">
        <v>32</v>
      </c>
      <c r="M752" s="14">
        <v>50</v>
      </c>
      <c r="N752" s="18" t="str" cm="1">
        <f t="array" ref="N752">_xlfn.IFS(Cleaned_Working_Sheet!$M752&lt;=34,"Young",Cleaned_Working_Sheet!$M752&lt;=54,"Middle-aged",Cleaned_Working_Sheet!$M752&gt;54,"Old")</f>
        <v>Middle-aged</v>
      </c>
      <c r="O752" s="18" t="s">
        <v>18</v>
      </c>
    </row>
    <row r="753" spans="1:15" x14ac:dyDescent="0.25">
      <c r="A753" s="14">
        <v>11801</v>
      </c>
      <c r="B753" s="18" t="s">
        <v>36</v>
      </c>
      <c r="C753" s="18" t="s">
        <v>39</v>
      </c>
      <c r="D753" s="6">
        <v>60000</v>
      </c>
      <c r="E753" s="18" t="str" cm="1">
        <f t="array" ref="E753">_xlfn.IFS(Cleaned_Working_Sheet!$D753&lt;=50000,"Low Income",Cleaned_Working_Sheet!$D753&lt;100000,"Middle Income",TRUE,"High Income")</f>
        <v>Middle Income</v>
      </c>
      <c r="F753" s="16">
        <v>1</v>
      </c>
      <c r="G753" s="18" t="s">
        <v>31</v>
      </c>
      <c r="H753" s="18" t="s">
        <v>21</v>
      </c>
      <c r="I753" s="18" t="s">
        <v>15</v>
      </c>
      <c r="J753" s="16">
        <v>0</v>
      </c>
      <c r="K753" s="18" t="s">
        <v>22</v>
      </c>
      <c r="L753" s="18" t="s">
        <v>32</v>
      </c>
      <c r="M753" s="14">
        <v>36</v>
      </c>
      <c r="N753" s="18" t="str" cm="1">
        <f t="array" ref="N753">_xlfn.IFS(Cleaned_Working_Sheet!$M753&lt;=34,"Young",Cleaned_Working_Sheet!$M753&lt;=54,"Middle-aged",Cleaned_Working_Sheet!$M753&gt;54,"Old")</f>
        <v>Middle-aged</v>
      </c>
      <c r="O753" s="18" t="s">
        <v>18</v>
      </c>
    </row>
    <row r="754" spans="1:15" x14ac:dyDescent="0.25">
      <c r="A754" s="14">
        <v>22211</v>
      </c>
      <c r="B754" s="18" t="s">
        <v>36</v>
      </c>
      <c r="C754" s="18" t="s">
        <v>39</v>
      </c>
      <c r="D754" s="6">
        <v>60000</v>
      </c>
      <c r="E754" s="18" t="str" cm="1">
        <f t="array" ref="E754">_xlfn.IFS(Cleaned_Working_Sheet!$D754&lt;=50000,"Low Income",Cleaned_Working_Sheet!$D754&lt;100000,"Middle Income",TRUE,"High Income")</f>
        <v>Middle Income</v>
      </c>
      <c r="F754" s="16">
        <v>0</v>
      </c>
      <c r="G754" s="18" t="s">
        <v>19</v>
      </c>
      <c r="H754" s="18" t="s">
        <v>21</v>
      </c>
      <c r="I754" s="18" t="s">
        <v>15</v>
      </c>
      <c r="J754" s="16">
        <v>2</v>
      </c>
      <c r="K754" s="18" t="s">
        <v>23</v>
      </c>
      <c r="L754" s="18" t="s">
        <v>32</v>
      </c>
      <c r="M754" s="14">
        <v>32</v>
      </c>
      <c r="N754" s="18" t="str" cm="1">
        <f t="array" ref="N754">_xlfn.IFS(Cleaned_Working_Sheet!$M754&lt;=34,"Young",Cleaned_Working_Sheet!$M754&lt;=54,"Middle-aged",Cleaned_Working_Sheet!$M754&gt;54,"Old")</f>
        <v>Young</v>
      </c>
      <c r="O754" s="18" t="s">
        <v>18</v>
      </c>
    </row>
    <row r="755" spans="1:15" x14ac:dyDescent="0.25">
      <c r="A755" s="14">
        <v>28087</v>
      </c>
      <c r="B755" s="18" t="s">
        <v>37</v>
      </c>
      <c r="C755" s="18" t="s">
        <v>38</v>
      </c>
      <c r="D755" s="6">
        <v>40000</v>
      </c>
      <c r="E755" s="18" t="str" cm="1">
        <f t="array" ref="E755">_xlfn.IFS(Cleaned_Working_Sheet!$D755&lt;=50000,"Low Income",Cleaned_Working_Sheet!$D755&lt;100000,"Middle Income",TRUE,"High Income")</f>
        <v>Low Income</v>
      </c>
      <c r="F755" s="16">
        <v>0</v>
      </c>
      <c r="G755" s="18" t="s">
        <v>19</v>
      </c>
      <c r="H755" s="18" t="s">
        <v>14</v>
      </c>
      <c r="I755" s="18" t="s">
        <v>18</v>
      </c>
      <c r="J755" s="16">
        <v>1</v>
      </c>
      <c r="K755" s="18" t="s">
        <v>26</v>
      </c>
      <c r="L755" s="18" t="s">
        <v>32</v>
      </c>
      <c r="M755" s="14">
        <v>27</v>
      </c>
      <c r="N755" s="18" t="str" cm="1">
        <f t="array" ref="N755">_xlfn.IFS(Cleaned_Working_Sheet!$M755&lt;=34,"Young",Cleaned_Working_Sheet!$M755&lt;=54,"Middle-aged",Cleaned_Working_Sheet!$M755&gt;54,"Old")</f>
        <v>Young</v>
      </c>
      <c r="O755" s="18" t="s">
        <v>18</v>
      </c>
    </row>
    <row r="756" spans="1:15" x14ac:dyDescent="0.25">
      <c r="A756" s="14">
        <v>23668</v>
      </c>
      <c r="B756" s="18" t="s">
        <v>36</v>
      </c>
      <c r="C756" s="18" t="s">
        <v>38</v>
      </c>
      <c r="D756" s="6">
        <v>40000</v>
      </c>
      <c r="E756" s="18" t="str" cm="1">
        <f t="array" ref="E756">_xlfn.IFS(Cleaned_Working_Sheet!$D756&lt;=50000,"Low Income",Cleaned_Working_Sheet!$D756&lt;100000,"Middle Income",TRUE,"High Income")</f>
        <v>Low Income</v>
      </c>
      <c r="F756" s="16">
        <v>4</v>
      </c>
      <c r="G756" s="18" t="s">
        <v>27</v>
      </c>
      <c r="H756" s="18" t="s">
        <v>21</v>
      </c>
      <c r="I756" s="18" t="s">
        <v>15</v>
      </c>
      <c r="J756" s="16">
        <v>2</v>
      </c>
      <c r="K756" s="18" t="s">
        <v>23</v>
      </c>
      <c r="L756" s="18" t="s">
        <v>32</v>
      </c>
      <c r="M756" s="14">
        <v>59</v>
      </c>
      <c r="N756" s="18" t="str" cm="1">
        <f t="array" ref="N756">_xlfn.IFS(Cleaned_Working_Sheet!$M756&lt;=34,"Young",Cleaned_Working_Sheet!$M756&lt;=54,"Middle-aged",Cleaned_Working_Sheet!$M756&gt;54,"Old")</f>
        <v>Old</v>
      </c>
      <c r="O756" s="18" t="s">
        <v>15</v>
      </c>
    </row>
    <row r="757" spans="1:15" x14ac:dyDescent="0.25">
      <c r="A757" s="14">
        <v>27441</v>
      </c>
      <c r="B757" s="18" t="s">
        <v>36</v>
      </c>
      <c r="C757" s="18" t="s">
        <v>39</v>
      </c>
      <c r="D757" s="6">
        <v>60000</v>
      </c>
      <c r="E757" s="18" t="str" cm="1">
        <f t="array" ref="E757">_xlfn.IFS(Cleaned_Working_Sheet!$D757&lt;=50000,"Low Income",Cleaned_Working_Sheet!$D757&lt;100000,"Middle Income",TRUE,"High Income")</f>
        <v>Middle Income</v>
      </c>
      <c r="F757" s="16">
        <v>3</v>
      </c>
      <c r="G757" s="18" t="s">
        <v>27</v>
      </c>
      <c r="H757" s="18" t="s">
        <v>21</v>
      </c>
      <c r="I757" s="18" t="s">
        <v>18</v>
      </c>
      <c r="J757" s="16">
        <v>2</v>
      </c>
      <c r="K757" s="18" t="s">
        <v>22</v>
      </c>
      <c r="L757" s="18" t="s">
        <v>32</v>
      </c>
      <c r="M757" s="14">
        <v>53</v>
      </c>
      <c r="N757" s="18" t="str" cm="1">
        <f t="array" ref="N757">_xlfn.IFS(Cleaned_Working_Sheet!$M757&lt;=34,"Young",Cleaned_Working_Sheet!$M757&lt;=54,"Middle-aged",Cleaned_Working_Sheet!$M757&gt;54,"Old")</f>
        <v>Middle-aged</v>
      </c>
      <c r="O757" s="18" t="s">
        <v>18</v>
      </c>
    </row>
    <row r="758" spans="1:15" x14ac:dyDescent="0.25">
      <c r="A758" s="14">
        <v>27261</v>
      </c>
      <c r="B758" s="18" t="s">
        <v>36</v>
      </c>
      <c r="C758" s="18" t="s">
        <v>39</v>
      </c>
      <c r="D758" s="6">
        <v>40000</v>
      </c>
      <c r="E758" s="18" t="str" cm="1">
        <f t="array" ref="E758">_xlfn.IFS(Cleaned_Working_Sheet!$D758&lt;=50000,"Low Income",Cleaned_Working_Sheet!$D758&lt;100000,"Middle Income",TRUE,"High Income")</f>
        <v>Low Income</v>
      </c>
      <c r="F758" s="16">
        <v>1</v>
      </c>
      <c r="G758" s="18" t="s">
        <v>13</v>
      </c>
      <c r="H758" s="18" t="s">
        <v>14</v>
      </c>
      <c r="I758" s="18" t="s">
        <v>18</v>
      </c>
      <c r="J758" s="16">
        <v>1</v>
      </c>
      <c r="K758" s="18" t="s">
        <v>16</v>
      </c>
      <c r="L758" s="18" t="s">
        <v>32</v>
      </c>
      <c r="M758" s="14">
        <v>36</v>
      </c>
      <c r="N758" s="18" t="str" cm="1">
        <f t="array" ref="N758">_xlfn.IFS(Cleaned_Working_Sheet!$M758&lt;=34,"Young",Cleaned_Working_Sheet!$M758&lt;=54,"Middle-aged",Cleaned_Working_Sheet!$M758&gt;54,"Old")</f>
        <v>Middle-aged</v>
      </c>
      <c r="O758" s="18" t="s">
        <v>15</v>
      </c>
    </row>
    <row r="759" spans="1:15" x14ac:dyDescent="0.25">
      <c r="A759" s="14">
        <v>18649</v>
      </c>
      <c r="B759" s="18" t="s">
        <v>37</v>
      </c>
      <c r="C759" s="18" t="s">
        <v>39</v>
      </c>
      <c r="D759" s="6">
        <v>30000</v>
      </c>
      <c r="E759" s="18" t="str" cm="1">
        <f t="array" ref="E759">_xlfn.IFS(Cleaned_Working_Sheet!$D759&lt;=50000,"Low Income",Cleaned_Working_Sheet!$D759&lt;100000,"Middle Income",TRUE,"High Income")</f>
        <v>Low Income</v>
      </c>
      <c r="F759" s="16">
        <v>1</v>
      </c>
      <c r="G759" s="18" t="s">
        <v>27</v>
      </c>
      <c r="H759" s="18" t="s">
        <v>20</v>
      </c>
      <c r="I759" s="18" t="s">
        <v>15</v>
      </c>
      <c r="J759" s="16">
        <v>2</v>
      </c>
      <c r="K759" s="18" t="s">
        <v>26</v>
      </c>
      <c r="L759" s="18" t="s">
        <v>32</v>
      </c>
      <c r="M759" s="14">
        <v>51</v>
      </c>
      <c r="N759" s="18" t="str" cm="1">
        <f t="array" ref="N759">_xlfn.IFS(Cleaned_Working_Sheet!$M759&lt;=34,"Young",Cleaned_Working_Sheet!$M759&lt;=54,"Middle-aged",Cleaned_Working_Sheet!$M759&gt;54,"Old")</f>
        <v>Middle-aged</v>
      </c>
      <c r="O759" s="18" t="s">
        <v>15</v>
      </c>
    </row>
    <row r="760" spans="1:15" x14ac:dyDescent="0.25">
      <c r="A760" s="14">
        <v>21714</v>
      </c>
      <c r="B760" s="18" t="s">
        <v>37</v>
      </c>
      <c r="C760" s="18" t="s">
        <v>38</v>
      </c>
      <c r="D760" s="6">
        <v>80000</v>
      </c>
      <c r="E760" s="18" t="str" cm="1">
        <f t="array" ref="E760">_xlfn.IFS(Cleaned_Working_Sheet!$D760&lt;=50000,"Low Income",Cleaned_Working_Sheet!$D760&lt;100000,"Middle Income",TRUE,"High Income")</f>
        <v>Middle Income</v>
      </c>
      <c r="F760" s="16">
        <v>5</v>
      </c>
      <c r="G760" s="18" t="s">
        <v>31</v>
      </c>
      <c r="H760" s="18" t="s">
        <v>14</v>
      </c>
      <c r="I760" s="18" t="s">
        <v>18</v>
      </c>
      <c r="J760" s="16">
        <v>0</v>
      </c>
      <c r="K760" s="18" t="s">
        <v>16</v>
      </c>
      <c r="L760" s="18" t="s">
        <v>32</v>
      </c>
      <c r="M760" s="14">
        <v>47</v>
      </c>
      <c r="N760" s="18" t="str" cm="1">
        <f t="array" ref="N760">_xlfn.IFS(Cleaned_Working_Sheet!$M760&lt;=34,"Young",Cleaned_Working_Sheet!$M760&lt;=54,"Middle-aged",Cleaned_Working_Sheet!$M760&gt;54,"Old")</f>
        <v>Middle-aged</v>
      </c>
      <c r="O760" s="18" t="s">
        <v>18</v>
      </c>
    </row>
    <row r="761" spans="1:15" x14ac:dyDescent="0.25">
      <c r="A761" s="14">
        <v>23217</v>
      </c>
      <c r="B761" s="18" t="s">
        <v>37</v>
      </c>
      <c r="C761" s="18" t="s">
        <v>38</v>
      </c>
      <c r="D761" s="6">
        <v>60000</v>
      </c>
      <c r="E761" s="18" t="str" cm="1">
        <f t="array" ref="E761">_xlfn.IFS(Cleaned_Working_Sheet!$D761&lt;=50000,"Low Income",Cleaned_Working_Sheet!$D761&lt;100000,"Middle Income",TRUE,"High Income")</f>
        <v>Middle Income</v>
      </c>
      <c r="F761" s="16">
        <v>3</v>
      </c>
      <c r="G761" s="18" t="s">
        <v>31</v>
      </c>
      <c r="H761" s="18" t="s">
        <v>21</v>
      </c>
      <c r="I761" s="18" t="s">
        <v>15</v>
      </c>
      <c r="J761" s="16">
        <v>0</v>
      </c>
      <c r="K761" s="18" t="s">
        <v>22</v>
      </c>
      <c r="L761" s="18" t="s">
        <v>32</v>
      </c>
      <c r="M761" s="14">
        <v>43</v>
      </c>
      <c r="N761" s="18" t="str" cm="1">
        <f t="array" ref="N761">_xlfn.IFS(Cleaned_Working_Sheet!$M761&lt;=34,"Young",Cleaned_Working_Sheet!$M761&lt;=54,"Middle-aged",Cleaned_Working_Sheet!$M761&gt;54,"Old")</f>
        <v>Middle-aged</v>
      </c>
      <c r="O761" s="18" t="s">
        <v>15</v>
      </c>
    </row>
    <row r="762" spans="1:15" x14ac:dyDescent="0.25">
      <c r="A762" s="14">
        <v>23797</v>
      </c>
      <c r="B762" s="18" t="s">
        <v>37</v>
      </c>
      <c r="C762" s="18" t="s">
        <v>39</v>
      </c>
      <c r="D762" s="6">
        <v>20000</v>
      </c>
      <c r="E762" s="18" t="str" cm="1">
        <f t="array" ref="E762">_xlfn.IFS(Cleaned_Working_Sheet!$D762&lt;=50000,"Low Income",Cleaned_Working_Sheet!$D762&lt;100000,"Middle Income",TRUE,"High Income")</f>
        <v>Low Income</v>
      </c>
      <c r="F762" s="16">
        <v>3</v>
      </c>
      <c r="G762" s="18" t="s">
        <v>29</v>
      </c>
      <c r="H762" s="18" t="s">
        <v>20</v>
      </c>
      <c r="I762" s="18" t="s">
        <v>18</v>
      </c>
      <c r="J762" s="16">
        <v>2</v>
      </c>
      <c r="K762" s="18" t="s">
        <v>16</v>
      </c>
      <c r="L762" s="18" t="s">
        <v>32</v>
      </c>
      <c r="M762" s="14">
        <v>50</v>
      </c>
      <c r="N762" s="18" t="str" cm="1">
        <f t="array" ref="N762">_xlfn.IFS(Cleaned_Working_Sheet!$M762&lt;=34,"Young",Cleaned_Working_Sheet!$M762&lt;=54,"Middle-aged",Cleaned_Working_Sheet!$M762&gt;54,"Old")</f>
        <v>Middle-aged</v>
      </c>
      <c r="O762" s="18" t="s">
        <v>18</v>
      </c>
    </row>
    <row r="763" spans="1:15" x14ac:dyDescent="0.25">
      <c r="A763" s="14">
        <v>13216</v>
      </c>
      <c r="B763" s="18" t="s">
        <v>36</v>
      </c>
      <c r="C763" s="18" t="s">
        <v>38</v>
      </c>
      <c r="D763" s="6">
        <v>60000</v>
      </c>
      <c r="E763" s="18" t="str" cm="1">
        <f t="array" ref="E763">_xlfn.IFS(Cleaned_Working_Sheet!$D763&lt;=50000,"Low Income",Cleaned_Working_Sheet!$D763&lt;100000,"Middle Income",TRUE,"High Income")</f>
        <v>Middle Income</v>
      </c>
      <c r="F763" s="16">
        <v>5</v>
      </c>
      <c r="G763" s="18" t="s">
        <v>13</v>
      </c>
      <c r="H763" s="18" t="s">
        <v>28</v>
      </c>
      <c r="I763" s="18" t="s">
        <v>15</v>
      </c>
      <c r="J763" s="16">
        <v>3</v>
      </c>
      <c r="K763" s="18" t="s">
        <v>43</v>
      </c>
      <c r="L763" s="18" t="s">
        <v>32</v>
      </c>
      <c r="M763" s="14">
        <v>59</v>
      </c>
      <c r="N763" s="18" t="str" cm="1">
        <f t="array" ref="N763">_xlfn.IFS(Cleaned_Working_Sheet!$M763&lt;=34,"Young",Cleaned_Working_Sheet!$M763&lt;=54,"Middle-aged",Cleaned_Working_Sheet!$M763&gt;54,"Old")</f>
        <v>Old</v>
      </c>
      <c r="O763" s="18" t="s">
        <v>18</v>
      </c>
    </row>
    <row r="764" spans="1:15" x14ac:dyDescent="0.25">
      <c r="A764" s="14">
        <v>20657</v>
      </c>
      <c r="B764" s="18" t="s">
        <v>37</v>
      </c>
      <c r="C764" s="18" t="s">
        <v>39</v>
      </c>
      <c r="D764" s="6">
        <v>50000</v>
      </c>
      <c r="E764" s="18" t="str" cm="1">
        <f t="array" ref="E764">_xlfn.IFS(Cleaned_Working_Sheet!$D764&lt;=50000,"Low Income",Cleaned_Working_Sheet!$D764&lt;100000,"Middle Income",TRUE,"High Income")</f>
        <v>Low Income</v>
      </c>
      <c r="F764" s="16">
        <v>2</v>
      </c>
      <c r="G764" s="18" t="s">
        <v>13</v>
      </c>
      <c r="H764" s="18" t="s">
        <v>14</v>
      </c>
      <c r="I764" s="18" t="s">
        <v>15</v>
      </c>
      <c r="J764" s="16">
        <v>0</v>
      </c>
      <c r="K764" s="18" t="s">
        <v>22</v>
      </c>
      <c r="L764" s="18" t="s">
        <v>32</v>
      </c>
      <c r="M764" s="14">
        <v>37</v>
      </c>
      <c r="N764" s="18" t="str" cm="1">
        <f t="array" ref="N764">_xlfn.IFS(Cleaned_Working_Sheet!$M764&lt;=34,"Young",Cleaned_Working_Sheet!$M764&lt;=54,"Middle-aged",Cleaned_Working_Sheet!$M764&gt;54,"Old")</f>
        <v>Middle-aged</v>
      </c>
      <c r="O764" s="18" t="s">
        <v>15</v>
      </c>
    </row>
    <row r="765" spans="1:15" x14ac:dyDescent="0.25">
      <c r="A765" s="14">
        <v>12882</v>
      </c>
      <c r="B765" s="18" t="s">
        <v>36</v>
      </c>
      <c r="C765" s="18" t="s">
        <v>39</v>
      </c>
      <c r="D765" s="6">
        <v>50000</v>
      </c>
      <c r="E765" s="18" t="str" cm="1">
        <f t="array" ref="E765">_xlfn.IFS(Cleaned_Working_Sheet!$D765&lt;=50000,"Low Income",Cleaned_Working_Sheet!$D765&lt;100000,"Middle Income",TRUE,"High Income")</f>
        <v>Low Income</v>
      </c>
      <c r="F765" s="16">
        <v>1</v>
      </c>
      <c r="G765" s="18" t="s">
        <v>31</v>
      </c>
      <c r="H765" s="18" t="s">
        <v>14</v>
      </c>
      <c r="I765" s="18" t="s">
        <v>15</v>
      </c>
      <c r="J765" s="16">
        <v>0</v>
      </c>
      <c r="K765" s="18" t="s">
        <v>16</v>
      </c>
      <c r="L765" s="18" t="s">
        <v>32</v>
      </c>
      <c r="M765" s="14">
        <v>33</v>
      </c>
      <c r="N765" s="18" t="str" cm="1">
        <f t="array" ref="N765">_xlfn.IFS(Cleaned_Working_Sheet!$M765&lt;=34,"Young",Cleaned_Working_Sheet!$M765&lt;=54,"Middle-aged",Cleaned_Working_Sheet!$M765&gt;54,"Old")</f>
        <v>Young</v>
      </c>
      <c r="O765" s="18" t="s">
        <v>15</v>
      </c>
    </row>
    <row r="766" spans="1:15" x14ac:dyDescent="0.25">
      <c r="A766" s="14">
        <v>25908</v>
      </c>
      <c r="B766" s="18" t="s">
        <v>36</v>
      </c>
      <c r="C766" s="18" t="s">
        <v>38</v>
      </c>
      <c r="D766" s="6">
        <v>60000</v>
      </c>
      <c r="E766" s="18" t="str" cm="1">
        <f t="array" ref="E766">_xlfn.IFS(Cleaned_Working_Sheet!$D766&lt;=50000,"Low Income",Cleaned_Working_Sheet!$D766&lt;100000,"Middle Income",TRUE,"High Income")</f>
        <v>Middle Income</v>
      </c>
      <c r="F766" s="16">
        <v>0</v>
      </c>
      <c r="G766" s="18" t="s">
        <v>19</v>
      </c>
      <c r="H766" s="18" t="s">
        <v>14</v>
      </c>
      <c r="I766" s="18" t="s">
        <v>18</v>
      </c>
      <c r="J766" s="16">
        <v>1</v>
      </c>
      <c r="K766" s="18" t="s">
        <v>26</v>
      </c>
      <c r="L766" s="18" t="s">
        <v>32</v>
      </c>
      <c r="M766" s="14">
        <v>27</v>
      </c>
      <c r="N766" s="18" t="str" cm="1">
        <f t="array" ref="N766">_xlfn.IFS(Cleaned_Working_Sheet!$M766&lt;=34,"Young",Cleaned_Working_Sheet!$M766&lt;=54,"Middle-aged",Cleaned_Working_Sheet!$M766&gt;54,"Old")</f>
        <v>Young</v>
      </c>
      <c r="O766" s="18" t="s">
        <v>18</v>
      </c>
    </row>
    <row r="767" spans="1:15" x14ac:dyDescent="0.25">
      <c r="A767" s="14">
        <v>16753</v>
      </c>
      <c r="B767" s="18" t="s">
        <v>37</v>
      </c>
      <c r="C767" s="18" t="s">
        <v>38</v>
      </c>
      <c r="D767" s="6">
        <v>70000</v>
      </c>
      <c r="E767" s="18" t="str" cm="1">
        <f t="array" ref="E767">_xlfn.IFS(Cleaned_Working_Sheet!$D767&lt;=50000,"Low Income",Cleaned_Working_Sheet!$D767&lt;100000,"Middle Income",TRUE,"High Income")</f>
        <v>Middle Income</v>
      </c>
      <c r="F767" s="16">
        <v>0</v>
      </c>
      <c r="G767" s="18" t="s">
        <v>19</v>
      </c>
      <c r="H767" s="18" t="s">
        <v>14</v>
      </c>
      <c r="I767" s="18" t="s">
        <v>15</v>
      </c>
      <c r="J767" s="16">
        <v>2</v>
      </c>
      <c r="K767" s="18" t="s">
        <v>23</v>
      </c>
      <c r="L767" s="18" t="s">
        <v>32</v>
      </c>
      <c r="M767" s="14">
        <v>34</v>
      </c>
      <c r="N767" s="18" t="str" cm="1">
        <f t="array" ref="N767">_xlfn.IFS(Cleaned_Working_Sheet!$M767&lt;=34,"Young",Cleaned_Working_Sheet!$M767&lt;=54,"Middle-aged",Cleaned_Working_Sheet!$M767&gt;54,"Old")</f>
        <v>Young</v>
      </c>
      <c r="O767" s="18" t="s">
        <v>15</v>
      </c>
    </row>
    <row r="768" spans="1:15" x14ac:dyDescent="0.25">
      <c r="A768" s="14">
        <v>14608</v>
      </c>
      <c r="B768" s="18" t="s">
        <v>36</v>
      </c>
      <c r="C768" s="18" t="s">
        <v>39</v>
      </c>
      <c r="D768" s="6">
        <v>50000</v>
      </c>
      <c r="E768" s="18" t="str" cm="1">
        <f t="array" ref="E768">_xlfn.IFS(Cleaned_Working_Sheet!$D768&lt;=50000,"Low Income",Cleaned_Working_Sheet!$D768&lt;100000,"Middle Income",TRUE,"High Income")</f>
        <v>Low Income</v>
      </c>
      <c r="F768" s="16">
        <v>4</v>
      </c>
      <c r="G768" s="18" t="s">
        <v>13</v>
      </c>
      <c r="H768" s="18" t="s">
        <v>14</v>
      </c>
      <c r="I768" s="18" t="s">
        <v>15</v>
      </c>
      <c r="J768" s="16">
        <v>3</v>
      </c>
      <c r="K768" s="18" t="s">
        <v>43</v>
      </c>
      <c r="L768" s="18" t="s">
        <v>32</v>
      </c>
      <c r="M768" s="14">
        <v>42</v>
      </c>
      <c r="N768" s="18" t="str" cm="1">
        <f t="array" ref="N768">_xlfn.IFS(Cleaned_Working_Sheet!$M768&lt;=34,"Young",Cleaned_Working_Sheet!$M768&lt;=54,"Middle-aged",Cleaned_Working_Sheet!$M768&gt;54,"Old")</f>
        <v>Middle-aged</v>
      </c>
      <c r="O768" s="18" t="s">
        <v>18</v>
      </c>
    </row>
    <row r="769" spans="1:15" x14ac:dyDescent="0.25">
      <c r="A769" s="14">
        <v>24979</v>
      </c>
      <c r="B769" s="18" t="s">
        <v>36</v>
      </c>
      <c r="C769" s="18" t="s">
        <v>38</v>
      </c>
      <c r="D769" s="6">
        <v>60000</v>
      </c>
      <c r="E769" s="18" t="str" cm="1">
        <f t="array" ref="E769">_xlfn.IFS(Cleaned_Working_Sheet!$D769&lt;=50000,"Low Income",Cleaned_Working_Sheet!$D769&lt;100000,"Middle Income",TRUE,"High Income")</f>
        <v>Middle Income</v>
      </c>
      <c r="F769" s="16">
        <v>2</v>
      </c>
      <c r="G769" s="18" t="s">
        <v>19</v>
      </c>
      <c r="H769" s="18" t="s">
        <v>21</v>
      </c>
      <c r="I769" s="18" t="s">
        <v>15</v>
      </c>
      <c r="J769" s="16">
        <v>2</v>
      </c>
      <c r="K769" s="18" t="s">
        <v>22</v>
      </c>
      <c r="L769" s="18" t="s">
        <v>32</v>
      </c>
      <c r="M769" s="14">
        <v>57</v>
      </c>
      <c r="N769" s="18" t="str" cm="1">
        <f t="array" ref="N769">_xlfn.IFS(Cleaned_Working_Sheet!$M769&lt;=34,"Young",Cleaned_Working_Sheet!$M769&lt;=54,"Middle-aged",Cleaned_Working_Sheet!$M769&gt;54,"Old")</f>
        <v>Old</v>
      </c>
      <c r="O769" s="18" t="s">
        <v>15</v>
      </c>
    </row>
    <row r="770" spans="1:15" x14ac:dyDescent="0.25">
      <c r="A770" s="14">
        <v>13313</v>
      </c>
      <c r="B770" s="18" t="s">
        <v>36</v>
      </c>
      <c r="C770" s="18" t="s">
        <v>38</v>
      </c>
      <c r="D770" s="6">
        <v>120000</v>
      </c>
      <c r="E770" s="18" t="str" cm="1">
        <f t="array" ref="E770">_xlfn.IFS(Cleaned_Working_Sheet!$D770&lt;=50000,"Low Income",Cleaned_Working_Sheet!$D770&lt;100000,"Middle Income",TRUE,"High Income")</f>
        <v>High Income</v>
      </c>
      <c r="F770" s="16">
        <v>1</v>
      </c>
      <c r="G770" s="18" t="s">
        <v>27</v>
      </c>
      <c r="H770" s="18" t="s">
        <v>21</v>
      </c>
      <c r="I770" s="18" t="s">
        <v>18</v>
      </c>
      <c r="J770" s="16">
        <v>4</v>
      </c>
      <c r="K770" s="18" t="s">
        <v>22</v>
      </c>
      <c r="L770" s="18" t="s">
        <v>32</v>
      </c>
      <c r="M770" s="14">
        <v>45</v>
      </c>
      <c r="N770" s="18" t="str" cm="1">
        <f t="array" ref="N770">_xlfn.IFS(Cleaned_Working_Sheet!$M770&lt;=34,"Young",Cleaned_Working_Sheet!$M770&lt;=54,"Middle-aged",Cleaned_Working_Sheet!$M770&gt;54,"Old")</f>
        <v>Middle-aged</v>
      </c>
      <c r="O770" s="18" t="s">
        <v>18</v>
      </c>
    </row>
    <row r="771" spans="1:15" x14ac:dyDescent="0.25">
      <c r="A771" s="14">
        <v>18952</v>
      </c>
      <c r="B771" s="18" t="s">
        <v>36</v>
      </c>
      <c r="C771" s="18" t="s">
        <v>38</v>
      </c>
      <c r="D771" s="6">
        <v>100000</v>
      </c>
      <c r="E771" s="18" t="str" cm="1">
        <f t="array" ref="E771">_xlfn.IFS(Cleaned_Working_Sheet!$D771&lt;=50000,"Low Income",Cleaned_Working_Sheet!$D771&lt;100000,"Middle Income",TRUE,"High Income")</f>
        <v>High Income</v>
      </c>
      <c r="F771" s="16">
        <v>4</v>
      </c>
      <c r="G771" s="18" t="s">
        <v>13</v>
      </c>
      <c r="H771" s="18" t="s">
        <v>28</v>
      </c>
      <c r="I771" s="18" t="s">
        <v>15</v>
      </c>
      <c r="J771" s="16">
        <v>4</v>
      </c>
      <c r="K771" s="18" t="s">
        <v>16</v>
      </c>
      <c r="L771" s="18" t="s">
        <v>32</v>
      </c>
      <c r="M771" s="14">
        <v>40</v>
      </c>
      <c r="N771" s="18" t="str" cm="1">
        <f t="array" ref="N771">_xlfn.IFS(Cleaned_Working_Sheet!$M771&lt;=34,"Young",Cleaned_Working_Sheet!$M771&lt;=54,"Middle-aged",Cleaned_Working_Sheet!$M771&gt;54,"Old")</f>
        <v>Middle-aged</v>
      </c>
      <c r="O771" s="18" t="s">
        <v>18</v>
      </c>
    </row>
    <row r="772" spans="1:15" x14ac:dyDescent="0.25">
      <c r="A772" s="14">
        <v>17699</v>
      </c>
      <c r="B772" s="18" t="s">
        <v>36</v>
      </c>
      <c r="C772" s="18" t="s">
        <v>39</v>
      </c>
      <c r="D772" s="6">
        <v>60000</v>
      </c>
      <c r="E772" s="18" t="str" cm="1">
        <f t="array" ref="E772">_xlfn.IFS(Cleaned_Working_Sheet!$D772&lt;=50000,"Low Income",Cleaned_Working_Sheet!$D772&lt;100000,"Middle Income",TRUE,"High Income")</f>
        <v>Middle Income</v>
      </c>
      <c r="F772" s="16">
        <v>1</v>
      </c>
      <c r="G772" s="18" t="s">
        <v>31</v>
      </c>
      <c r="H772" s="18" t="s">
        <v>14</v>
      </c>
      <c r="I772" s="18" t="s">
        <v>18</v>
      </c>
      <c r="J772" s="16">
        <v>0</v>
      </c>
      <c r="K772" s="18" t="s">
        <v>16</v>
      </c>
      <c r="L772" s="18" t="s">
        <v>32</v>
      </c>
      <c r="M772" s="14">
        <v>55</v>
      </c>
      <c r="N772" s="18" t="str" cm="1">
        <f t="array" ref="N772">_xlfn.IFS(Cleaned_Working_Sheet!$M772&lt;=34,"Young",Cleaned_Working_Sheet!$M772&lt;=54,"Middle-aged",Cleaned_Working_Sheet!$M772&gt;54,"Old")</f>
        <v>Old</v>
      </c>
      <c r="O772" s="18" t="s">
        <v>18</v>
      </c>
    </row>
    <row r="773" spans="1:15" x14ac:dyDescent="0.25">
      <c r="A773" s="14">
        <v>14657</v>
      </c>
      <c r="B773" s="18" t="s">
        <v>36</v>
      </c>
      <c r="C773" s="18" t="s">
        <v>39</v>
      </c>
      <c r="D773" s="6">
        <v>80000</v>
      </c>
      <c r="E773" s="18" t="str" cm="1">
        <f t="array" ref="E773">_xlfn.IFS(Cleaned_Working_Sheet!$D773&lt;=50000,"Low Income",Cleaned_Working_Sheet!$D773&lt;100000,"Middle Income",TRUE,"High Income")</f>
        <v>Middle Income</v>
      </c>
      <c r="F773" s="16">
        <v>1</v>
      </c>
      <c r="G773" s="18" t="s">
        <v>19</v>
      </c>
      <c r="H773" s="18" t="s">
        <v>14</v>
      </c>
      <c r="I773" s="18" t="s">
        <v>18</v>
      </c>
      <c r="J773" s="16">
        <v>1</v>
      </c>
      <c r="K773" s="18" t="s">
        <v>16</v>
      </c>
      <c r="L773" s="18" t="s">
        <v>32</v>
      </c>
      <c r="M773" s="14">
        <v>47</v>
      </c>
      <c r="N773" s="18" t="str" cm="1">
        <f t="array" ref="N773">_xlfn.IFS(Cleaned_Working_Sheet!$M773&lt;=34,"Young",Cleaned_Working_Sheet!$M773&lt;=54,"Middle-aged",Cleaned_Working_Sheet!$M773&gt;54,"Old")</f>
        <v>Middle-aged</v>
      </c>
      <c r="O773" s="18" t="s">
        <v>15</v>
      </c>
    </row>
    <row r="774" spans="1:15" x14ac:dyDescent="0.25">
      <c r="A774" s="14">
        <v>11540</v>
      </c>
      <c r="B774" s="18" t="s">
        <v>37</v>
      </c>
      <c r="C774" s="18" t="s">
        <v>39</v>
      </c>
      <c r="D774" s="6">
        <v>60000</v>
      </c>
      <c r="E774" s="18" t="str" cm="1">
        <f t="array" ref="E774">_xlfn.IFS(Cleaned_Working_Sheet!$D774&lt;=50000,"Low Income",Cleaned_Working_Sheet!$D774&lt;100000,"Middle Income",TRUE,"High Income")</f>
        <v>Middle Income</v>
      </c>
      <c r="F774" s="16">
        <v>4</v>
      </c>
      <c r="G774" s="18" t="s">
        <v>31</v>
      </c>
      <c r="H774" s="18" t="s">
        <v>14</v>
      </c>
      <c r="I774" s="18" t="s">
        <v>15</v>
      </c>
      <c r="J774" s="16">
        <v>0</v>
      </c>
      <c r="K774" s="18" t="s">
        <v>26</v>
      </c>
      <c r="L774" s="18" t="s">
        <v>32</v>
      </c>
      <c r="M774" s="14">
        <v>47</v>
      </c>
      <c r="N774" s="18" t="str" cm="1">
        <f t="array" ref="N774">_xlfn.IFS(Cleaned_Working_Sheet!$M774&lt;=34,"Young",Cleaned_Working_Sheet!$M774&lt;=54,"Middle-aged",Cleaned_Working_Sheet!$M774&gt;54,"Old")</f>
        <v>Middle-aged</v>
      </c>
      <c r="O774" s="18" t="s">
        <v>15</v>
      </c>
    </row>
    <row r="775" spans="1:15" x14ac:dyDescent="0.25">
      <c r="A775" s="14">
        <v>11783</v>
      </c>
      <c r="B775" s="18" t="s">
        <v>36</v>
      </c>
      <c r="C775" s="18" t="s">
        <v>38</v>
      </c>
      <c r="D775" s="6">
        <v>60000</v>
      </c>
      <c r="E775" s="18" t="str" cm="1">
        <f t="array" ref="E775">_xlfn.IFS(Cleaned_Working_Sheet!$D775&lt;=50000,"Low Income",Cleaned_Working_Sheet!$D775&lt;100000,"Middle Income",TRUE,"High Income")</f>
        <v>Middle Income</v>
      </c>
      <c r="F775" s="16">
        <v>1</v>
      </c>
      <c r="G775" s="18" t="s">
        <v>31</v>
      </c>
      <c r="H775" s="18" t="s">
        <v>14</v>
      </c>
      <c r="I775" s="18" t="s">
        <v>15</v>
      </c>
      <c r="J775" s="16">
        <v>0</v>
      </c>
      <c r="K775" s="18" t="s">
        <v>16</v>
      </c>
      <c r="L775" s="18" t="s">
        <v>32</v>
      </c>
      <c r="M775" s="14">
        <v>34</v>
      </c>
      <c r="N775" s="18" t="str" cm="1">
        <f t="array" ref="N775">_xlfn.IFS(Cleaned_Working_Sheet!$M775&lt;=34,"Young",Cleaned_Working_Sheet!$M775&lt;=54,"Middle-aged",Cleaned_Working_Sheet!$M775&gt;54,"Old")</f>
        <v>Young</v>
      </c>
      <c r="O775" s="18" t="s">
        <v>18</v>
      </c>
    </row>
    <row r="776" spans="1:15" x14ac:dyDescent="0.25">
      <c r="A776" s="14">
        <v>14602</v>
      </c>
      <c r="B776" s="18" t="s">
        <v>36</v>
      </c>
      <c r="C776" s="18" t="s">
        <v>38</v>
      </c>
      <c r="D776" s="6">
        <v>80000</v>
      </c>
      <c r="E776" s="18" t="str" cm="1">
        <f t="array" ref="E776">_xlfn.IFS(Cleaned_Working_Sheet!$D776&lt;=50000,"Low Income",Cleaned_Working_Sheet!$D776&lt;100000,"Middle Income",TRUE,"High Income")</f>
        <v>Middle Income</v>
      </c>
      <c r="F776" s="16">
        <v>3</v>
      </c>
      <c r="G776" s="18" t="s">
        <v>31</v>
      </c>
      <c r="H776" s="18" t="s">
        <v>21</v>
      </c>
      <c r="I776" s="18" t="s">
        <v>15</v>
      </c>
      <c r="J776" s="16">
        <v>0</v>
      </c>
      <c r="K776" s="18" t="s">
        <v>16</v>
      </c>
      <c r="L776" s="18" t="s">
        <v>32</v>
      </c>
      <c r="M776" s="14">
        <v>36</v>
      </c>
      <c r="N776" s="18" t="str" cm="1">
        <f t="array" ref="N776">_xlfn.IFS(Cleaned_Working_Sheet!$M776&lt;=34,"Young",Cleaned_Working_Sheet!$M776&lt;=54,"Middle-aged",Cleaned_Working_Sheet!$M776&gt;54,"Old")</f>
        <v>Middle-aged</v>
      </c>
      <c r="O776" s="18" t="s">
        <v>15</v>
      </c>
    </row>
    <row r="777" spans="1:15" x14ac:dyDescent="0.25">
      <c r="A777" s="14">
        <v>29030</v>
      </c>
      <c r="B777" s="18" t="s">
        <v>36</v>
      </c>
      <c r="C777" s="18" t="s">
        <v>39</v>
      </c>
      <c r="D777" s="6">
        <v>70000</v>
      </c>
      <c r="E777" s="18" t="str" cm="1">
        <f t="array" ref="E777">_xlfn.IFS(Cleaned_Working_Sheet!$D777&lt;=50000,"Low Income",Cleaned_Working_Sheet!$D777&lt;100000,"Middle Income",TRUE,"High Income")</f>
        <v>Middle Income</v>
      </c>
      <c r="F777" s="16">
        <v>2</v>
      </c>
      <c r="G777" s="18" t="s">
        <v>29</v>
      </c>
      <c r="H777" s="18" t="s">
        <v>14</v>
      </c>
      <c r="I777" s="18" t="s">
        <v>15</v>
      </c>
      <c r="J777" s="16">
        <v>2</v>
      </c>
      <c r="K777" s="18" t="s">
        <v>43</v>
      </c>
      <c r="L777" s="18" t="s">
        <v>32</v>
      </c>
      <c r="M777" s="14">
        <v>54</v>
      </c>
      <c r="N777" s="18" t="str" cm="1">
        <f t="array" ref="N777">_xlfn.IFS(Cleaned_Working_Sheet!$M777&lt;=34,"Young",Cleaned_Working_Sheet!$M777&lt;=54,"Middle-aged",Cleaned_Working_Sheet!$M777&gt;54,"Old")</f>
        <v>Middle-aged</v>
      </c>
      <c r="O777" s="18" t="s">
        <v>18</v>
      </c>
    </row>
    <row r="778" spans="1:15" x14ac:dyDescent="0.25">
      <c r="A778" s="14">
        <v>26490</v>
      </c>
      <c r="B778" s="18" t="s">
        <v>37</v>
      </c>
      <c r="C778" s="18" t="s">
        <v>39</v>
      </c>
      <c r="D778" s="6">
        <v>70000</v>
      </c>
      <c r="E778" s="18" t="str" cm="1">
        <f t="array" ref="E778">_xlfn.IFS(Cleaned_Working_Sheet!$D778&lt;=50000,"Low Income",Cleaned_Working_Sheet!$D778&lt;100000,"Middle Income",TRUE,"High Income")</f>
        <v>Middle Income</v>
      </c>
      <c r="F778" s="16">
        <v>2</v>
      </c>
      <c r="G778" s="18" t="s">
        <v>13</v>
      </c>
      <c r="H778" s="18" t="s">
        <v>28</v>
      </c>
      <c r="I778" s="18" t="s">
        <v>18</v>
      </c>
      <c r="J778" s="16">
        <v>1</v>
      </c>
      <c r="K778" s="18" t="s">
        <v>22</v>
      </c>
      <c r="L778" s="18" t="s">
        <v>32</v>
      </c>
      <c r="M778" s="14">
        <v>59</v>
      </c>
      <c r="N778" s="18" t="str" cm="1">
        <f t="array" ref="N778">_xlfn.IFS(Cleaned_Working_Sheet!$M778&lt;=34,"Young",Cleaned_Working_Sheet!$M778&lt;=54,"Middle-aged",Cleaned_Working_Sheet!$M778&gt;54,"Old")</f>
        <v>Old</v>
      </c>
      <c r="O778" s="18" t="s">
        <v>15</v>
      </c>
    </row>
    <row r="779" spans="1:15" x14ac:dyDescent="0.25">
      <c r="A779" s="14">
        <v>13151</v>
      </c>
      <c r="B779" s="18" t="s">
        <v>37</v>
      </c>
      <c r="C779" s="18" t="s">
        <v>39</v>
      </c>
      <c r="D779" s="6">
        <v>40000</v>
      </c>
      <c r="E779" s="18" t="str" cm="1">
        <f t="array" ref="E779">_xlfn.IFS(Cleaned_Working_Sheet!$D779&lt;=50000,"Low Income",Cleaned_Working_Sheet!$D779&lt;100000,"Middle Income",TRUE,"High Income")</f>
        <v>Low Income</v>
      </c>
      <c r="F779" s="16">
        <v>0</v>
      </c>
      <c r="G779" s="18" t="s">
        <v>27</v>
      </c>
      <c r="H779" s="18" t="s">
        <v>14</v>
      </c>
      <c r="I779" s="18" t="s">
        <v>15</v>
      </c>
      <c r="J779" s="16">
        <v>2</v>
      </c>
      <c r="K779" s="18" t="s">
        <v>23</v>
      </c>
      <c r="L779" s="18" t="s">
        <v>32</v>
      </c>
      <c r="M779" s="14">
        <v>27</v>
      </c>
      <c r="N779" s="18" t="str" cm="1">
        <f t="array" ref="N779">_xlfn.IFS(Cleaned_Working_Sheet!$M779&lt;=34,"Young",Cleaned_Working_Sheet!$M779&lt;=54,"Middle-aged",Cleaned_Working_Sheet!$M779&gt;54,"Old")</f>
        <v>Young</v>
      </c>
      <c r="O779" s="18" t="s">
        <v>18</v>
      </c>
    </row>
    <row r="780" spans="1:15" x14ac:dyDescent="0.25">
      <c r="A780" s="14">
        <v>17260</v>
      </c>
      <c r="B780" s="18" t="s">
        <v>36</v>
      </c>
      <c r="C780" s="18" t="s">
        <v>39</v>
      </c>
      <c r="D780" s="6">
        <v>90000</v>
      </c>
      <c r="E780" s="18" t="str" cm="1">
        <f t="array" ref="E780">_xlfn.IFS(Cleaned_Working_Sheet!$D780&lt;=50000,"Low Income",Cleaned_Working_Sheet!$D780&lt;100000,"Middle Income",TRUE,"High Income")</f>
        <v>Middle Income</v>
      </c>
      <c r="F780" s="16">
        <v>5</v>
      </c>
      <c r="G780" s="18" t="s">
        <v>19</v>
      </c>
      <c r="H780" s="18" t="s">
        <v>21</v>
      </c>
      <c r="I780" s="18" t="s">
        <v>15</v>
      </c>
      <c r="J780" s="16">
        <v>3</v>
      </c>
      <c r="K780" s="18" t="s">
        <v>16</v>
      </c>
      <c r="L780" s="18" t="s">
        <v>32</v>
      </c>
      <c r="M780" s="14">
        <v>41</v>
      </c>
      <c r="N780" s="18" t="str" cm="1">
        <f t="array" ref="N780">_xlfn.IFS(Cleaned_Working_Sheet!$M780&lt;=34,"Young",Cleaned_Working_Sheet!$M780&lt;=54,"Middle-aged",Cleaned_Working_Sheet!$M780&gt;54,"Old")</f>
        <v>Middle-aged</v>
      </c>
      <c r="O780" s="18" t="s">
        <v>18</v>
      </c>
    </row>
    <row r="781" spans="1:15" x14ac:dyDescent="0.25">
      <c r="A781" s="14">
        <v>15372</v>
      </c>
      <c r="B781" s="18" t="s">
        <v>36</v>
      </c>
      <c r="C781" s="18" t="s">
        <v>39</v>
      </c>
      <c r="D781" s="6">
        <v>80000</v>
      </c>
      <c r="E781" s="18" t="str" cm="1">
        <f t="array" ref="E781">_xlfn.IFS(Cleaned_Working_Sheet!$D781&lt;=50000,"Low Income",Cleaned_Working_Sheet!$D781&lt;100000,"Middle Income",TRUE,"High Income")</f>
        <v>Middle Income</v>
      </c>
      <c r="F781" s="16">
        <v>3</v>
      </c>
      <c r="G781" s="18" t="s">
        <v>19</v>
      </c>
      <c r="H781" s="18" t="s">
        <v>21</v>
      </c>
      <c r="I781" s="18" t="s">
        <v>18</v>
      </c>
      <c r="J781" s="16">
        <v>2</v>
      </c>
      <c r="K781" s="18" t="s">
        <v>22</v>
      </c>
      <c r="L781" s="18" t="s">
        <v>32</v>
      </c>
      <c r="M781" s="14">
        <v>50</v>
      </c>
      <c r="N781" s="18" t="str" cm="1">
        <f t="array" ref="N781">_xlfn.IFS(Cleaned_Working_Sheet!$M781&lt;=34,"Young",Cleaned_Working_Sheet!$M781&lt;=54,"Middle-aged",Cleaned_Working_Sheet!$M781&gt;54,"Old")</f>
        <v>Middle-aged</v>
      </c>
      <c r="O781" s="18" t="s">
        <v>15</v>
      </c>
    </row>
    <row r="782" spans="1:15" x14ac:dyDescent="0.25">
      <c r="A782" s="14">
        <v>18105</v>
      </c>
      <c r="B782" s="18" t="s">
        <v>36</v>
      </c>
      <c r="C782" s="18" t="s">
        <v>38</v>
      </c>
      <c r="D782" s="6">
        <v>60000</v>
      </c>
      <c r="E782" s="18" t="str" cm="1">
        <f t="array" ref="E782">_xlfn.IFS(Cleaned_Working_Sheet!$D782&lt;=50000,"Low Income",Cleaned_Working_Sheet!$D782&lt;100000,"Middle Income",TRUE,"High Income")</f>
        <v>Middle Income</v>
      </c>
      <c r="F782" s="16">
        <v>2</v>
      </c>
      <c r="G782" s="18" t="s">
        <v>19</v>
      </c>
      <c r="H782" s="18" t="s">
        <v>21</v>
      </c>
      <c r="I782" s="18" t="s">
        <v>15</v>
      </c>
      <c r="J782" s="16">
        <v>1</v>
      </c>
      <c r="K782" s="18" t="s">
        <v>43</v>
      </c>
      <c r="L782" s="18" t="s">
        <v>32</v>
      </c>
      <c r="M782" s="14">
        <v>55</v>
      </c>
      <c r="N782" s="18" t="str" cm="1">
        <f t="array" ref="N782">_xlfn.IFS(Cleaned_Working_Sheet!$M782&lt;=34,"Young",Cleaned_Working_Sheet!$M782&lt;=54,"Middle-aged",Cleaned_Working_Sheet!$M782&gt;54,"Old")</f>
        <v>Old</v>
      </c>
      <c r="O782" s="18" t="s">
        <v>18</v>
      </c>
    </row>
    <row r="783" spans="1:15" x14ac:dyDescent="0.25">
      <c r="A783" s="14">
        <v>19660</v>
      </c>
      <c r="B783" s="18" t="s">
        <v>36</v>
      </c>
      <c r="C783" s="18" t="s">
        <v>39</v>
      </c>
      <c r="D783" s="6">
        <v>80000</v>
      </c>
      <c r="E783" s="18" t="str" cm="1">
        <f t="array" ref="E783">_xlfn.IFS(Cleaned_Working_Sheet!$D783&lt;=50000,"Low Income",Cleaned_Working_Sheet!$D783&lt;100000,"Middle Income",TRUE,"High Income")</f>
        <v>Middle Income</v>
      </c>
      <c r="F783" s="16">
        <v>4</v>
      </c>
      <c r="G783" s="18" t="s">
        <v>13</v>
      </c>
      <c r="H783" s="18" t="s">
        <v>28</v>
      </c>
      <c r="I783" s="18" t="s">
        <v>15</v>
      </c>
      <c r="J783" s="16">
        <v>0</v>
      </c>
      <c r="K783" s="18" t="s">
        <v>16</v>
      </c>
      <c r="L783" s="18" t="s">
        <v>32</v>
      </c>
      <c r="M783" s="14">
        <v>43</v>
      </c>
      <c r="N783" s="18" t="str" cm="1">
        <f t="array" ref="N783">_xlfn.IFS(Cleaned_Working_Sheet!$M783&lt;=34,"Young",Cleaned_Working_Sheet!$M783&lt;=54,"Middle-aged",Cleaned_Working_Sheet!$M783&gt;54,"Old")</f>
        <v>Middle-aged</v>
      </c>
      <c r="O783" s="18" t="s">
        <v>18</v>
      </c>
    </row>
    <row r="784" spans="1:15" x14ac:dyDescent="0.25">
      <c r="A784" s="14">
        <v>16112</v>
      </c>
      <c r="B784" s="18" t="s">
        <v>37</v>
      </c>
      <c r="C784" s="18" t="s">
        <v>39</v>
      </c>
      <c r="D784" s="6">
        <v>70000</v>
      </c>
      <c r="E784" s="18" t="str" cm="1">
        <f t="array" ref="E784">_xlfn.IFS(Cleaned_Working_Sheet!$D784&lt;=50000,"Low Income",Cleaned_Working_Sheet!$D784&lt;100000,"Middle Income",TRUE,"High Income")</f>
        <v>Middle Income</v>
      </c>
      <c r="F784" s="16">
        <v>4</v>
      </c>
      <c r="G784" s="18" t="s">
        <v>13</v>
      </c>
      <c r="H784" s="18" t="s">
        <v>21</v>
      </c>
      <c r="I784" s="18" t="s">
        <v>15</v>
      </c>
      <c r="J784" s="16">
        <v>2</v>
      </c>
      <c r="K784" s="18" t="s">
        <v>22</v>
      </c>
      <c r="L784" s="18" t="s">
        <v>32</v>
      </c>
      <c r="M784" s="14">
        <v>43</v>
      </c>
      <c r="N784" s="18" t="str" cm="1">
        <f t="array" ref="N784">_xlfn.IFS(Cleaned_Working_Sheet!$M784&lt;=34,"Young",Cleaned_Working_Sheet!$M784&lt;=54,"Middle-aged",Cleaned_Working_Sheet!$M784&gt;54,"Old")</f>
        <v>Middle-aged</v>
      </c>
      <c r="O784" s="18" t="s">
        <v>15</v>
      </c>
    </row>
    <row r="785" spans="1:15" x14ac:dyDescent="0.25">
      <c r="A785" s="14">
        <v>20698</v>
      </c>
      <c r="B785" s="18" t="s">
        <v>36</v>
      </c>
      <c r="C785" s="18" t="s">
        <v>39</v>
      </c>
      <c r="D785" s="6">
        <v>60000</v>
      </c>
      <c r="E785" s="18" t="str" cm="1">
        <f t="array" ref="E785">_xlfn.IFS(Cleaned_Working_Sheet!$D785&lt;=50000,"Low Income",Cleaned_Working_Sheet!$D785&lt;100000,"Middle Income",TRUE,"High Income")</f>
        <v>Middle Income</v>
      </c>
      <c r="F785" s="16">
        <v>4</v>
      </c>
      <c r="G785" s="18" t="s">
        <v>13</v>
      </c>
      <c r="H785" s="18" t="s">
        <v>14</v>
      </c>
      <c r="I785" s="18" t="s">
        <v>15</v>
      </c>
      <c r="J785" s="16">
        <v>3</v>
      </c>
      <c r="K785" s="18" t="s">
        <v>23</v>
      </c>
      <c r="L785" s="18" t="s">
        <v>32</v>
      </c>
      <c r="M785" s="14">
        <v>42</v>
      </c>
      <c r="N785" s="18" t="str" cm="1">
        <f t="array" ref="N785">_xlfn.IFS(Cleaned_Working_Sheet!$M785&lt;=34,"Young",Cleaned_Working_Sheet!$M785&lt;=54,"Middle-aged",Cleaned_Working_Sheet!$M785&gt;54,"Old")</f>
        <v>Middle-aged</v>
      </c>
      <c r="O785" s="18" t="s">
        <v>18</v>
      </c>
    </row>
    <row r="786" spans="1:15" x14ac:dyDescent="0.25">
      <c r="A786" s="14">
        <v>20076</v>
      </c>
      <c r="B786" s="18" t="s">
        <v>37</v>
      </c>
      <c r="C786" s="18" t="s">
        <v>38</v>
      </c>
      <c r="D786" s="6">
        <v>10000</v>
      </c>
      <c r="E786" s="18" t="str" cm="1">
        <f t="array" ref="E786">_xlfn.IFS(Cleaned_Working_Sheet!$D786&lt;=50000,"Low Income",Cleaned_Working_Sheet!$D786&lt;100000,"Middle Income",TRUE,"High Income")</f>
        <v>Low Income</v>
      </c>
      <c r="F786" s="16">
        <v>2</v>
      </c>
      <c r="G786" s="18" t="s">
        <v>27</v>
      </c>
      <c r="H786" s="18" t="s">
        <v>25</v>
      </c>
      <c r="I786" s="18" t="s">
        <v>15</v>
      </c>
      <c r="J786" s="16">
        <v>2</v>
      </c>
      <c r="K786" s="18" t="s">
        <v>26</v>
      </c>
      <c r="L786" s="18" t="s">
        <v>32</v>
      </c>
      <c r="M786" s="14">
        <v>53</v>
      </c>
      <c r="N786" s="18" t="str" cm="1">
        <f t="array" ref="N786">_xlfn.IFS(Cleaned_Working_Sheet!$M786&lt;=34,"Young",Cleaned_Working_Sheet!$M786&lt;=54,"Middle-aged",Cleaned_Working_Sheet!$M786&gt;54,"Old")</f>
        <v>Middle-aged</v>
      </c>
      <c r="O786" s="18" t="s">
        <v>15</v>
      </c>
    </row>
    <row r="787" spans="1:15" x14ac:dyDescent="0.25">
      <c r="A787" s="14">
        <v>24496</v>
      </c>
      <c r="B787" s="18" t="s">
        <v>37</v>
      </c>
      <c r="C787" s="18" t="s">
        <v>38</v>
      </c>
      <c r="D787" s="6">
        <v>40000</v>
      </c>
      <c r="E787" s="18" t="str" cm="1">
        <f t="array" ref="E787">_xlfn.IFS(Cleaned_Working_Sheet!$D787&lt;=50000,"Low Income",Cleaned_Working_Sheet!$D787&lt;100000,"Middle Income",TRUE,"High Income")</f>
        <v>Low Income</v>
      </c>
      <c r="F787" s="16">
        <v>0</v>
      </c>
      <c r="G787" s="18" t="s">
        <v>27</v>
      </c>
      <c r="H787" s="18" t="s">
        <v>14</v>
      </c>
      <c r="I787" s="18" t="s">
        <v>18</v>
      </c>
      <c r="J787" s="16">
        <v>2</v>
      </c>
      <c r="K787" s="18" t="s">
        <v>16</v>
      </c>
      <c r="L787" s="18" t="s">
        <v>32</v>
      </c>
      <c r="M787" s="14">
        <v>28</v>
      </c>
      <c r="N787" s="18" t="str" cm="1">
        <f t="array" ref="N787">_xlfn.IFS(Cleaned_Working_Sheet!$M787&lt;=34,"Young",Cleaned_Working_Sheet!$M787&lt;=54,"Middle-aged",Cleaned_Working_Sheet!$M787&gt;54,"Old")</f>
        <v>Young</v>
      </c>
      <c r="O787" s="18" t="s">
        <v>15</v>
      </c>
    </row>
    <row r="788" spans="1:15" x14ac:dyDescent="0.25">
      <c r="A788" s="14">
        <v>15468</v>
      </c>
      <c r="B788" s="18" t="s">
        <v>36</v>
      </c>
      <c r="C788" s="18" t="s">
        <v>38</v>
      </c>
      <c r="D788" s="6">
        <v>50000</v>
      </c>
      <c r="E788" s="18" t="str" cm="1">
        <f t="array" ref="E788">_xlfn.IFS(Cleaned_Working_Sheet!$D788&lt;=50000,"Low Income",Cleaned_Working_Sheet!$D788&lt;100000,"Middle Income",TRUE,"High Income")</f>
        <v>Low Income</v>
      </c>
      <c r="F788" s="16">
        <v>1</v>
      </c>
      <c r="G788" s="18" t="s">
        <v>13</v>
      </c>
      <c r="H788" s="18" t="s">
        <v>14</v>
      </c>
      <c r="I788" s="18" t="s">
        <v>15</v>
      </c>
      <c r="J788" s="16">
        <v>1</v>
      </c>
      <c r="K788" s="18" t="s">
        <v>16</v>
      </c>
      <c r="L788" s="18" t="s">
        <v>32</v>
      </c>
      <c r="M788" s="14">
        <v>35</v>
      </c>
      <c r="N788" s="18" t="str" cm="1">
        <f t="array" ref="N788">_xlfn.IFS(Cleaned_Working_Sheet!$M788&lt;=34,"Young",Cleaned_Working_Sheet!$M788&lt;=54,"Middle-aged",Cleaned_Working_Sheet!$M788&gt;54,"Old")</f>
        <v>Middle-aged</v>
      </c>
      <c r="O788" s="18" t="s">
        <v>18</v>
      </c>
    </row>
    <row r="789" spans="1:15" x14ac:dyDescent="0.25">
      <c r="A789" s="14">
        <v>28031</v>
      </c>
      <c r="B789" s="18" t="s">
        <v>37</v>
      </c>
      <c r="C789" s="18" t="s">
        <v>38</v>
      </c>
      <c r="D789" s="6">
        <v>70000</v>
      </c>
      <c r="E789" s="18" t="str" cm="1">
        <f t="array" ref="E789">_xlfn.IFS(Cleaned_Working_Sheet!$D789&lt;=50000,"Low Income",Cleaned_Working_Sheet!$D789&lt;100000,"Middle Income",TRUE,"High Income")</f>
        <v>Middle Income</v>
      </c>
      <c r="F789" s="16">
        <v>2</v>
      </c>
      <c r="G789" s="18" t="s">
        <v>13</v>
      </c>
      <c r="H789" s="18" t="s">
        <v>28</v>
      </c>
      <c r="I789" s="18" t="s">
        <v>18</v>
      </c>
      <c r="J789" s="16">
        <v>1</v>
      </c>
      <c r="K789" s="18" t="s">
        <v>22</v>
      </c>
      <c r="L789" s="18" t="s">
        <v>32</v>
      </c>
      <c r="M789" s="14">
        <v>59</v>
      </c>
      <c r="N789" s="18" t="str" cm="1">
        <f t="array" ref="N789">_xlfn.IFS(Cleaned_Working_Sheet!$M789&lt;=34,"Young",Cleaned_Working_Sheet!$M789&lt;=54,"Middle-aged",Cleaned_Working_Sheet!$M789&gt;54,"Old")</f>
        <v>Old</v>
      </c>
      <c r="O789" s="18" t="s">
        <v>15</v>
      </c>
    </row>
    <row r="790" spans="1:15" x14ac:dyDescent="0.25">
      <c r="A790" s="14">
        <v>26270</v>
      </c>
      <c r="B790" s="18" t="s">
        <v>37</v>
      </c>
      <c r="C790" s="18" t="s">
        <v>38</v>
      </c>
      <c r="D790" s="6">
        <v>20000</v>
      </c>
      <c r="E790" s="18" t="str" cm="1">
        <f t="array" ref="E790">_xlfn.IFS(Cleaned_Working_Sheet!$D790&lt;=50000,"Low Income",Cleaned_Working_Sheet!$D790&lt;100000,"Middle Income",TRUE,"High Income")</f>
        <v>Low Income</v>
      </c>
      <c r="F790" s="16">
        <v>2</v>
      </c>
      <c r="G790" s="18" t="s">
        <v>29</v>
      </c>
      <c r="H790" s="18" t="s">
        <v>20</v>
      </c>
      <c r="I790" s="18" t="s">
        <v>15</v>
      </c>
      <c r="J790" s="16">
        <v>2</v>
      </c>
      <c r="K790" s="18" t="s">
        <v>26</v>
      </c>
      <c r="L790" s="18" t="s">
        <v>32</v>
      </c>
      <c r="M790" s="14">
        <v>49</v>
      </c>
      <c r="N790" s="18" t="str" cm="1">
        <f t="array" ref="N790">_xlfn.IFS(Cleaned_Working_Sheet!$M790&lt;=34,"Young",Cleaned_Working_Sheet!$M790&lt;=54,"Middle-aged",Cleaned_Working_Sheet!$M790&gt;54,"Old")</f>
        <v>Middle-aged</v>
      </c>
      <c r="O790" s="18" t="s">
        <v>18</v>
      </c>
    </row>
    <row r="791" spans="1:15" x14ac:dyDescent="0.25">
      <c r="A791" s="14">
        <v>22221</v>
      </c>
      <c r="B791" s="18" t="s">
        <v>36</v>
      </c>
      <c r="C791" s="18" t="s">
        <v>39</v>
      </c>
      <c r="D791" s="6">
        <v>60000</v>
      </c>
      <c r="E791" s="18" t="str" cm="1">
        <f t="array" ref="E791">_xlfn.IFS(Cleaned_Working_Sheet!$D791&lt;=50000,"Low Income",Cleaned_Working_Sheet!$D791&lt;100000,"Middle Income",TRUE,"High Income")</f>
        <v>Middle Income</v>
      </c>
      <c r="F791" s="16">
        <v>2</v>
      </c>
      <c r="G791" s="18" t="s">
        <v>27</v>
      </c>
      <c r="H791" s="18" t="s">
        <v>21</v>
      </c>
      <c r="I791" s="18" t="s">
        <v>18</v>
      </c>
      <c r="J791" s="16">
        <v>2</v>
      </c>
      <c r="K791" s="18" t="s">
        <v>26</v>
      </c>
      <c r="L791" s="18" t="s">
        <v>32</v>
      </c>
      <c r="M791" s="14">
        <v>48</v>
      </c>
      <c r="N791" s="18" t="str" cm="1">
        <f t="array" ref="N791">_xlfn.IFS(Cleaned_Working_Sheet!$M791&lt;=34,"Young",Cleaned_Working_Sheet!$M791&lt;=54,"Middle-aged",Cleaned_Working_Sheet!$M791&gt;54,"Old")</f>
        <v>Middle-aged</v>
      </c>
      <c r="O791" s="18" t="s">
        <v>15</v>
      </c>
    </row>
    <row r="792" spans="1:15" x14ac:dyDescent="0.25">
      <c r="A792" s="14">
        <v>28228</v>
      </c>
      <c r="B792" s="18" t="s">
        <v>37</v>
      </c>
      <c r="C792" s="18" t="s">
        <v>38</v>
      </c>
      <c r="D792" s="6">
        <v>80000</v>
      </c>
      <c r="E792" s="18" t="str" cm="1">
        <f t="array" ref="E792">_xlfn.IFS(Cleaned_Working_Sheet!$D792&lt;=50000,"Low Income",Cleaned_Working_Sheet!$D792&lt;100000,"Middle Income",TRUE,"High Income")</f>
        <v>Middle Income</v>
      </c>
      <c r="F792" s="16">
        <v>2</v>
      </c>
      <c r="G792" s="18" t="s">
        <v>29</v>
      </c>
      <c r="H792" s="18" t="s">
        <v>14</v>
      </c>
      <c r="I792" s="18" t="s">
        <v>18</v>
      </c>
      <c r="J792" s="16">
        <v>2</v>
      </c>
      <c r="K792" s="18" t="s">
        <v>26</v>
      </c>
      <c r="L792" s="18" t="s">
        <v>32</v>
      </c>
      <c r="M792" s="14">
        <v>50</v>
      </c>
      <c r="N792" s="18" t="str" cm="1">
        <f t="array" ref="N792">_xlfn.IFS(Cleaned_Working_Sheet!$M792&lt;=34,"Young",Cleaned_Working_Sheet!$M792&lt;=54,"Middle-aged",Cleaned_Working_Sheet!$M792&gt;54,"Old")</f>
        <v>Middle-aged</v>
      </c>
      <c r="O792" s="18" t="s">
        <v>18</v>
      </c>
    </row>
    <row r="793" spans="1:15" x14ac:dyDescent="0.25">
      <c r="A793" s="14">
        <v>18363</v>
      </c>
      <c r="B793" s="18" t="s">
        <v>36</v>
      </c>
      <c r="C793" s="18" t="s">
        <v>39</v>
      </c>
      <c r="D793" s="6">
        <v>40000</v>
      </c>
      <c r="E793" s="18" t="str" cm="1">
        <f t="array" ref="E793">_xlfn.IFS(Cleaned_Working_Sheet!$D793&lt;=50000,"Low Income",Cleaned_Working_Sheet!$D793&lt;100000,"Middle Income",TRUE,"High Income")</f>
        <v>Low Income</v>
      </c>
      <c r="F793" s="16">
        <v>0</v>
      </c>
      <c r="G793" s="18" t="s">
        <v>27</v>
      </c>
      <c r="H793" s="18" t="s">
        <v>14</v>
      </c>
      <c r="I793" s="18" t="s">
        <v>15</v>
      </c>
      <c r="J793" s="16">
        <v>2</v>
      </c>
      <c r="K793" s="18" t="s">
        <v>23</v>
      </c>
      <c r="L793" s="18" t="s">
        <v>32</v>
      </c>
      <c r="M793" s="14">
        <v>28</v>
      </c>
      <c r="N793" s="18" t="str" cm="1">
        <f t="array" ref="N793">_xlfn.IFS(Cleaned_Working_Sheet!$M793&lt;=34,"Young",Cleaned_Working_Sheet!$M793&lt;=54,"Middle-aged",Cleaned_Working_Sheet!$M793&gt;54,"Old")</f>
        <v>Young</v>
      </c>
      <c r="O793" s="18" t="s">
        <v>15</v>
      </c>
    </row>
    <row r="794" spans="1:15" x14ac:dyDescent="0.25">
      <c r="A794" s="14">
        <v>23256</v>
      </c>
      <c r="B794" s="18" t="s">
        <v>37</v>
      </c>
      <c r="C794" s="18" t="s">
        <v>39</v>
      </c>
      <c r="D794" s="6">
        <v>30000</v>
      </c>
      <c r="E794" s="18" t="str" cm="1">
        <f t="array" ref="E794">_xlfn.IFS(Cleaned_Working_Sheet!$D794&lt;=50000,"Low Income",Cleaned_Working_Sheet!$D794&lt;100000,"Middle Income",TRUE,"High Income")</f>
        <v>Low Income</v>
      </c>
      <c r="F794" s="16">
        <v>1</v>
      </c>
      <c r="G794" s="18" t="s">
        <v>27</v>
      </c>
      <c r="H794" s="18" t="s">
        <v>20</v>
      </c>
      <c r="I794" s="18" t="s">
        <v>18</v>
      </c>
      <c r="J794" s="16">
        <v>1</v>
      </c>
      <c r="K794" s="18" t="s">
        <v>23</v>
      </c>
      <c r="L794" s="18" t="s">
        <v>32</v>
      </c>
      <c r="M794" s="14">
        <v>52</v>
      </c>
      <c r="N794" s="18" t="str" cm="1">
        <f t="array" ref="N794">_xlfn.IFS(Cleaned_Working_Sheet!$M794&lt;=34,"Young",Cleaned_Working_Sheet!$M794&lt;=54,"Middle-aged",Cleaned_Working_Sheet!$M794&gt;54,"Old")</f>
        <v>Middle-aged</v>
      </c>
      <c r="O794" s="18" t="s">
        <v>18</v>
      </c>
    </row>
    <row r="795" spans="1:15" x14ac:dyDescent="0.25">
      <c r="A795" s="14">
        <v>12768</v>
      </c>
      <c r="B795" s="18" t="s">
        <v>36</v>
      </c>
      <c r="C795" s="18" t="s">
        <v>39</v>
      </c>
      <c r="D795" s="6">
        <v>30000</v>
      </c>
      <c r="E795" s="18" t="str" cm="1">
        <f t="array" ref="E795">_xlfn.IFS(Cleaned_Working_Sheet!$D795&lt;=50000,"Low Income",Cleaned_Working_Sheet!$D795&lt;100000,"Middle Income",TRUE,"High Income")</f>
        <v>Low Income</v>
      </c>
      <c r="F795" s="16">
        <v>1</v>
      </c>
      <c r="G795" s="18" t="s">
        <v>27</v>
      </c>
      <c r="H795" s="18" t="s">
        <v>20</v>
      </c>
      <c r="I795" s="18" t="s">
        <v>15</v>
      </c>
      <c r="J795" s="16">
        <v>1</v>
      </c>
      <c r="K795" s="18" t="s">
        <v>22</v>
      </c>
      <c r="L795" s="18" t="s">
        <v>32</v>
      </c>
      <c r="M795" s="14">
        <v>52</v>
      </c>
      <c r="N795" s="18" t="str" cm="1">
        <f t="array" ref="N795">_xlfn.IFS(Cleaned_Working_Sheet!$M795&lt;=34,"Young",Cleaned_Working_Sheet!$M795&lt;=54,"Middle-aged",Cleaned_Working_Sheet!$M795&gt;54,"Old")</f>
        <v>Middle-aged</v>
      </c>
      <c r="O795" s="18" t="s">
        <v>15</v>
      </c>
    </row>
    <row r="796" spans="1:15" x14ac:dyDescent="0.25">
      <c r="A796" s="14">
        <v>20361</v>
      </c>
      <c r="B796" s="18" t="s">
        <v>36</v>
      </c>
      <c r="C796" s="18" t="s">
        <v>39</v>
      </c>
      <c r="D796" s="6">
        <v>50000</v>
      </c>
      <c r="E796" s="18" t="str" cm="1">
        <f t="array" ref="E796">_xlfn.IFS(Cleaned_Working_Sheet!$D796&lt;=50000,"Low Income",Cleaned_Working_Sheet!$D796&lt;100000,"Middle Income",TRUE,"High Income")</f>
        <v>Low Income</v>
      </c>
      <c r="F796" s="16">
        <v>2</v>
      </c>
      <c r="G796" s="18" t="s">
        <v>31</v>
      </c>
      <c r="H796" s="18" t="s">
        <v>28</v>
      </c>
      <c r="I796" s="18" t="s">
        <v>15</v>
      </c>
      <c r="J796" s="16">
        <v>2</v>
      </c>
      <c r="K796" s="18" t="s">
        <v>23</v>
      </c>
      <c r="L796" s="18" t="s">
        <v>32</v>
      </c>
      <c r="M796" s="14">
        <v>69</v>
      </c>
      <c r="N796" s="18" t="str" cm="1">
        <f t="array" ref="N796">_xlfn.IFS(Cleaned_Working_Sheet!$M796&lt;=34,"Young",Cleaned_Working_Sheet!$M796&lt;=54,"Middle-aged",Cleaned_Working_Sheet!$M796&gt;54,"Old")</f>
        <v>Old</v>
      </c>
      <c r="O796" s="18" t="s">
        <v>18</v>
      </c>
    </row>
    <row r="797" spans="1:15" x14ac:dyDescent="0.25">
      <c r="A797" s="14">
        <v>21306</v>
      </c>
      <c r="B797" s="18" t="s">
        <v>37</v>
      </c>
      <c r="C797" s="18" t="s">
        <v>39</v>
      </c>
      <c r="D797" s="6">
        <v>60000</v>
      </c>
      <c r="E797" s="18" t="str" cm="1">
        <f t="array" ref="E797">_xlfn.IFS(Cleaned_Working_Sheet!$D797&lt;=50000,"Low Income",Cleaned_Working_Sheet!$D797&lt;100000,"Middle Income",TRUE,"High Income")</f>
        <v>Middle Income</v>
      </c>
      <c r="F797" s="16">
        <v>2</v>
      </c>
      <c r="G797" s="18" t="s">
        <v>27</v>
      </c>
      <c r="H797" s="18" t="s">
        <v>21</v>
      </c>
      <c r="I797" s="18" t="s">
        <v>15</v>
      </c>
      <c r="J797" s="16">
        <v>2</v>
      </c>
      <c r="K797" s="18" t="s">
        <v>23</v>
      </c>
      <c r="L797" s="18" t="s">
        <v>32</v>
      </c>
      <c r="M797" s="14">
        <v>51</v>
      </c>
      <c r="N797" s="18" t="str" cm="1">
        <f t="array" ref="N797">_xlfn.IFS(Cleaned_Working_Sheet!$M797&lt;=34,"Young",Cleaned_Working_Sheet!$M797&lt;=54,"Middle-aged",Cleaned_Working_Sheet!$M797&gt;54,"Old")</f>
        <v>Middle-aged</v>
      </c>
      <c r="O797" s="18" t="s">
        <v>18</v>
      </c>
    </row>
    <row r="798" spans="1:15" x14ac:dyDescent="0.25">
      <c r="A798" s="14">
        <v>13382</v>
      </c>
      <c r="B798" s="18" t="s">
        <v>36</v>
      </c>
      <c r="C798" s="18" t="s">
        <v>39</v>
      </c>
      <c r="D798" s="6">
        <v>70000</v>
      </c>
      <c r="E798" s="18" t="str" cm="1">
        <f t="array" ref="E798">_xlfn.IFS(Cleaned_Working_Sheet!$D798&lt;=50000,"Low Income",Cleaned_Working_Sheet!$D798&lt;100000,"Middle Income",TRUE,"High Income")</f>
        <v>Middle Income</v>
      </c>
      <c r="F798" s="16">
        <v>5</v>
      </c>
      <c r="G798" s="18" t="s">
        <v>19</v>
      </c>
      <c r="H798" s="18" t="s">
        <v>21</v>
      </c>
      <c r="I798" s="18" t="s">
        <v>15</v>
      </c>
      <c r="J798" s="16">
        <v>2</v>
      </c>
      <c r="K798" s="18" t="s">
        <v>26</v>
      </c>
      <c r="L798" s="18" t="s">
        <v>32</v>
      </c>
      <c r="M798" s="14">
        <v>57</v>
      </c>
      <c r="N798" s="18" t="str" cm="1">
        <f t="array" ref="N798">_xlfn.IFS(Cleaned_Working_Sheet!$M798&lt;=34,"Young",Cleaned_Working_Sheet!$M798&lt;=54,"Middle-aged",Cleaned_Working_Sheet!$M798&gt;54,"Old")</f>
        <v>Old</v>
      </c>
      <c r="O798" s="18" t="s">
        <v>15</v>
      </c>
    </row>
    <row r="799" spans="1:15" x14ac:dyDescent="0.25">
      <c r="A799" s="14">
        <v>20310</v>
      </c>
      <c r="B799" s="18" t="s">
        <v>37</v>
      </c>
      <c r="C799" s="18" t="s">
        <v>39</v>
      </c>
      <c r="D799" s="6">
        <v>60000</v>
      </c>
      <c r="E799" s="18" t="str" cm="1">
        <f t="array" ref="E799">_xlfn.IFS(Cleaned_Working_Sheet!$D799&lt;=50000,"Low Income",Cleaned_Working_Sheet!$D799&lt;100000,"Middle Income",TRUE,"High Income")</f>
        <v>Middle Income</v>
      </c>
      <c r="F799" s="16">
        <v>0</v>
      </c>
      <c r="G799" s="18" t="s">
        <v>19</v>
      </c>
      <c r="H799" s="18" t="s">
        <v>14</v>
      </c>
      <c r="I799" s="18" t="s">
        <v>15</v>
      </c>
      <c r="J799" s="16">
        <v>1</v>
      </c>
      <c r="K799" s="18" t="s">
        <v>23</v>
      </c>
      <c r="L799" s="18" t="s">
        <v>32</v>
      </c>
      <c r="M799" s="14">
        <v>27</v>
      </c>
      <c r="N799" s="18" t="str" cm="1">
        <f t="array" ref="N799">_xlfn.IFS(Cleaned_Working_Sheet!$M799&lt;=34,"Young",Cleaned_Working_Sheet!$M799&lt;=54,"Middle-aged",Cleaned_Working_Sheet!$M799&gt;54,"Old")</f>
        <v>Young</v>
      </c>
      <c r="O799" s="18" t="s">
        <v>15</v>
      </c>
    </row>
    <row r="800" spans="1:15" x14ac:dyDescent="0.25">
      <c r="A800" s="14">
        <v>22971</v>
      </c>
      <c r="B800" s="18" t="s">
        <v>37</v>
      </c>
      <c r="C800" s="18" t="s">
        <v>38</v>
      </c>
      <c r="D800" s="6">
        <v>30000</v>
      </c>
      <c r="E800" s="18" t="str" cm="1">
        <f t="array" ref="E800">_xlfn.IFS(Cleaned_Working_Sheet!$D800&lt;=50000,"Low Income",Cleaned_Working_Sheet!$D800&lt;100000,"Middle Income",TRUE,"High Income")</f>
        <v>Low Income</v>
      </c>
      <c r="F800" s="16">
        <v>0</v>
      </c>
      <c r="G800" s="18" t="s">
        <v>27</v>
      </c>
      <c r="H800" s="18" t="s">
        <v>14</v>
      </c>
      <c r="I800" s="18" t="s">
        <v>18</v>
      </c>
      <c r="J800" s="16">
        <v>2</v>
      </c>
      <c r="K800" s="18" t="s">
        <v>16</v>
      </c>
      <c r="L800" s="18" t="s">
        <v>32</v>
      </c>
      <c r="M800" s="14">
        <v>25</v>
      </c>
      <c r="N800" s="18" t="str" cm="1">
        <f t="array" ref="N800">_xlfn.IFS(Cleaned_Working_Sheet!$M800&lt;=34,"Young",Cleaned_Working_Sheet!$M800&lt;=54,"Middle-aged",Cleaned_Working_Sheet!$M800&gt;54,"Old")</f>
        <v>Young</v>
      </c>
      <c r="O800" s="18" t="s">
        <v>15</v>
      </c>
    </row>
    <row r="801" spans="1:15" x14ac:dyDescent="0.25">
      <c r="A801" s="14">
        <v>15287</v>
      </c>
      <c r="B801" s="18" t="s">
        <v>37</v>
      </c>
      <c r="C801" s="18" t="s">
        <v>38</v>
      </c>
      <c r="D801" s="6">
        <v>50000</v>
      </c>
      <c r="E801" s="18" t="str" cm="1">
        <f t="array" ref="E801">_xlfn.IFS(Cleaned_Working_Sheet!$D801&lt;=50000,"Low Income",Cleaned_Working_Sheet!$D801&lt;100000,"Middle Income",TRUE,"High Income")</f>
        <v>Low Income</v>
      </c>
      <c r="F801" s="16">
        <v>1</v>
      </c>
      <c r="G801" s="18" t="s">
        <v>31</v>
      </c>
      <c r="H801" s="18" t="s">
        <v>14</v>
      </c>
      <c r="I801" s="18" t="s">
        <v>15</v>
      </c>
      <c r="J801" s="16">
        <v>0</v>
      </c>
      <c r="K801" s="18" t="s">
        <v>26</v>
      </c>
      <c r="L801" s="18" t="s">
        <v>32</v>
      </c>
      <c r="M801" s="14">
        <v>33</v>
      </c>
      <c r="N801" s="18" t="str" cm="1">
        <f t="array" ref="N801">_xlfn.IFS(Cleaned_Working_Sheet!$M801&lt;=34,"Young",Cleaned_Working_Sheet!$M801&lt;=54,"Middle-aged",Cleaned_Working_Sheet!$M801&gt;54,"Old")</f>
        <v>Young</v>
      </c>
      <c r="O801" s="18" t="s">
        <v>15</v>
      </c>
    </row>
    <row r="802" spans="1:15" x14ac:dyDescent="0.25">
      <c r="A802" s="14">
        <v>15532</v>
      </c>
      <c r="B802" s="18" t="s">
        <v>37</v>
      </c>
      <c r="C802" s="18" t="s">
        <v>39</v>
      </c>
      <c r="D802" s="6">
        <v>60000</v>
      </c>
      <c r="E802" s="18" t="str" cm="1">
        <f t="array" ref="E802">_xlfn.IFS(Cleaned_Working_Sheet!$D802&lt;=50000,"Low Income",Cleaned_Working_Sheet!$D802&lt;100000,"Middle Income",TRUE,"High Income")</f>
        <v>Middle Income</v>
      </c>
      <c r="F802" s="16">
        <v>4</v>
      </c>
      <c r="G802" s="18" t="s">
        <v>13</v>
      </c>
      <c r="H802" s="18" t="s">
        <v>21</v>
      </c>
      <c r="I802" s="18" t="s">
        <v>15</v>
      </c>
      <c r="J802" s="16">
        <v>2</v>
      </c>
      <c r="K802" s="18" t="s">
        <v>22</v>
      </c>
      <c r="L802" s="18" t="s">
        <v>32</v>
      </c>
      <c r="M802" s="14">
        <v>43</v>
      </c>
      <c r="N802" s="18" t="str" cm="1">
        <f t="array" ref="N802">_xlfn.IFS(Cleaned_Working_Sheet!$M802&lt;=34,"Young",Cleaned_Working_Sheet!$M802&lt;=54,"Middle-aged",Cleaned_Working_Sheet!$M802&gt;54,"Old")</f>
        <v>Middle-aged</v>
      </c>
      <c r="O802" s="18" t="s">
        <v>15</v>
      </c>
    </row>
    <row r="803" spans="1:15" x14ac:dyDescent="0.25">
      <c r="A803" s="14">
        <v>11255</v>
      </c>
      <c r="B803" s="18" t="s">
        <v>36</v>
      </c>
      <c r="C803" s="18" t="s">
        <v>39</v>
      </c>
      <c r="D803" s="6">
        <v>70000</v>
      </c>
      <c r="E803" s="18" t="str" cm="1">
        <f t="array" ref="E803">_xlfn.IFS(Cleaned_Working_Sheet!$D803&lt;=50000,"Low Income",Cleaned_Working_Sheet!$D803&lt;100000,"Middle Income",TRUE,"High Income")</f>
        <v>Middle Income</v>
      </c>
      <c r="F803" s="16">
        <v>4</v>
      </c>
      <c r="G803" s="18" t="s">
        <v>31</v>
      </c>
      <c r="H803" s="18" t="s">
        <v>28</v>
      </c>
      <c r="I803" s="18" t="s">
        <v>15</v>
      </c>
      <c r="J803" s="16">
        <v>2</v>
      </c>
      <c r="K803" s="18" t="s">
        <v>23</v>
      </c>
      <c r="L803" s="18" t="s">
        <v>32</v>
      </c>
      <c r="M803" s="14">
        <v>73</v>
      </c>
      <c r="N803" s="18" t="str" cm="1">
        <f t="array" ref="N803">_xlfn.IFS(Cleaned_Working_Sheet!$M803&lt;=34,"Young",Cleaned_Working_Sheet!$M803&lt;=54,"Middle-aged",Cleaned_Working_Sheet!$M803&gt;54,"Old")</f>
        <v>Old</v>
      </c>
      <c r="O803" s="18" t="s">
        <v>18</v>
      </c>
    </row>
    <row r="804" spans="1:15" x14ac:dyDescent="0.25">
      <c r="A804" s="14">
        <v>28090</v>
      </c>
      <c r="B804" s="18" t="s">
        <v>36</v>
      </c>
      <c r="C804" s="18" t="s">
        <v>39</v>
      </c>
      <c r="D804" s="6">
        <v>40000</v>
      </c>
      <c r="E804" s="18" t="str" cm="1">
        <f t="array" ref="E804">_xlfn.IFS(Cleaned_Working_Sheet!$D804&lt;=50000,"Low Income",Cleaned_Working_Sheet!$D804&lt;100000,"Middle Income",TRUE,"High Income")</f>
        <v>Low Income</v>
      </c>
      <c r="F804" s="16">
        <v>0</v>
      </c>
      <c r="G804" s="18" t="s">
        <v>19</v>
      </c>
      <c r="H804" s="18" t="s">
        <v>14</v>
      </c>
      <c r="I804" s="18" t="s">
        <v>15</v>
      </c>
      <c r="J804" s="16">
        <v>1</v>
      </c>
      <c r="K804" s="18" t="s">
        <v>23</v>
      </c>
      <c r="L804" s="18" t="s">
        <v>32</v>
      </c>
      <c r="M804" s="14">
        <v>27</v>
      </c>
      <c r="N804" s="18" t="str" cm="1">
        <f t="array" ref="N804">_xlfn.IFS(Cleaned_Working_Sheet!$M804&lt;=34,"Young",Cleaned_Working_Sheet!$M804&lt;=54,"Middle-aged",Cleaned_Working_Sheet!$M804&gt;54,"Old")</f>
        <v>Young</v>
      </c>
      <c r="O804" s="18" t="s">
        <v>18</v>
      </c>
    </row>
    <row r="805" spans="1:15" x14ac:dyDescent="0.25">
      <c r="A805" s="14">
        <v>15255</v>
      </c>
      <c r="B805" s="18" t="s">
        <v>36</v>
      </c>
      <c r="C805" s="18" t="s">
        <v>39</v>
      </c>
      <c r="D805" s="6">
        <v>40000</v>
      </c>
      <c r="E805" s="18" t="str" cm="1">
        <f t="array" ref="E805">_xlfn.IFS(Cleaned_Working_Sheet!$D805&lt;=50000,"Low Income",Cleaned_Working_Sheet!$D805&lt;100000,"Middle Income",TRUE,"High Income")</f>
        <v>Low Income</v>
      </c>
      <c r="F805" s="16">
        <v>0</v>
      </c>
      <c r="G805" s="18" t="s">
        <v>27</v>
      </c>
      <c r="H805" s="18" t="s">
        <v>14</v>
      </c>
      <c r="I805" s="18" t="s">
        <v>15</v>
      </c>
      <c r="J805" s="16">
        <v>2</v>
      </c>
      <c r="K805" s="18" t="s">
        <v>23</v>
      </c>
      <c r="L805" s="18" t="s">
        <v>32</v>
      </c>
      <c r="M805" s="14">
        <v>28</v>
      </c>
      <c r="N805" s="18" t="str" cm="1">
        <f t="array" ref="N805">_xlfn.IFS(Cleaned_Working_Sheet!$M805&lt;=34,"Young",Cleaned_Working_Sheet!$M805&lt;=54,"Middle-aged",Cleaned_Working_Sheet!$M805&gt;54,"Old")</f>
        <v>Young</v>
      </c>
      <c r="O805" s="18" t="s">
        <v>15</v>
      </c>
    </row>
    <row r="806" spans="1:15" x14ac:dyDescent="0.25">
      <c r="A806" s="14">
        <v>13154</v>
      </c>
      <c r="B806" s="18" t="s">
        <v>36</v>
      </c>
      <c r="C806" s="18" t="s">
        <v>39</v>
      </c>
      <c r="D806" s="6">
        <v>40000</v>
      </c>
      <c r="E806" s="18" t="str" cm="1">
        <f t="array" ref="E806">_xlfn.IFS(Cleaned_Working_Sheet!$D806&lt;=50000,"Low Income",Cleaned_Working_Sheet!$D806&lt;100000,"Middle Income",TRUE,"High Income")</f>
        <v>Low Income</v>
      </c>
      <c r="F806" s="16">
        <v>0</v>
      </c>
      <c r="G806" s="18" t="s">
        <v>27</v>
      </c>
      <c r="H806" s="18" t="s">
        <v>14</v>
      </c>
      <c r="I806" s="18" t="s">
        <v>18</v>
      </c>
      <c r="J806" s="16">
        <v>2</v>
      </c>
      <c r="K806" s="18" t="s">
        <v>16</v>
      </c>
      <c r="L806" s="18" t="s">
        <v>32</v>
      </c>
      <c r="M806" s="14">
        <v>27</v>
      </c>
      <c r="N806" s="18" t="str" cm="1">
        <f t="array" ref="N806">_xlfn.IFS(Cleaned_Working_Sheet!$M806&lt;=34,"Young",Cleaned_Working_Sheet!$M806&lt;=54,"Middle-aged",Cleaned_Working_Sheet!$M806&gt;54,"Old")</f>
        <v>Young</v>
      </c>
      <c r="O806" s="18" t="s">
        <v>15</v>
      </c>
    </row>
    <row r="807" spans="1:15" x14ac:dyDescent="0.25">
      <c r="A807" s="14">
        <v>26778</v>
      </c>
      <c r="B807" s="18" t="s">
        <v>37</v>
      </c>
      <c r="C807" s="18" t="s">
        <v>38</v>
      </c>
      <c r="D807" s="6">
        <v>40000</v>
      </c>
      <c r="E807" s="18" t="str" cm="1">
        <f t="array" ref="E807">_xlfn.IFS(Cleaned_Working_Sheet!$D807&lt;=50000,"Low Income",Cleaned_Working_Sheet!$D807&lt;100000,"Middle Income",TRUE,"High Income")</f>
        <v>Low Income</v>
      </c>
      <c r="F807" s="16">
        <v>0</v>
      </c>
      <c r="G807" s="18" t="s">
        <v>27</v>
      </c>
      <c r="H807" s="18" t="s">
        <v>14</v>
      </c>
      <c r="I807" s="18" t="s">
        <v>15</v>
      </c>
      <c r="J807" s="16">
        <v>2</v>
      </c>
      <c r="K807" s="18" t="s">
        <v>23</v>
      </c>
      <c r="L807" s="18" t="s">
        <v>32</v>
      </c>
      <c r="M807" s="14">
        <v>31</v>
      </c>
      <c r="N807" s="18" t="str" cm="1">
        <f t="array" ref="N807">_xlfn.IFS(Cleaned_Working_Sheet!$M807&lt;=34,"Young",Cleaned_Working_Sheet!$M807&lt;=54,"Middle-aged",Cleaned_Working_Sheet!$M807&gt;54,"Old")</f>
        <v>Young</v>
      </c>
      <c r="O807" s="18" t="s">
        <v>18</v>
      </c>
    </row>
    <row r="808" spans="1:15" x14ac:dyDescent="0.25">
      <c r="A808" s="14">
        <v>23248</v>
      </c>
      <c r="B808" s="18" t="s">
        <v>36</v>
      </c>
      <c r="C808" s="18" t="s">
        <v>38</v>
      </c>
      <c r="D808" s="6">
        <v>10000</v>
      </c>
      <c r="E808" s="18" t="str" cm="1">
        <f t="array" ref="E808">_xlfn.IFS(Cleaned_Working_Sheet!$D808&lt;=50000,"Low Income",Cleaned_Working_Sheet!$D808&lt;100000,"Middle Income",TRUE,"High Income")</f>
        <v>Low Income</v>
      </c>
      <c r="F808" s="16">
        <v>2</v>
      </c>
      <c r="G808" s="18" t="s">
        <v>27</v>
      </c>
      <c r="H808" s="18" t="s">
        <v>25</v>
      </c>
      <c r="I808" s="18" t="s">
        <v>15</v>
      </c>
      <c r="J808" s="16">
        <v>2</v>
      </c>
      <c r="K808" s="18" t="s">
        <v>26</v>
      </c>
      <c r="L808" s="18" t="s">
        <v>32</v>
      </c>
      <c r="M808" s="14">
        <v>53</v>
      </c>
      <c r="N808" s="18" t="str" cm="1">
        <f t="array" ref="N808">_xlfn.IFS(Cleaned_Working_Sheet!$M808&lt;=34,"Young",Cleaned_Working_Sheet!$M808&lt;=54,"Middle-aged",Cleaned_Working_Sheet!$M808&gt;54,"Old")</f>
        <v>Middle-aged</v>
      </c>
      <c r="O808" s="18" t="s">
        <v>18</v>
      </c>
    </row>
    <row r="809" spans="1:15" x14ac:dyDescent="0.25">
      <c r="A809" s="14">
        <v>21417</v>
      </c>
      <c r="B809" s="18" t="s">
        <v>37</v>
      </c>
      <c r="C809" s="18" t="s">
        <v>38</v>
      </c>
      <c r="D809" s="6">
        <v>60000</v>
      </c>
      <c r="E809" s="18" t="str" cm="1">
        <f t="array" ref="E809">_xlfn.IFS(Cleaned_Working_Sheet!$D809&lt;=50000,"Low Income",Cleaned_Working_Sheet!$D809&lt;100000,"Middle Income",TRUE,"High Income")</f>
        <v>Middle Income</v>
      </c>
      <c r="F809" s="16">
        <v>0</v>
      </c>
      <c r="G809" s="18" t="s">
        <v>19</v>
      </c>
      <c r="H809" s="18" t="s">
        <v>21</v>
      </c>
      <c r="I809" s="18" t="s">
        <v>18</v>
      </c>
      <c r="J809" s="16">
        <v>2</v>
      </c>
      <c r="K809" s="18" t="s">
        <v>26</v>
      </c>
      <c r="L809" s="18" t="s">
        <v>32</v>
      </c>
      <c r="M809" s="14">
        <v>32</v>
      </c>
      <c r="N809" s="18" t="str" cm="1">
        <f t="array" ref="N809">_xlfn.IFS(Cleaned_Working_Sheet!$M809&lt;=34,"Young",Cleaned_Working_Sheet!$M809&lt;=54,"Middle-aged",Cleaned_Working_Sheet!$M809&gt;54,"Old")</f>
        <v>Young</v>
      </c>
      <c r="O809" s="18" t="s">
        <v>15</v>
      </c>
    </row>
    <row r="810" spans="1:15" x14ac:dyDescent="0.25">
      <c r="A810" s="14">
        <v>17668</v>
      </c>
      <c r="B810" s="18" t="s">
        <v>37</v>
      </c>
      <c r="C810" s="18" t="s">
        <v>39</v>
      </c>
      <c r="D810" s="6">
        <v>30000</v>
      </c>
      <c r="E810" s="18" t="str" cm="1">
        <f t="array" ref="E810">_xlfn.IFS(Cleaned_Working_Sheet!$D810&lt;=50000,"Low Income",Cleaned_Working_Sheet!$D810&lt;100000,"Middle Income",TRUE,"High Income")</f>
        <v>Low Income</v>
      </c>
      <c r="F810" s="16">
        <v>2</v>
      </c>
      <c r="G810" s="18" t="s">
        <v>27</v>
      </c>
      <c r="H810" s="18" t="s">
        <v>14</v>
      </c>
      <c r="I810" s="18" t="s">
        <v>15</v>
      </c>
      <c r="J810" s="16">
        <v>2</v>
      </c>
      <c r="K810" s="18" t="s">
        <v>26</v>
      </c>
      <c r="L810" s="18" t="s">
        <v>32</v>
      </c>
      <c r="M810" s="14">
        <v>50</v>
      </c>
      <c r="N810" s="18" t="str" cm="1">
        <f t="array" ref="N810">_xlfn.IFS(Cleaned_Working_Sheet!$M810&lt;=34,"Young",Cleaned_Working_Sheet!$M810&lt;=54,"Middle-aged",Cleaned_Working_Sheet!$M810&gt;54,"Old")</f>
        <v>Middle-aged</v>
      </c>
      <c r="O810" s="18" t="s">
        <v>15</v>
      </c>
    </row>
    <row r="811" spans="1:15" x14ac:dyDescent="0.25">
      <c r="A811" s="14">
        <v>27994</v>
      </c>
      <c r="B811" s="18" t="s">
        <v>36</v>
      </c>
      <c r="C811" s="18" t="s">
        <v>38</v>
      </c>
      <c r="D811" s="6">
        <v>40000</v>
      </c>
      <c r="E811" s="18" t="str" cm="1">
        <f t="array" ref="E811">_xlfn.IFS(Cleaned_Working_Sheet!$D811&lt;=50000,"Low Income",Cleaned_Working_Sheet!$D811&lt;100000,"Middle Income",TRUE,"High Income")</f>
        <v>Low Income</v>
      </c>
      <c r="F811" s="16">
        <v>4</v>
      </c>
      <c r="G811" s="18" t="s">
        <v>27</v>
      </c>
      <c r="H811" s="18" t="s">
        <v>21</v>
      </c>
      <c r="I811" s="18" t="s">
        <v>15</v>
      </c>
      <c r="J811" s="16">
        <v>2</v>
      </c>
      <c r="K811" s="18" t="s">
        <v>23</v>
      </c>
      <c r="L811" s="18" t="s">
        <v>32</v>
      </c>
      <c r="M811" s="14">
        <v>69</v>
      </c>
      <c r="N811" s="18" t="str" cm="1">
        <f t="array" ref="N811">_xlfn.IFS(Cleaned_Working_Sheet!$M811&lt;=34,"Young",Cleaned_Working_Sheet!$M811&lt;=54,"Middle-aged",Cleaned_Working_Sheet!$M811&gt;54,"Old")</f>
        <v>Old</v>
      </c>
      <c r="O811" s="18" t="s">
        <v>18</v>
      </c>
    </row>
    <row r="812" spans="1:15" x14ac:dyDescent="0.25">
      <c r="A812" s="14">
        <v>20376</v>
      </c>
      <c r="B812" s="18" t="s">
        <v>37</v>
      </c>
      <c r="C812" s="18" t="s">
        <v>38</v>
      </c>
      <c r="D812" s="6">
        <v>70000</v>
      </c>
      <c r="E812" s="18" t="str" cm="1">
        <f t="array" ref="E812">_xlfn.IFS(Cleaned_Working_Sheet!$D812&lt;=50000,"Low Income",Cleaned_Working_Sheet!$D812&lt;100000,"Middle Income",TRUE,"High Income")</f>
        <v>Middle Income</v>
      </c>
      <c r="F812" s="16">
        <v>3</v>
      </c>
      <c r="G812" s="18" t="s">
        <v>31</v>
      </c>
      <c r="H812" s="18" t="s">
        <v>28</v>
      </c>
      <c r="I812" s="18" t="s">
        <v>15</v>
      </c>
      <c r="J812" s="16">
        <v>2</v>
      </c>
      <c r="K812" s="18" t="s">
        <v>23</v>
      </c>
      <c r="L812" s="18" t="s">
        <v>32</v>
      </c>
      <c r="M812" s="14">
        <v>52</v>
      </c>
      <c r="N812" s="18" t="str" cm="1">
        <f t="array" ref="N812">_xlfn.IFS(Cleaned_Working_Sheet!$M812&lt;=34,"Young",Cleaned_Working_Sheet!$M812&lt;=54,"Middle-aged",Cleaned_Working_Sheet!$M812&gt;54,"Old")</f>
        <v>Middle-aged</v>
      </c>
      <c r="O812" s="18" t="s">
        <v>15</v>
      </c>
    </row>
    <row r="813" spans="1:15" x14ac:dyDescent="0.25">
      <c r="A813" s="14">
        <v>25954</v>
      </c>
      <c r="B813" s="18" t="s">
        <v>36</v>
      </c>
      <c r="C813" s="18" t="s">
        <v>39</v>
      </c>
      <c r="D813" s="6">
        <v>60000</v>
      </c>
      <c r="E813" s="18" t="str" cm="1">
        <f t="array" ref="E813">_xlfn.IFS(Cleaned_Working_Sheet!$D813&lt;=50000,"Low Income",Cleaned_Working_Sheet!$D813&lt;100000,"Middle Income",TRUE,"High Income")</f>
        <v>Middle Income</v>
      </c>
      <c r="F813" s="16">
        <v>0</v>
      </c>
      <c r="G813" s="18" t="s">
        <v>19</v>
      </c>
      <c r="H813" s="18" t="s">
        <v>14</v>
      </c>
      <c r="I813" s="18" t="s">
        <v>18</v>
      </c>
      <c r="J813" s="16">
        <v>2</v>
      </c>
      <c r="K813" s="18" t="s">
        <v>26</v>
      </c>
      <c r="L813" s="18" t="s">
        <v>32</v>
      </c>
      <c r="M813" s="14">
        <v>31</v>
      </c>
      <c r="N813" s="18" t="str" cm="1">
        <f t="array" ref="N813">_xlfn.IFS(Cleaned_Working_Sheet!$M813&lt;=34,"Young",Cleaned_Working_Sheet!$M813&lt;=54,"Middle-aged",Cleaned_Working_Sheet!$M813&gt;54,"Old")</f>
        <v>Young</v>
      </c>
      <c r="O813" s="18" t="s">
        <v>18</v>
      </c>
    </row>
    <row r="814" spans="1:15" x14ac:dyDescent="0.25">
      <c r="A814" s="14">
        <v>15749</v>
      </c>
      <c r="B814" s="18" t="s">
        <v>37</v>
      </c>
      <c r="C814" s="18" t="s">
        <v>38</v>
      </c>
      <c r="D814" s="6">
        <v>70000</v>
      </c>
      <c r="E814" s="18" t="str" cm="1">
        <f t="array" ref="E814">_xlfn.IFS(Cleaned_Working_Sheet!$D814&lt;=50000,"Low Income",Cleaned_Working_Sheet!$D814&lt;100000,"Middle Income",TRUE,"High Income")</f>
        <v>Middle Income</v>
      </c>
      <c r="F814" s="16">
        <v>4</v>
      </c>
      <c r="G814" s="18" t="s">
        <v>13</v>
      </c>
      <c r="H814" s="18" t="s">
        <v>28</v>
      </c>
      <c r="I814" s="18" t="s">
        <v>15</v>
      </c>
      <c r="J814" s="16">
        <v>2</v>
      </c>
      <c r="K814" s="18" t="s">
        <v>43</v>
      </c>
      <c r="L814" s="18" t="s">
        <v>32</v>
      </c>
      <c r="M814" s="14">
        <v>61</v>
      </c>
      <c r="N814" s="18" t="str" cm="1">
        <f t="array" ref="N814">_xlfn.IFS(Cleaned_Working_Sheet!$M814&lt;=34,"Young",Cleaned_Working_Sheet!$M814&lt;=54,"Middle-aged",Cleaned_Working_Sheet!$M814&gt;54,"Old")</f>
        <v>Old</v>
      </c>
      <c r="O814" s="18" t="s">
        <v>18</v>
      </c>
    </row>
    <row r="815" spans="1:15" x14ac:dyDescent="0.25">
      <c r="A815" s="14">
        <v>25899</v>
      </c>
      <c r="B815" s="18" t="s">
        <v>36</v>
      </c>
      <c r="C815" s="18" t="s">
        <v>38</v>
      </c>
      <c r="D815" s="6">
        <v>70000</v>
      </c>
      <c r="E815" s="18" t="str" cm="1">
        <f t="array" ref="E815">_xlfn.IFS(Cleaned_Working_Sheet!$D815&lt;=50000,"Low Income",Cleaned_Working_Sheet!$D815&lt;100000,"Middle Income",TRUE,"High Income")</f>
        <v>Middle Income</v>
      </c>
      <c r="F815" s="16">
        <v>2</v>
      </c>
      <c r="G815" s="18" t="s">
        <v>27</v>
      </c>
      <c r="H815" s="18" t="s">
        <v>21</v>
      </c>
      <c r="I815" s="18" t="s">
        <v>15</v>
      </c>
      <c r="J815" s="16">
        <v>2</v>
      </c>
      <c r="K815" s="18" t="s">
        <v>43</v>
      </c>
      <c r="L815" s="18" t="s">
        <v>32</v>
      </c>
      <c r="M815" s="14">
        <v>53</v>
      </c>
      <c r="N815" s="18" t="str" cm="1">
        <f t="array" ref="N815">_xlfn.IFS(Cleaned_Working_Sheet!$M815&lt;=34,"Young",Cleaned_Working_Sheet!$M815&lt;=54,"Middle-aged",Cleaned_Working_Sheet!$M815&gt;54,"Old")</f>
        <v>Middle-aged</v>
      </c>
      <c r="O815" s="18" t="s">
        <v>18</v>
      </c>
    </row>
    <row r="816" spans="1:15" x14ac:dyDescent="0.25">
      <c r="A816" s="14">
        <v>13351</v>
      </c>
      <c r="B816" s="18" t="s">
        <v>37</v>
      </c>
      <c r="C816" s="18" t="s">
        <v>38</v>
      </c>
      <c r="D816" s="6">
        <v>70000</v>
      </c>
      <c r="E816" s="18" t="str" cm="1">
        <f t="array" ref="E816">_xlfn.IFS(Cleaned_Working_Sheet!$D816&lt;=50000,"Low Income",Cleaned_Working_Sheet!$D816&lt;100000,"Middle Income",TRUE,"High Income")</f>
        <v>Middle Income</v>
      </c>
      <c r="F816" s="16">
        <v>4</v>
      </c>
      <c r="G816" s="18" t="s">
        <v>13</v>
      </c>
      <c r="H816" s="18" t="s">
        <v>28</v>
      </c>
      <c r="I816" s="18" t="s">
        <v>15</v>
      </c>
      <c r="J816" s="16">
        <v>2</v>
      </c>
      <c r="K816" s="18" t="s">
        <v>26</v>
      </c>
      <c r="L816" s="18" t="s">
        <v>32</v>
      </c>
      <c r="M816" s="14">
        <v>62</v>
      </c>
      <c r="N816" s="18" t="str" cm="1">
        <f t="array" ref="N816">_xlfn.IFS(Cleaned_Working_Sheet!$M816&lt;=34,"Young",Cleaned_Working_Sheet!$M816&lt;=54,"Middle-aged",Cleaned_Working_Sheet!$M816&gt;54,"Old")</f>
        <v>Old</v>
      </c>
      <c r="O816" s="18" t="s">
        <v>15</v>
      </c>
    </row>
    <row r="817" spans="1:15" x14ac:dyDescent="0.25">
      <c r="A817" s="14">
        <v>23333</v>
      </c>
      <c r="B817" s="18" t="s">
        <v>36</v>
      </c>
      <c r="C817" s="18" t="s">
        <v>39</v>
      </c>
      <c r="D817" s="6">
        <v>40000</v>
      </c>
      <c r="E817" s="18" t="str" cm="1">
        <f t="array" ref="E817">_xlfn.IFS(Cleaned_Working_Sheet!$D817&lt;=50000,"Low Income",Cleaned_Working_Sheet!$D817&lt;100000,"Middle Income",TRUE,"High Income")</f>
        <v>Low Income</v>
      </c>
      <c r="F817" s="16">
        <v>0</v>
      </c>
      <c r="G817" s="18" t="s">
        <v>19</v>
      </c>
      <c r="H817" s="18" t="s">
        <v>14</v>
      </c>
      <c r="I817" s="18" t="s">
        <v>18</v>
      </c>
      <c r="J817" s="16">
        <v>2</v>
      </c>
      <c r="K817" s="18" t="s">
        <v>26</v>
      </c>
      <c r="L817" s="18" t="s">
        <v>32</v>
      </c>
      <c r="M817" s="14">
        <v>30</v>
      </c>
      <c r="N817" s="18" t="str" cm="1">
        <f t="array" ref="N817">_xlfn.IFS(Cleaned_Working_Sheet!$M817&lt;=34,"Young",Cleaned_Working_Sheet!$M817&lt;=54,"Middle-aged",Cleaned_Working_Sheet!$M817&gt;54,"Old")</f>
        <v>Young</v>
      </c>
      <c r="O817" s="18" t="s">
        <v>18</v>
      </c>
    </row>
    <row r="818" spans="1:15" x14ac:dyDescent="0.25">
      <c r="A818" s="14">
        <v>21660</v>
      </c>
      <c r="B818" s="18" t="s">
        <v>36</v>
      </c>
      <c r="C818" s="18" t="s">
        <v>38</v>
      </c>
      <c r="D818" s="6">
        <v>60000</v>
      </c>
      <c r="E818" s="18" t="str" cm="1">
        <f t="array" ref="E818">_xlfn.IFS(Cleaned_Working_Sheet!$D818&lt;=50000,"Low Income",Cleaned_Working_Sheet!$D818&lt;100000,"Middle Income",TRUE,"High Income")</f>
        <v>Middle Income</v>
      </c>
      <c r="F818" s="16">
        <v>3</v>
      </c>
      <c r="G818" s="18" t="s">
        <v>31</v>
      </c>
      <c r="H818" s="18" t="s">
        <v>21</v>
      </c>
      <c r="I818" s="18" t="s">
        <v>15</v>
      </c>
      <c r="J818" s="16">
        <v>0</v>
      </c>
      <c r="K818" s="18" t="s">
        <v>22</v>
      </c>
      <c r="L818" s="18" t="s">
        <v>32</v>
      </c>
      <c r="M818" s="14">
        <v>43</v>
      </c>
      <c r="N818" s="18" t="str" cm="1">
        <f t="array" ref="N818">_xlfn.IFS(Cleaned_Working_Sheet!$M818&lt;=34,"Young",Cleaned_Working_Sheet!$M818&lt;=54,"Middle-aged",Cleaned_Working_Sheet!$M818&gt;54,"Old")</f>
        <v>Middle-aged</v>
      </c>
      <c r="O818" s="18" t="s">
        <v>15</v>
      </c>
    </row>
    <row r="819" spans="1:15" x14ac:dyDescent="0.25">
      <c r="A819" s="14">
        <v>17012</v>
      </c>
      <c r="B819" s="18" t="s">
        <v>36</v>
      </c>
      <c r="C819" s="18" t="s">
        <v>38</v>
      </c>
      <c r="D819" s="6">
        <v>60000</v>
      </c>
      <c r="E819" s="18" t="str" cm="1">
        <f t="array" ref="E819">_xlfn.IFS(Cleaned_Working_Sheet!$D819&lt;=50000,"Low Income",Cleaned_Working_Sheet!$D819&lt;100000,"Middle Income",TRUE,"High Income")</f>
        <v>Middle Income</v>
      </c>
      <c r="F819" s="16">
        <v>3</v>
      </c>
      <c r="G819" s="18" t="s">
        <v>31</v>
      </c>
      <c r="H819" s="18" t="s">
        <v>21</v>
      </c>
      <c r="I819" s="18" t="s">
        <v>15</v>
      </c>
      <c r="J819" s="16">
        <v>0</v>
      </c>
      <c r="K819" s="18" t="s">
        <v>22</v>
      </c>
      <c r="L819" s="18" t="s">
        <v>32</v>
      </c>
      <c r="M819" s="14">
        <v>42</v>
      </c>
      <c r="N819" s="18" t="str" cm="1">
        <f t="array" ref="N819">_xlfn.IFS(Cleaned_Working_Sheet!$M819&lt;=34,"Young",Cleaned_Working_Sheet!$M819&lt;=54,"Middle-aged",Cleaned_Working_Sheet!$M819&gt;54,"Old")</f>
        <v>Middle-aged</v>
      </c>
      <c r="O819" s="18" t="s">
        <v>15</v>
      </c>
    </row>
    <row r="820" spans="1:15" x14ac:dyDescent="0.25">
      <c r="A820" s="14">
        <v>24514</v>
      </c>
      <c r="B820" s="18" t="s">
        <v>36</v>
      </c>
      <c r="C820" s="18" t="s">
        <v>39</v>
      </c>
      <c r="D820" s="6">
        <v>40000</v>
      </c>
      <c r="E820" s="18" t="str" cm="1">
        <f t="array" ref="E820">_xlfn.IFS(Cleaned_Working_Sheet!$D820&lt;=50000,"Low Income",Cleaned_Working_Sheet!$D820&lt;100000,"Middle Income",TRUE,"High Income")</f>
        <v>Low Income</v>
      </c>
      <c r="F820" s="16">
        <v>0</v>
      </c>
      <c r="G820" s="18" t="s">
        <v>19</v>
      </c>
      <c r="H820" s="18" t="s">
        <v>14</v>
      </c>
      <c r="I820" s="18" t="s">
        <v>15</v>
      </c>
      <c r="J820" s="16">
        <v>1</v>
      </c>
      <c r="K820" s="18" t="s">
        <v>23</v>
      </c>
      <c r="L820" s="18" t="s">
        <v>32</v>
      </c>
      <c r="M820" s="14">
        <v>30</v>
      </c>
      <c r="N820" s="18" t="str" cm="1">
        <f t="array" ref="N820">_xlfn.IFS(Cleaned_Working_Sheet!$M820&lt;=34,"Young",Cleaned_Working_Sheet!$M820&lt;=54,"Middle-aged",Cleaned_Working_Sheet!$M820&gt;54,"Old")</f>
        <v>Young</v>
      </c>
      <c r="O820" s="18" t="s">
        <v>18</v>
      </c>
    </row>
    <row r="821" spans="1:15" x14ac:dyDescent="0.25">
      <c r="A821" s="14">
        <v>27505</v>
      </c>
      <c r="B821" s="18" t="s">
        <v>37</v>
      </c>
      <c r="C821" s="18" t="s">
        <v>38</v>
      </c>
      <c r="D821" s="6">
        <v>40000</v>
      </c>
      <c r="E821" s="18" t="str" cm="1">
        <f t="array" ref="E821">_xlfn.IFS(Cleaned_Working_Sheet!$D821&lt;=50000,"Low Income",Cleaned_Working_Sheet!$D821&lt;100000,"Middle Income",TRUE,"High Income")</f>
        <v>Low Income</v>
      </c>
      <c r="F821" s="16">
        <v>0</v>
      </c>
      <c r="G821" s="18" t="s">
        <v>27</v>
      </c>
      <c r="H821" s="18" t="s">
        <v>14</v>
      </c>
      <c r="I821" s="18" t="s">
        <v>15</v>
      </c>
      <c r="J821" s="16">
        <v>2</v>
      </c>
      <c r="K821" s="18" t="s">
        <v>23</v>
      </c>
      <c r="L821" s="18" t="s">
        <v>32</v>
      </c>
      <c r="M821" s="14">
        <v>30</v>
      </c>
      <c r="N821" s="18" t="str" cm="1">
        <f t="array" ref="N821">_xlfn.IFS(Cleaned_Working_Sheet!$M821&lt;=34,"Young",Cleaned_Working_Sheet!$M821&lt;=54,"Middle-aged",Cleaned_Working_Sheet!$M821&gt;54,"Old")</f>
        <v>Young</v>
      </c>
      <c r="O821" s="18" t="s">
        <v>18</v>
      </c>
    </row>
    <row r="822" spans="1:15" x14ac:dyDescent="0.25">
      <c r="A822" s="14">
        <v>29243</v>
      </c>
      <c r="B822" s="18" t="s">
        <v>37</v>
      </c>
      <c r="C822" s="18" t="s">
        <v>39</v>
      </c>
      <c r="D822" s="6">
        <v>110000</v>
      </c>
      <c r="E822" s="18" t="str" cm="1">
        <f t="array" ref="E822">_xlfn.IFS(Cleaned_Working_Sheet!$D822&lt;=50000,"Low Income",Cleaned_Working_Sheet!$D822&lt;100000,"Middle Income",TRUE,"High Income")</f>
        <v>High Income</v>
      </c>
      <c r="F822" s="16">
        <v>1</v>
      </c>
      <c r="G822" s="18" t="s">
        <v>13</v>
      </c>
      <c r="H822" s="18" t="s">
        <v>28</v>
      </c>
      <c r="I822" s="18" t="s">
        <v>15</v>
      </c>
      <c r="J822" s="16">
        <v>1</v>
      </c>
      <c r="K822" s="18" t="s">
        <v>23</v>
      </c>
      <c r="L822" s="18" t="s">
        <v>32</v>
      </c>
      <c r="M822" s="14">
        <v>43</v>
      </c>
      <c r="N822" s="18" t="str" cm="1">
        <f t="array" ref="N822">_xlfn.IFS(Cleaned_Working_Sheet!$M822&lt;=34,"Young",Cleaned_Working_Sheet!$M822&lt;=54,"Middle-aged",Cleaned_Working_Sheet!$M822&gt;54,"Old")</f>
        <v>Middle-aged</v>
      </c>
      <c r="O822" s="18" t="s">
        <v>18</v>
      </c>
    </row>
    <row r="823" spans="1:15" x14ac:dyDescent="0.25">
      <c r="A823" s="14">
        <v>26582</v>
      </c>
      <c r="B823" s="18" t="s">
        <v>36</v>
      </c>
      <c r="C823" s="18" t="s">
        <v>39</v>
      </c>
      <c r="D823" s="6">
        <v>60000</v>
      </c>
      <c r="E823" s="18" t="str" cm="1">
        <f t="array" ref="E823">_xlfn.IFS(Cleaned_Working_Sheet!$D823&lt;=50000,"Low Income",Cleaned_Working_Sheet!$D823&lt;100000,"Middle Income",TRUE,"High Income")</f>
        <v>Middle Income</v>
      </c>
      <c r="F823" s="16">
        <v>0</v>
      </c>
      <c r="G823" s="18" t="s">
        <v>19</v>
      </c>
      <c r="H823" s="18" t="s">
        <v>14</v>
      </c>
      <c r="I823" s="18" t="s">
        <v>15</v>
      </c>
      <c r="J823" s="16">
        <v>2</v>
      </c>
      <c r="K823" s="18" t="s">
        <v>23</v>
      </c>
      <c r="L823" s="18" t="s">
        <v>32</v>
      </c>
      <c r="M823" s="14">
        <v>33</v>
      </c>
      <c r="N823" s="18" t="str" cm="1">
        <f t="array" ref="N823">_xlfn.IFS(Cleaned_Working_Sheet!$M823&lt;=34,"Young",Cleaned_Working_Sheet!$M823&lt;=54,"Middle-aged",Cleaned_Working_Sheet!$M823&gt;54,"Old")</f>
        <v>Young</v>
      </c>
      <c r="O823" s="18" t="s">
        <v>15</v>
      </c>
    </row>
    <row r="824" spans="1:15" x14ac:dyDescent="0.25">
      <c r="A824" s="14">
        <v>14271</v>
      </c>
      <c r="B824" s="18" t="s">
        <v>36</v>
      </c>
      <c r="C824" s="18" t="s">
        <v>39</v>
      </c>
      <c r="D824" s="6">
        <v>30000</v>
      </c>
      <c r="E824" s="18" t="str" cm="1">
        <f t="array" ref="E824">_xlfn.IFS(Cleaned_Working_Sheet!$D824&lt;=50000,"Low Income",Cleaned_Working_Sheet!$D824&lt;100000,"Middle Income",TRUE,"High Income")</f>
        <v>Low Income</v>
      </c>
      <c r="F824" s="16">
        <v>0</v>
      </c>
      <c r="G824" s="18" t="s">
        <v>27</v>
      </c>
      <c r="H824" s="18" t="s">
        <v>14</v>
      </c>
      <c r="I824" s="18" t="s">
        <v>15</v>
      </c>
      <c r="J824" s="16">
        <v>2</v>
      </c>
      <c r="K824" s="18" t="s">
        <v>23</v>
      </c>
      <c r="L824" s="18" t="s">
        <v>32</v>
      </c>
      <c r="M824" s="14">
        <v>32</v>
      </c>
      <c r="N824" s="18" t="str" cm="1">
        <f t="array" ref="N824">_xlfn.IFS(Cleaned_Working_Sheet!$M824&lt;=34,"Young",Cleaned_Working_Sheet!$M824&lt;=54,"Middle-aged",Cleaned_Working_Sheet!$M824&gt;54,"Old")</f>
        <v>Young</v>
      </c>
      <c r="O824" s="18" t="s">
        <v>18</v>
      </c>
    </row>
    <row r="825" spans="1:15" x14ac:dyDescent="0.25">
      <c r="A825" s="14">
        <v>23041</v>
      </c>
      <c r="B825" s="18" t="s">
        <v>37</v>
      </c>
      <c r="C825" s="18" t="s">
        <v>38</v>
      </c>
      <c r="D825" s="6">
        <v>70000</v>
      </c>
      <c r="E825" s="18" t="str" cm="1">
        <f t="array" ref="E825">_xlfn.IFS(Cleaned_Working_Sheet!$D825&lt;=50000,"Low Income",Cleaned_Working_Sheet!$D825&lt;100000,"Middle Income",TRUE,"High Income")</f>
        <v>Middle Income</v>
      </c>
      <c r="F825" s="16">
        <v>4</v>
      </c>
      <c r="G825" s="18" t="s">
        <v>27</v>
      </c>
      <c r="H825" s="18" t="s">
        <v>21</v>
      </c>
      <c r="I825" s="18" t="s">
        <v>15</v>
      </c>
      <c r="J825" s="16">
        <v>0</v>
      </c>
      <c r="K825" s="18" t="s">
        <v>23</v>
      </c>
      <c r="L825" s="18" t="s">
        <v>32</v>
      </c>
      <c r="M825" s="14">
        <v>50</v>
      </c>
      <c r="N825" s="18" t="str" cm="1">
        <f t="array" ref="N825">_xlfn.IFS(Cleaned_Working_Sheet!$M825&lt;=34,"Young",Cleaned_Working_Sheet!$M825&lt;=54,"Middle-aged",Cleaned_Working_Sheet!$M825&gt;54,"Old")</f>
        <v>Middle-aged</v>
      </c>
      <c r="O825" s="18" t="s">
        <v>15</v>
      </c>
    </row>
    <row r="826" spans="1:15" x14ac:dyDescent="0.25">
      <c r="A826" s="14">
        <v>29048</v>
      </c>
      <c r="B826" s="18" t="s">
        <v>37</v>
      </c>
      <c r="C826" s="18" t="s">
        <v>39</v>
      </c>
      <c r="D826" s="6">
        <v>110000</v>
      </c>
      <c r="E826" s="18" t="str" cm="1">
        <f t="array" ref="E826">_xlfn.IFS(Cleaned_Working_Sheet!$D826&lt;=50000,"Low Income",Cleaned_Working_Sheet!$D826&lt;100000,"Middle Income",TRUE,"High Income")</f>
        <v>High Income</v>
      </c>
      <c r="F826" s="16">
        <v>2</v>
      </c>
      <c r="G826" s="18" t="s">
        <v>13</v>
      </c>
      <c r="H826" s="18" t="s">
        <v>28</v>
      </c>
      <c r="I826" s="18" t="s">
        <v>18</v>
      </c>
      <c r="J826" s="16">
        <v>3</v>
      </c>
      <c r="K826" s="18" t="s">
        <v>16</v>
      </c>
      <c r="L826" s="18" t="s">
        <v>32</v>
      </c>
      <c r="M826" s="14">
        <v>37</v>
      </c>
      <c r="N826" s="18" t="str" cm="1">
        <f t="array" ref="N826">_xlfn.IFS(Cleaned_Working_Sheet!$M826&lt;=34,"Young",Cleaned_Working_Sheet!$M826&lt;=54,"Middle-aged",Cleaned_Working_Sheet!$M826&gt;54,"Old")</f>
        <v>Middle-aged</v>
      </c>
      <c r="O826" s="18" t="s">
        <v>15</v>
      </c>
    </row>
    <row r="827" spans="1:15" x14ac:dyDescent="0.25">
      <c r="A827" s="14">
        <v>24433</v>
      </c>
      <c r="B827" s="18" t="s">
        <v>36</v>
      </c>
      <c r="C827" s="18" t="s">
        <v>39</v>
      </c>
      <c r="D827" s="6">
        <v>70000</v>
      </c>
      <c r="E827" s="18" t="str" cm="1">
        <f t="array" ref="E827">_xlfn.IFS(Cleaned_Working_Sheet!$D827&lt;=50000,"Low Income",Cleaned_Working_Sheet!$D827&lt;100000,"Middle Income",TRUE,"High Income")</f>
        <v>Middle Income</v>
      </c>
      <c r="F827" s="16">
        <v>3</v>
      </c>
      <c r="G827" s="18" t="s">
        <v>27</v>
      </c>
      <c r="H827" s="18" t="s">
        <v>21</v>
      </c>
      <c r="I827" s="18" t="s">
        <v>18</v>
      </c>
      <c r="J827" s="16">
        <v>1</v>
      </c>
      <c r="K827" s="18" t="s">
        <v>26</v>
      </c>
      <c r="L827" s="18" t="s">
        <v>32</v>
      </c>
      <c r="M827" s="14">
        <v>52</v>
      </c>
      <c r="N827" s="18" t="str" cm="1">
        <f t="array" ref="N827">_xlfn.IFS(Cleaned_Working_Sheet!$M827&lt;=34,"Young",Cleaned_Working_Sheet!$M827&lt;=54,"Middle-aged",Cleaned_Working_Sheet!$M827&gt;54,"Old")</f>
        <v>Middle-aged</v>
      </c>
      <c r="O827" s="18" t="s">
        <v>15</v>
      </c>
    </row>
    <row r="828" spans="1:15" x14ac:dyDescent="0.25">
      <c r="A828" s="14">
        <v>15501</v>
      </c>
      <c r="B828" s="18" t="s">
        <v>36</v>
      </c>
      <c r="C828" s="18" t="s">
        <v>39</v>
      </c>
      <c r="D828" s="6">
        <v>70000</v>
      </c>
      <c r="E828" s="18" t="str" cm="1">
        <f t="array" ref="E828">_xlfn.IFS(Cleaned_Working_Sheet!$D828&lt;=50000,"Low Income",Cleaned_Working_Sheet!$D828&lt;100000,"Middle Income",TRUE,"High Income")</f>
        <v>Middle Income</v>
      </c>
      <c r="F828" s="16">
        <v>4</v>
      </c>
      <c r="G828" s="18" t="s">
        <v>31</v>
      </c>
      <c r="H828" s="18" t="s">
        <v>21</v>
      </c>
      <c r="I828" s="18" t="s">
        <v>15</v>
      </c>
      <c r="J828" s="16">
        <v>0</v>
      </c>
      <c r="K828" s="18" t="s">
        <v>22</v>
      </c>
      <c r="L828" s="18" t="s">
        <v>32</v>
      </c>
      <c r="M828" s="14">
        <v>36</v>
      </c>
      <c r="N828" s="18" t="str" cm="1">
        <f t="array" ref="N828">_xlfn.IFS(Cleaned_Working_Sheet!$M828&lt;=34,"Young",Cleaned_Working_Sheet!$M828&lt;=54,"Middle-aged",Cleaned_Working_Sheet!$M828&gt;54,"Old")</f>
        <v>Middle-aged</v>
      </c>
      <c r="O828" s="18" t="s">
        <v>15</v>
      </c>
    </row>
    <row r="829" spans="1:15" x14ac:dyDescent="0.25">
      <c r="A829" s="14">
        <v>13911</v>
      </c>
      <c r="B829" s="18" t="s">
        <v>37</v>
      </c>
      <c r="C829" s="18" t="s">
        <v>38</v>
      </c>
      <c r="D829" s="6">
        <v>80000</v>
      </c>
      <c r="E829" s="18" t="str" cm="1">
        <f t="array" ref="E829">_xlfn.IFS(Cleaned_Working_Sheet!$D829&lt;=50000,"Low Income",Cleaned_Working_Sheet!$D829&lt;100000,"Middle Income",TRUE,"High Income")</f>
        <v>Middle Income</v>
      </c>
      <c r="F829" s="16">
        <v>3</v>
      </c>
      <c r="G829" s="18" t="s">
        <v>13</v>
      </c>
      <c r="H829" s="18" t="s">
        <v>14</v>
      </c>
      <c r="I829" s="18" t="s">
        <v>15</v>
      </c>
      <c r="J829" s="16">
        <v>2</v>
      </c>
      <c r="K829" s="18" t="s">
        <v>22</v>
      </c>
      <c r="L829" s="18" t="s">
        <v>32</v>
      </c>
      <c r="M829" s="14">
        <v>41</v>
      </c>
      <c r="N829" s="18" t="str" cm="1">
        <f t="array" ref="N829">_xlfn.IFS(Cleaned_Working_Sheet!$M829&lt;=34,"Young",Cleaned_Working_Sheet!$M829&lt;=54,"Middle-aged",Cleaned_Working_Sheet!$M829&gt;54,"Old")</f>
        <v>Middle-aged</v>
      </c>
      <c r="O829" s="18" t="s">
        <v>15</v>
      </c>
    </row>
    <row r="830" spans="1:15" x14ac:dyDescent="0.25">
      <c r="A830" s="14">
        <v>20421</v>
      </c>
      <c r="B830" s="18" t="s">
        <v>37</v>
      </c>
      <c r="C830" s="18" t="s">
        <v>38</v>
      </c>
      <c r="D830" s="6">
        <v>40000</v>
      </c>
      <c r="E830" s="18" t="str" cm="1">
        <f t="array" ref="E830">_xlfn.IFS(Cleaned_Working_Sheet!$D830&lt;=50000,"Low Income",Cleaned_Working_Sheet!$D830&lt;100000,"Middle Income",TRUE,"High Income")</f>
        <v>Low Income</v>
      </c>
      <c r="F830" s="16">
        <v>0</v>
      </c>
      <c r="G830" s="18" t="s">
        <v>29</v>
      </c>
      <c r="H830" s="18" t="s">
        <v>20</v>
      </c>
      <c r="I830" s="18" t="s">
        <v>15</v>
      </c>
      <c r="J830" s="16">
        <v>2</v>
      </c>
      <c r="K830" s="18" t="s">
        <v>23</v>
      </c>
      <c r="L830" s="18" t="s">
        <v>32</v>
      </c>
      <c r="M830" s="14">
        <v>26</v>
      </c>
      <c r="N830" s="18" t="str" cm="1">
        <f t="array" ref="N830">_xlfn.IFS(Cleaned_Working_Sheet!$M830&lt;=34,"Young",Cleaned_Working_Sheet!$M830&lt;=54,"Middle-aged",Cleaned_Working_Sheet!$M830&gt;54,"Old")</f>
        <v>Young</v>
      </c>
      <c r="O830" s="18" t="s">
        <v>18</v>
      </c>
    </row>
    <row r="831" spans="1:15" x14ac:dyDescent="0.25">
      <c r="A831" s="14">
        <v>16009</v>
      </c>
      <c r="B831" s="18" t="s">
        <v>37</v>
      </c>
      <c r="C831" s="18" t="s">
        <v>39</v>
      </c>
      <c r="D831" s="6">
        <v>170000</v>
      </c>
      <c r="E831" s="18" t="str" cm="1">
        <f t="array" ref="E831">_xlfn.IFS(Cleaned_Working_Sheet!$D831&lt;=50000,"Low Income",Cleaned_Working_Sheet!$D831&lt;100000,"Middle Income",TRUE,"High Income")</f>
        <v>High Income</v>
      </c>
      <c r="F831" s="16">
        <v>1</v>
      </c>
      <c r="G831" s="18" t="s">
        <v>31</v>
      </c>
      <c r="H831" s="18" t="s">
        <v>28</v>
      </c>
      <c r="I831" s="18" t="s">
        <v>18</v>
      </c>
      <c r="J831" s="16">
        <v>4</v>
      </c>
      <c r="K831" s="18" t="s">
        <v>16</v>
      </c>
      <c r="L831" s="18" t="s">
        <v>32</v>
      </c>
      <c r="M831" s="14">
        <v>66</v>
      </c>
      <c r="N831" s="18" t="str" cm="1">
        <f t="array" ref="N831">_xlfn.IFS(Cleaned_Working_Sheet!$M831&lt;=34,"Young",Cleaned_Working_Sheet!$M831&lt;=54,"Middle-aged",Cleaned_Working_Sheet!$M831&gt;54,"Old")</f>
        <v>Old</v>
      </c>
      <c r="O831" s="18" t="s">
        <v>18</v>
      </c>
    </row>
    <row r="832" spans="1:15" x14ac:dyDescent="0.25">
      <c r="A832" s="14">
        <v>18411</v>
      </c>
      <c r="B832" s="18" t="s">
        <v>36</v>
      </c>
      <c r="C832" s="18" t="s">
        <v>39</v>
      </c>
      <c r="D832" s="6">
        <v>60000</v>
      </c>
      <c r="E832" s="18" t="str" cm="1">
        <f t="array" ref="E832">_xlfn.IFS(Cleaned_Working_Sheet!$D832&lt;=50000,"Low Income",Cleaned_Working_Sheet!$D832&lt;100000,"Middle Income",TRUE,"High Income")</f>
        <v>Middle Income</v>
      </c>
      <c r="F832" s="16">
        <v>2</v>
      </c>
      <c r="G832" s="18" t="s">
        <v>27</v>
      </c>
      <c r="H832" s="18" t="s">
        <v>21</v>
      </c>
      <c r="I832" s="18" t="s">
        <v>18</v>
      </c>
      <c r="J832" s="16">
        <v>2</v>
      </c>
      <c r="K832" s="18" t="s">
        <v>23</v>
      </c>
      <c r="L832" s="18" t="s">
        <v>32</v>
      </c>
      <c r="M832" s="14">
        <v>51</v>
      </c>
      <c r="N832" s="18" t="str" cm="1">
        <f t="array" ref="N832">_xlfn.IFS(Cleaned_Working_Sheet!$M832&lt;=34,"Young",Cleaned_Working_Sheet!$M832&lt;=54,"Middle-aged",Cleaned_Working_Sheet!$M832&gt;54,"Old")</f>
        <v>Middle-aged</v>
      </c>
      <c r="O832" s="18" t="s">
        <v>18</v>
      </c>
    </row>
    <row r="833" spans="1:15" x14ac:dyDescent="0.25">
      <c r="A833" s="14">
        <v>19163</v>
      </c>
      <c r="B833" s="18" t="s">
        <v>36</v>
      </c>
      <c r="C833" s="18" t="s">
        <v>38</v>
      </c>
      <c r="D833" s="6">
        <v>70000</v>
      </c>
      <c r="E833" s="18" t="str" cm="1">
        <f t="array" ref="E833">_xlfn.IFS(Cleaned_Working_Sheet!$D833&lt;=50000,"Low Income",Cleaned_Working_Sheet!$D833&lt;100000,"Middle Income",TRUE,"High Income")</f>
        <v>Middle Income</v>
      </c>
      <c r="F833" s="16">
        <v>4</v>
      </c>
      <c r="G833" s="18" t="s">
        <v>13</v>
      </c>
      <c r="H833" s="18" t="s">
        <v>21</v>
      </c>
      <c r="I833" s="18" t="s">
        <v>15</v>
      </c>
      <c r="J833" s="16">
        <v>2</v>
      </c>
      <c r="K833" s="18" t="s">
        <v>16</v>
      </c>
      <c r="L833" s="18" t="s">
        <v>32</v>
      </c>
      <c r="M833" s="14">
        <v>43</v>
      </c>
      <c r="N833" s="18" t="str" cm="1">
        <f t="array" ref="N833">_xlfn.IFS(Cleaned_Working_Sheet!$M833&lt;=34,"Young",Cleaned_Working_Sheet!$M833&lt;=54,"Middle-aged",Cleaned_Working_Sheet!$M833&gt;54,"Old")</f>
        <v>Middle-aged</v>
      </c>
      <c r="O833" s="18" t="s">
        <v>15</v>
      </c>
    </row>
    <row r="834" spans="1:15" x14ac:dyDescent="0.25">
      <c r="A834" s="14">
        <v>18572</v>
      </c>
      <c r="B834" s="18" t="s">
        <v>36</v>
      </c>
      <c r="C834" s="18" t="s">
        <v>38</v>
      </c>
      <c r="D834" s="6">
        <v>60000</v>
      </c>
      <c r="E834" s="18" t="str" cm="1">
        <f t="array" ref="E834">_xlfn.IFS(Cleaned_Working_Sheet!$D834&lt;=50000,"Low Income",Cleaned_Working_Sheet!$D834&lt;100000,"Middle Income",TRUE,"High Income")</f>
        <v>Middle Income</v>
      </c>
      <c r="F834" s="16">
        <v>0</v>
      </c>
      <c r="G834" s="18" t="s">
        <v>31</v>
      </c>
      <c r="H834" s="18" t="s">
        <v>21</v>
      </c>
      <c r="I834" s="18" t="s">
        <v>15</v>
      </c>
      <c r="J834" s="16">
        <v>0</v>
      </c>
      <c r="K834" s="18" t="s">
        <v>16</v>
      </c>
      <c r="L834" s="18" t="s">
        <v>32</v>
      </c>
      <c r="M834" s="14">
        <v>39</v>
      </c>
      <c r="N834" s="18" t="str" cm="1">
        <f t="array" ref="N834">_xlfn.IFS(Cleaned_Working_Sheet!$M834&lt;=34,"Young",Cleaned_Working_Sheet!$M834&lt;=54,"Middle-aged",Cleaned_Working_Sheet!$M834&gt;54,"Old")</f>
        <v>Middle-aged</v>
      </c>
      <c r="O834" s="18" t="s">
        <v>18</v>
      </c>
    </row>
    <row r="835" spans="1:15" x14ac:dyDescent="0.25">
      <c r="A835" s="14">
        <v>27540</v>
      </c>
      <c r="B835" s="18" t="s">
        <v>37</v>
      </c>
      <c r="C835" s="18" t="s">
        <v>38</v>
      </c>
      <c r="D835" s="6">
        <v>70000</v>
      </c>
      <c r="E835" s="18" t="str" cm="1">
        <f t="array" ref="E835">_xlfn.IFS(Cleaned_Working_Sheet!$D835&lt;=50000,"Low Income",Cleaned_Working_Sheet!$D835&lt;100000,"Middle Income",TRUE,"High Income")</f>
        <v>Middle Income</v>
      </c>
      <c r="F835" s="16">
        <v>0</v>
      </c>
      <c r="G835" s="18" t="s">
        <v>13</v>
      </c>
      <c r="H835" s="18" t="s">
        <v>21</v>
      </c>
      <c r="I835" s="18" t="s">
        <v>18</v>
      </c>
      <c r="J835" s="16">
        <v>1</v>
      </c>
      <c r="K835" s="18" t="s">
        <v>16</v>
      </c>
      <c r="L835" s="18" t="s">
        <v>32</v>
      </c>
      <c r="M835" s="14">
        <v>37</v>
      </c>
      <c r="N835" s="18" t="str" cm="1">
        <f t="array" ref="N835">_xlfn.IFS(Cleaned_Working_Sheet!$M835&lt;=34,"Young",Cleaned_Working_Sheet!$M835&lt;=54,"Middle-aged",Cleaned_Working_Sheet!$M835&gt;54,"Old")</f>
        <v>Middle-aged</v>
      </c>
      <c r="O835" s="18" t="s">
        <v>15</v>
      </c>
    </row>
    <row r="836" spans="1:15" x14ac:dyDescent="0.25">
      <c r="A836" s="14">
        <v>19889</v>
      </c>
      <c r="B836" s="18" t="s">
        <v>37</v>
      </c>
      <c r="C836" s="18" t="s">
        <v>38</v>
      </c>
      <c r="D836" s="6">
        <v>70000</v>
      </c>
      <c r="E836" s="18" t="str" cm="1">
        <f t="array" ref="E836">_xlfn.IFS(Cleaned_Working_Sheet!$D836&lt;=50000,"Low Income",Cleaned_Working_Sheet!$D836&lt;100000,"Middle Income",TRUE,"High Income")</f>
        <v>Middle Income</v>
      </c>
      <c r="F836" s="16">
        <v>2</v>
      </c>
      <c r="G836" s="18" t="s">
        <v>29</v>
      </c>
      <c r="H836" s="18" t="s">
        <v>14</v>
      </c>
      <c r="I836" s="18" t="s">
        <v>18</v>
      </c>
      <c r="J836" s="16">
        <v>2</v>
      </c>
      <c r="K836" s="18" t="s">
        <v>22</v>
      </c>
      <c r="L836" s="18" t="s">
        <v>32</v>
      </c>
      <c r="M836" s="14">
        <v>54</v>
      </c>
      <c r="N836" s="18" t="str" cm="1">
        <f t="array" ref="N836">_xlfn.IFS(Cleaned_Working_Sheet!$M836&lt;=34,"Young",Cleaned_Working_Sheet!$M836&lt;=54,"Middle-aged",Cleaned_Working_Sheet!$M836&gt;54,"Old")</f>
        <v>Middle-aged</v>
      </c>
      <c r="O836" s="18" t="s">
        <v>15</v>
      </c>
    </row>
    <row r="837" spans="1:15" x14ac:dyDescent="0.25">
      <c r="A837" s="14">
        <v>12922</v>
      </c>
      <c r="B837" s="18" t="s">
        <v>37</v>
      </c>
      <c r="C837" s="18" t="s">
        <v>38</v>
      </c>
      <c r="D837" s="6">
        <v>60000</v>
      </c>
      <c r="E837" s="18" t="str" cm="1">
        <f t="array" ref="E837">_xlfn.IFS(Cleaned_Working_Sheet!$D837&lt;=50000,"Low Income",Cleaned_Working_Sheet!$D837&lt;100000,"Middle Income",TRUE,"High Income")</f>
        <v>Middle Income</v>
      </c>
      <c r="F837" s="16">
        <v>3</v>
      </c>
      <c r="G837" s="18" t="s">
        <v>13</v>
      </c>
      <c r="H837" s="18" t="s">
        <v>14</v>
      </c>
      <c r="I837" s="18" t="s">
        <v>15</v>
      </c>
      <c r="J837" s="16">
        <v>0</v>
      </c>
      <c r="K837" s="18" t="s">
        <v>22</v>
      </c>
      <c r="L837" s="18" t="s">
        <v>32</v>
      </c>
      <c r="M837" s="14">
        <v>40</v>
      </c>
      <c r="N837" s="18" t="str" cm="1">
        <f t="array" ref="N837">_xlfn.IFS(Cleaned_Working_Sheet!$M837&lt;=34,"Young",Cleaned_Working_Sheet!$M837&lt;=54,"Middle-aged",Cleaned_Working_Sheet!$M837&gt;54,"Old")</f>
        <v>Middle-aged</v>
      </c>
      <c r="O837" s="18" t="s">
        <v>15</v>
      </c>
    </row>
    <row r="838" spans="1:15" x14ac:dyDescent="0.25">
      <c r="A838" s="14">
        <v>18891</v>
      </c>
      <c r="B838" s="18" t="s">
        <v>36</v>
      </c>
      <c r="C838" s="18" t="s">
        <v>38</v>
      </c>
      <c r="D838" s="6">
        <v>40000</v>
      </c>
      <c r="E838" s="18" t="str" cm="1">
        <f t="array" ref="E838">_xlfn.IFS(Cleaned_Working_Sheet!$D838&lt;=50000,"Low Income",Cleaned_Working_Sheet!$D838&lt;100000,"Middle Income",TRUE,"High Income")</f>
        <v>Low Income</v>
      </c>
      <c r="F838" s="16">
        <v>0</v>
      </c>
      <c r="G838" s="18" t="s">
        <v>19</v>
      </c>
      <c r="H838" s="18" t="s">
        <v>14</v>
      </c>
      <c r="I838" s="18" t="s">
        <v>15</v>
      </c>
      <c r="J838" s="16">
        <v>2</v>
      </c>
      <c r="K838" s="18" t="s">
        <v>23</v>
      </c>
      <c r="L838" s="18" t="s">
        <v>32</v>
      </c>
      <c r="M838" s="14">
        <v>28</v>
      </c>
      <c r="N838" s="18" t="str" cm="1">
        <f t="array" ref="N838">_xlfn.IFS(Cleaned_Working_Sheet!$M838&lt;=34,"Young",Cleaned_Working_Sheet!$M838&lt;=54,"Middle-aged",Cleaned_Working_Sheet!$M838&gt;54,"Old")</f>
        <v>Young</v>
      </c>
      <c r="O838" s="18" t="s">
        <v>18</v>
      </c>
    </row>
    <row r="839" spans="1:15" x14ac:dyDescent="0.25">
      <c r="A839" s="14">
        <v>16773</v>
      </c>
      <c r="B839" s="18" t="s">
        <v>36</v>
      </c>
      <c r="C839" s="18" t="s">
        <v>39</v>
      </c>
      <c r="D839" s="6">
        <v>60000</v>
      </c>
      <c r="E839" s="18" t="str" cm="1">
        <f t="array" ref="E839">_xlfn.IFS(Cleaned_Working_Sheet!$D839&lt;=50000,"Low Income",Cleaned_Working_Sheet!$D839&lt;100000,"Middle Income",TRUE,"High Income")</f>
        <v>Middle Income</v>
      </c>
      <c r="F839" s="16">
        <v>1</v>
      </c>
      <c r="G839" s="18" t="s">
        <v>31</v>
      </c>
      <c r="H839" s="18" t="s">
        <v>14</v>
      </c>
      <c r="I839" s="18" t="s">
        <v>15</v>
      </c>
      <c r="J839" s="16">
        <v>0</v>
      </c>
      <c r="K839" s="18" t="s">
        <v>16</v>
      </c>
      <c r="L839" s="18" t="s">
        <v>32</v>
      </c>
      <c r="M839" s="14">
        <v>33</v>
      </c>
      <c r="N839" s="18" t="str" cm="1">
        <f t="array" ref="N839">_xlfn.IFS(Cleaned_Working_Sheet!$M839&lt;=34,"Young",Cleaned_Working_Sheet!$M839&lt;=54,"Middle-aged",Cleaned_Working_Sheet!$M839&gt;54,"Old")</f>
        <v>Young</v>
      </c>
      <c r="O839" s="18" t="s">
        <v>18</v>
      </c>
    </row>
    <row r="840" spans="1:15" x14ac:dyDescent="0.25">
      <c r="A840" s="14">
        <v>19143</v>
      </c>
      <c r="B840" s="18" t="s">
        <v>37</v>
      </c>
      <c r="C840" s="18" t="s">
        <v>38</v>
      </c>
      <c r="D840" s="6">
        <v>80000</v>
      </c>
      <c r="E840" s="18" t="str" cm="1">
        <f t="array" ref="E840">_xlfn.IFS(Cleaned_Working_Sheet!$D840&lt;=50000,"Low Income",Cleaned_Working_Sheet!$D840&lt;100000,"Middle Income",TRUE,"High Income")</f>
        <v>Middle Income</v>
      </c>
      <c r="F840" s="16">
        <v>3</v>
      </c>
      <c r="G840" s="18" t="s">
        <v>13</v>
      </c>
      <c r="H840" s="18" t="s">
        <v>14</v>
      </c>
      <c r="I840" s="18" t="s">
        <v>15</v>
      </c>
      <c r="J840" s="16">
        <v>2</v>
      </c>
      <c r="K840" s="18" t="s">
        <v>22</v>
      </c>
      <c r="L840" s="18" t="s">
        <v>32</v>
      </c>
      <c r="M840" s="14">
        <v>41</v>
      </c>
      <c r="N840" s="18" t="str" cm="1">
        <f t="array" ref="N840">_xlfn.IFS(Cleaned_Working_Sheet!$M840&lt;=34,"Young",Cleaned_Working_Sheet!$M840&lt;=54,"Middle-aged",Cleaned_Working_Sheet!$M840&gt;54,"Old")</f>
        <v>Middle-aged</v>
      </c>
      <c r="O840" s="18" t="s">
        <v>15</v>
      </c>
    </row>
    <row r="841" spans="1:15" x14ac:dyDescent="0.25">
      <c r="A841" s="14">
        <v>23882</v>
      </c>
      <c r="B841" s="18" t="s">
        <v>37</v>
      </c>
      <c r="C841" s="18" t="s">
        <v>38</v>
      </c>
      <c r="D841" s="6">
        <v>80000</v>
      </c>
      <c r="E841" s="18" t="str" cm="1">
        <f t="array" ref="E841">_xlfn.IFS(Cleaned_Working_Sheet!$D841&lt;=50000,"Low Income",Cleaned_Working_Sheet!$D841&lt;100000,"Middle Income",TRUE,"High Income")</f>
        <v>Middle Income</v>
      </c>
      <c r="F841" s="16">
        <v>3</v>
      </c>
      <c r="G841" s="18" t="s">
        <v>31</v>
      </c>
      <c r="H841" s="18" t="s">
        <v>21</v>
      </c>
      <c r="I841" s="18" t="s">
        <v>15</v>
      </c>
      <c r="J841" s="16">
        <v>0</v>
      </c>
      <c r="K841" s="18" t="s">
        <v>16</v>
      </c>
      <c r="L841" s="18" t="s">
        <v>32</v>
      </c>
      <c r="M841" s="14">
        <v>37</v>
      </c>
      <c r="N841" s="18" t="str" cm="1">
        <f t="array" ref="N841">_xlfn.IFS(Cleaned_Working_Sheet!$M841&lt;=34,"Young",Cleaned_Working_Sheet!$M841&lt;=54,"Middle-aged",Cleaned_Working_Sheet!$M841&gt;54,"Old")</f>
        <v>Middle-aged</v>
      </c>
      <c r="O841" s="18" t="s">
        <v>15</v>
      </c>
    </row>
    <row r="842" spans="1:15" x14ac:dyDescent="0.25">
      <c r="A842" s="14">
        <v>11233</v>
      </c>
      <c r="B842" s="18" t="s">
        <v>36</v>
      </c>
      <c r="C842" s="18" t="s">
        <v>39</v>
      </c>
      <c r="D842" s="6">
        <v>70000</v>
      </c>
      <c r="E842" s="18" t="str" cm="1">
        <f t="array" ref="E842">_xlfn.IFS(Cleaned_Working_Sheet!$D842&lt;=50000,"Low Income",Cleaned_Working_Sheet!$D842&lt;100000,"Middle Income",TRUE,"High Income")</f>
        <v>Middle Income</v>
      </c>
      <c r="F842" s="16">
        <v>4</v>
      </c>
      <c r="G842" s="18" t="s">
        <v>19</v>
      </c>
      <c r="H842" s="18" t="s">
        <v>21</v>
      </c>
      <c r="I842" s="18" t="s">
        <v>15</v>
      </c>
      <c r="J842" s="16">
        <v>2</v>
      </c>
      <c r="K842" s="18" t="s">
        <v>43</v>
      </c>
      <c r="L842" s="18" t="s">
        <v>32</v>
      </c>
      <c r="M842" s="14">
        <v>53</v>
      </c>
      <c r="N842" s="18" t="str" cm="1">
        <f t="array" ref="N842">_xlfn.IFS(Cleaned_Working_Sheet!$M842&lt;=34,"Young",Cleaned_Working_Sheet!$M842&lt;=54,"Middle-aged",Cleaned_Working_Sheet!$M842&gt;54,"Old")</f>
        <v>Middle-aged</v>
      </c>
      <c r="O842" s="18" t="s">
        <v>18</v>
      </c>
    </row>
    <row r="843" spans="1:15" x14ac:dyDescent="0.25">
      <c r="A843" s="14">
        <v>12056</v>
      </c>
      <c r="B843" s="18" t="s">
        <v>36</v>
      </c>
      <c r="C843" s="18" t="s">
        <v>39</v>
      </c>
      <c r="D843" s="6">
        <v>120000</v>
      </c>
      <c r="E843" s="18" t="str" cm="1">
        <f t="array" ref="E843">_xlfn.IFS(Cleaned_Working_Sheet!$D843&lt;=50000,"Low Income",Cleaned_Working_Sheet!$D843&lt;100000,"Middle Income",TRUE,"High Income")</f>
        <v>High Income</v>
      </c>
      <c r="F843" s="16">
        <v>2</v>
      </c>
      <c r="G843" s="18" t="s">
        <v>31</v>
      </c>
      <c r="H843" s="18" t="s">
        <v>28</v>
      </c>
      <c r="I843" s="18" t="s">
        <v>15</v>
      </c>
      <c r="J843" s="16">
        <v>3</v>
      </c>
      <c r="K843" s="18" t="s">
        <v>23</v>
      </c>
      <c r="L843" s="18" t="s">
        <v>32</v>
      </c>
      <c r="M843" s="14">
        <v>64</v>
      </c>
      <c r="N843" s="18" t="str" cm="1">
        <f t="array" ref="N843">_xlfn.IFS(Cleaned_Working_Sheet!$M843&lt;=34,"Young",Cleaned_Working_Sheet!$M843&lt;=54,"Middle-aged",Cleaned_Working_Sheet!$M843&gt;54,"Old")</f>
        <v>Old</v>
      </c>
      <c r="O843" s="18" t="s">
        <v>18</v>
      </c>
    </row>
    <row r="844" spans="1:15" x14ac:dyDescent="0.25">
      <c r="A844" s="14">
        <v>15555</v>
      </c>
      <c r="B844" s="18" t="s">
        <v>36</v>
      </c>
      <c r="C844" s="18" t="s">
        <v>38</v>
      </c>
      <c r="D844" s="6">
        <v>60000</v>
      </c>
      <c r="E844" s="18" t="str" cm="1">
        <f t="array" ref="E844">_xlfn.IFS(Cleaned_Working_Sheet!$D844&lt;=50000,"Low Income",Cleaned_Working_Sheet!$D844&lt;100000,"Middle Income",TRUE,"High Income")</f>
        <v>Middle Income</v>
      </c>
      <c r="F844" s="16">
        <v>1</v>
      </c>
      <c r="G844" s="18" t="s">
        <v>19</v>
      </c>
      <c r="H844" s="18" t="s">
        <v>14</v>
      </c>
      <c r="I844" s="18" t="s">
        <v>15</v>
      </c>
      <c r="J844" s="16">
        <v>1</v>
      </c>
      <c r="K844" s="18" t="s">
        <v>22</v>
      </c>
      <c r="L844" s="18" t="s">
        <v>32</v>
      </c>
      <c r="M844" s="14">
        <v>45</v>
      </c>
      <c r="N844" s="18" t="str" cm="1">
        <f t="array" ref="N844">_xlfn.IFS(Cleaned_Working_Sheet!$M844&lt;=34,"Young",Cleaned_Working_Sheet!$M844&lt;=54,"Middle-aged",Cleaned_Working_Sheet!$M844&gt;54,"Old")</f>
        <v>Middle-aged</v>
      </c>
      <c r="O844" s="18" t="s">
        <v>15</v>
      </c>
    </row>
    <row r="845" spans="1:15" x14ac:dyDescent="0.25">
      <c r="A845" s="14">
        <v>18423</v>
      </c>
      <c r="B845" s="18" t="s">
        <v>37</v>
      </c>
      <c r="C845" s="18" t="s">
        <v>39</v>
      </c>
      <c r="D845" s="6">
        <v>80000</v>
      </c>
      <c r="E845" s="18" t="str" cm="1">
        <f t="array" ref="E845">_xlfn.IFS(Cleaned_Working_Sheet!$D845&lt;=50000,"Low Income",Cleaned_Working_Sheet!$D845&lt;100000,"Middle Income",TRUE,"High Income")</f>
        <v>Middle Income</v>
      </c>
      <c r="F845" s="16">
        <v>2</v>
      </c>
      <c r="G845" s="18" t="s">
        <v>29</v>
      </c>
      <c r="H845" s="18" t="s">
        <v>14</v>
      </c>
      <c r="I845" s="18" t="s">
        <v>18</v>
      </c>
      <c r="J845" s="16">
        <v>2</v>
      </c>
      <c r="K845" s="18" t="s">
        <v>26</v>
      </c>
      <c r="L845" s="18" t="s">
        <v>32</v>
      </c>
      <c r="M845" s="14">
        <v>52</v>
      </c>
      <c r="N845" s="18" t="str" cm="1">
        <f t="array" ref="N845">_xlfn.IFS(Cleaned_Working_Sheet!$M845&lt;=34,"Young",Cleaned_Working_Sheet!$M845&lt;=54,"Middle-aged",Cleaned_Working_Sheet!$M845&gt;54,"Old")</f>
        <v>Middle-aged</v>
      </c>
      <c r="O845" s="18" t="s">
        <v>18</v>
      </c>
    </row>
    <row r="846" spans="1:15" x14ac:dyDescent="0.25">
      <c r="A846" s="14">
        <v>22743</v>
      </c>
      <c r="B846" s="18" t="s">
        <v>36</v>
      </c>
      <c r="C846" s="18" t="s">
        <v>38</v>
      </c>
      <c r="D846" s="6">
        <v>40000</v>
      </c>
      <c r="E846" s="18" t="str" cm="1">
        <f t="array" ref="E846">_xlfn.IFS(Cleaned_Working_Sheet!$D846&lt;=50000,"Low Income",Cleaned_Working_Sheet!$D846&lt;100000,"Middle Income",TRUE,"High Income")</f>
        <v>Low Income</v>
      </c>
      <c r="F846" s="16">
        <v>5</v>
      </c>
      <c r="G846" s="18" t="s">
        <v>27</v>
      </c>
      <c r="H846" s="18" t="s">
        <v>21</v>
      </c>
      <c r="I846" s="18" t="s">
        <v>15</v>
      </c>
      <c r="J846" s="16">
        <v>2</v>
      </c>
      <c r="K846" s="18" t="s">
        <v>43</v>
      </c>
      <c r="L846" s="18" t="s">
        <v>32</v>
      </c>
      <c r="M846" s="14">
        <v>60</v>
      </c>
      <c r="N846" s="18" t="str" cm="1">
        <f t="array" ref="N846">_xlfn.IFS(Cleaned_Working_Sheet!$M846&lt;=34,"Young",Cleaned_Working_Sheet!$M846&lt;=54,"Middle-aged",Cleaned_Working_Sheet!$M846&gt;54,"Old")</f>
        <v>Old</v>
      </c>
      <c r="O846" s="18" t="s">
        <v>18</v>
      </c>
    </row>
    <row r="847" spans="1:15" x14ac:dyDescent="0.25">
      <c r="A847" s="14">
        <v>25343</v>
      </c>
      <c r="B847" s="18" t="s">
        <v>37</v>
      </c>
      <c r="C847" s="18" t="s">
        <v>38</v>
      </c>
      <c r="D847" s="6">
        <v>20000</v>
      </c>
      <c r="E847" s="18" t="str" cm="1">
        <f t="array" ref="E847">_xlfn.IFS(Cleaned_Working_Sheet!$D847&lt;=50000,"Low Income",Cleaned_Working_Sheet!$D847&lt;100000,"Middle Income",TRUE,"High Income")</f>
        <v>Low Income</v>
      </c>
      <c r="F847" s="16">
        <v>3</v>
      </c>
      <c r="G847" s="18" t="s">
        <v>29</v>
      </c>
      <c r="H847" s="18" t="s">
        <v>20</v>
      </c>
      <c r="I847" s="18" t="s">
        <v>15</v>
      </c>
      <c r="J847" s="16">
        <v>2</v>
      </c>
      <c r="K847" s="18" t="s">
        <v>26</v>
      </c>
      <c r="L847" s="18" t="s">
        <v>32</v>
      </c>
      <c r="M847" s="14">
        <v>50</v>
      </c>
      <c r="N847" s="18" t="str" cm="1">
        <f t="array" ref="N847">_xlfn.IFS(Cleaned_Working_Sheet!$M847&lt;=34,"Young",Cleaned_Working_Sheet!$M847&lt;=54,"Middle-aged",Cleaned_Working_Sheet!$M847&gt;54,"Old")</f>
        <v>Middle-aged</v>
      </c>
      <c r="O847" s="18" t="s">
        <v>18</v>
      </c>
    </row>
    <row r="848" spans="1:15" x14ac:dyDescent="0.25">
      <c r="A848" s="14">
        <v>13390</v>
      </c>
      <c r="B848" s="18" t="s">
        <v>36</v>
      </c>
      <c r="C848" s="18" t="s">
        <v>38</v>
      </c>
      <c r="D848" s="6">
        <v>70000</v>
      </c>
      <c r="E848" s="18" t="str" cm="1">
        <f t="array" ref="E848">_xlfn.IFS(Cleaned_Working_Sheet!$D848&lt;=50000,"Low Income",Cleaned_Working_Sheet!$D848&lt;100000,"Middle Income",TRUE,"High Income")</f>
        <v>Middle Income</v>
      </c>
      <c r="F848" s="16">
        <v>4</v>
      </c>
      <c r="G848" s="18" t="s">
        <v>19</v>
      </c>
      <c r="H848" s="18" t="s">
        <v>21</v>
      </c>
      <c r="I848" s="18" t="s">
        <v>18</v>
      </c>
      <c r="J848" s="16">
        <v>1</v>
      </c>
      <c r="K848" s="18" t="s">
        <v>26</v>
      </c>
      <c r="L848" s="18" t="s">
        <v>32</v>
      </c>
      <c r="M848" s="14">
        <v>56</v>
      </c>
      <c r="N848" s="18" t="str" cm="1">
        <f t="array" ref="N848">_xlfn.IFS(Cleaned_Working_Sheet!$M848&lt;=34,"Young",Cleaned_Working_Sheet!$M848&lt;=54,"Middle-aged",Cleaned_Working_Sheet!$M848&gt;54,"Old")</f>
        <v>Old</v>
      </c>
      <c r="O848" s="18" t="s">
        <v>18</v>
      </c>
    </row>
    <row r="849" spans="1:15" x14ac:dyDescent="0.25">
      <c r="A849" s="14">
        <v>17482</v>
      </c>
      <c r="B849" s="18" t="s">
        <v>37</v>
      </c>
      <c r="C849" s="18" t="s">
        <v>38</v>
      </c>
      <c r="D849" s="6">
        <v>40000</v>
      </c>
      <c r="E849" s="18" t="str" cm="1">
        <f t="array" ref="E849">_xlfn.IFS(Cleaned_Working_Sheet!$D849&lt;=50000,"Low Income",Cleaned_Working_Sheet!$D849&lt;100000,"Middle Income",TRUE,"High Income")</f>
        <v>Low Income</v>
      </c>
      <c r="F849" s="16">
        <v>0</v>
      </c>
      <c r="G849" s="18" t="s">
        <v>29</v>
      </c>
      <c r="H849" s="18" t="s">
        <v>20</v>
      </c>
      <c r="I849" s="18" t="s">
        <v>15</v>
      </c>
      <c r="J849" s="16">
        <v>2</v>
      </c>
      <c r="K849" s="18" t="s">
        <v>23</v>
      </c>
      <c r="L849" s="18" t="s">
        <v>32</v>
      </c>
      <c r="M849" s="14">
        <v>29</v>
      </c>
      <c r="N849" s="18" t="str" cm="1">
        <f t="array" ref="N849">_xlfn.IFS(Cleaned_Working_Sheet!$M849&lt;=34,"Young",Cleaned_Working_Sheet!$M849&lt;=54,"Middle-aged",Cleaned_Working_Sheet!$M849&gt;54,"Old")</f>
        <v>Young</v>
      </c>
      <c r="O849" s="18" t="s">
        <v>18</v>
      </c>
    </row>
    <row r="850" spans="1:15" x14ac:dyDescent="0.25">
      <c r="A850" s="14">
        <v>13176</v>
      </c>
      <c r="B850" s="18" t="s">
        <v>37</v>
      </c>
      <c r="C850" s="18" t="s">
        <v>39</v>
      </c>
      <c r="D850" s="6">
        <v>130000</v>
      </c>
      <c r="E850" s="18" t="str" cm="1">
        <f t="array" ref="E850">_xlfn.IFS(Cleaned_Working_Sheet!$D850&lt;=50000,"Low Income",Cleaned_Working_Sheet!$D850&lt;100000,"Middle Income",TRUE,"High Income")</f>
        <v>High Income</v>
      </c>
      <c r="F850" s="16">
        <v>0</v>
      </c>
      <c r="G850" s="18" t="s">
        <v>31</v>
      </c>
      <c r="H850" s="18" t="s">
        <v>28</v>
      </c>
      <c r="I850" s="18" t="s">
        <v>18</v>
      </c>
      <c r="J850" s="16">
        <v>2</v>
      </c>
      <c r="K850" s="18" t="s">
        <v>16</v>
      </c>
      <c r="L850" s="18" t="s">
        <v>32</v>
      </c>
      <c r="M850" s="14">
        <v>38</v>
      </c>
      <c r="N850" s="18" t="str" cm="1">
        <f t="array" ref="N850">_xlfn.IFS(Cleaned_Working_Sheet!$M850&lt;=34,"Young",Cleaned_Working_Sheet!$M850&lt;=54,"Middle-aged",Cleaned_Working_Sheet!$M850&gt;54,"Old")</f>
        <v>Middle-aged</v>
      </c>
      <c r="O850" s="18" t="s">
        <v>15</v>
      </c>
    </row>
    <row r="851" spans="1:15" x14ac:dyDescent="0.25">
      <c r="A851" s="14">
        <v>20504</v>
      </c>
      <c r="B851" s="18" t="s">
        <v>36</v>
      </c>
      <c r="C851" s="18" t="s">
        <v>38</v>
      </c>
      <c r="D851" s="6">
        <v>40000</v>
      </c>
      <c r="E851" s="18" t="str" cm="1">
        <f t="array" ref="E851">_xlfn.IFS(Cleaned_Working_Sheet!$D851&lt;=50000,"Low Income",Cleaned_Working_Sheet!$D851&lt;100000,"Middle Income",TRUE,"High Income")</f>
        <v>Low Income</v>
      </c>
      <c r="F851" s="16">
        <v>5</v>
      </c>
      <c r="G851" s="18" t="s">
        <v>27</v>
      </c>
      <c r="H851" s="18" t="s">
        <v>21</v>
      </c>
      <c r="I851" s="18" t="s">
        <v>18</v>
      </c>
      <c r="J851" s="16">
        <v>2</v>
      </c>
      <c r="K851" s="18" t="s">
        <v>22</v>
      </c>
      <c r="L851" s="18" t="s">
        <v>32</v>
      </c>
      <c r="M851" s="14">
        <v>60</v>
      </c>
      <c r="N851" s="18" t="str" cm="1">
        <f t="array" ref="N851">_xlfn.IFS(Cleaned_Working_Sheet!$M851&lt;=34,"Young",Cleaned_Working_Sheet!$M851&lt;=54,"Middle-aged",Cleaned_Working_Sheet!$M851&gt;54,"Old")</f>
        <v>Old</v>
      </c>
      <c r="O851" s="18" t="s">
        <v>18</v>
      </c>
    </row>
    <row r="852" spans="1:15" x14ac:dyDescent="0.25">
      <c r="A852" s="14">
        <v>12205</v>
      </c>
      <c r="B852" s="18" t="s">
        <v>37</v>
      </c>
      <c r="C852" s="18" t="s">
        <v>38</v>
      </c>
      <c r="D852" s="6">
        <v>130000</v>
      </c>
      <c r="E852" s="18" t="str" cm="1">
        <f t="array" ref="E852">_xlfn.IFS(Cleaned_Working_Sheet!$D852&lt;=50000,"Low Income",Cleaned_Working_Sheet!$D852&lt;100000,"Middle Income",TRUE,"High Income")</f>
        <v>High Income</v>
      </c>
      <c r="F852" s="16">
        <v>2</v>
      </c>
      <c r="G852" s="18" t="s">
        <v>13</v>
      </c>
      <c r="H852" s="18" t="s">
        <v>28</v>
      </c>
      <c r="I852" s="18" t="s">
        <v>18</v>
      </c>
      <c r="J852" s="16">
        <v>4</v>
      </c>
      <c r="K852" s="18" t="s">
        <v>16</v>
      </c>
      <c r="L852" s="18" t="s">
        <v>32</v>
      </c>
      <c r="M852" s="14">
        <v>67</v>
      </c>
      <c r="N852" s="18" t="str" cm="1">
        <f t="array" ref="N852">_xlfn.IFS(Cleaned_Working_Sheet!$M852&lt;=34,"Young",Cleaned_Working_Sheet!$M852&lt;=54,"Middle-aged",Cleaned_Working_Sheet!$M852&gt;54,"Old")</f>
        <v>Old</v>
      </c>
      <c r="O852" s="18" t="s">
        <v>18</v>
      </c>
    </row>
    <row r="853" spans="1:15" x14ac:dyDescent="0.25">
      <c r="A853" s="14">
        <v>16751</v>
      </c>
      <c r="B853" s="18" t="s">
        <v>36</v>
      </c>
      <c r="C853" s="18" t="s">
        <v>39</v>
      </c>
      <c r="D853" s="6">
        <v>60000</v>
      </c>
      <c r="E853" s="18" t="str" cm="1">
        <f t="array" ref="E853">_xlfn.IFS(Cleaned_Working_Sheet!$D853&lt;=50000,"Low Income",Cleaned_Working_Sheet!$D853&lt;100000,"Middle Income",TRUE,"High Income")</f>
        <v>Middle Income</v>
      </c>
      <c r="F853" s="16">
        <v>0</v>
      </c>
      <c r="G853" s="18" t="s">
        <v>19</v>
      </c>
      <c r="H853" s="18" t="s">
        <v>14</v>
      </c>
      <c r="I853" s="18" t="s">
        <v>15</v>
      </c>
      <c r="J853" s="16">
        <v>1</v>
      </c>
      <c r="K853" s="18" t="s">
        <v>23</v>
      </c>
      <c r="L853" s="18" t="s">
        <v>32</v>
      </c>
      <c r="M853" s="14">
        <v>32</v>
      </c>
      <c r="N853" s="18" t="str" cm="1">
        <f t="array" ref="N853">_xlfn.IFS(Cleaned_Working_Sheet!$M853&lt;=34,"Young",Cleaned_Working_Sheet!$M853&lt;=54,"Middle-aged",Cleaned_Working_Sheet!$M853&gt;54,"Old")</f>
        <v>Young</v>
      </c>
      <c r="O853" s="18" t="s">
        <v>15</v>
      </c>
    </row>
    <row r="854" spans="1:15" x14ac:dyDescent="0.25">
      <c r="A854" s="14">
        <v>21613</v>
      </c>
      <c r="B854" s="18" t="s">
        <v>37</v>
      </c>
      <c r="C854" s="18" t="s">
        <v>39</v>
      </c>
      <c r="D854" s="6">
        <v>50000</v>
      </c>
      <c r="E854" s="18" t="str" cm="1">
        <f t="array" ref="E854">_xlfn.IFS(Cleaned_Working_Sheet!$D854&lt;=50000,"Low Income",Cleaned_Working_Sheet!$D854&lt;100000,"Middle Income",TRUE,"High Income")</f>
        <v>Low Income</v>
      </c>
      <c r="F854" s="16">
        <v>2</v>
      </c>
      <c r="G854" s="18" t="s">
        <v>13</v>
      </c>
      <c r="H854" s="18" t="s">
        <v>14</v>
      </c>
      <c r="I854" s="18" t="s">
        <v>18</v>
      </c>
      <c r="J854" s="16">
        <v>1</v>
      </c>
      <c r="K854" s="18" t="s">
        <v>16</v>
      </c>
      <c r="L854" s="18" t="s">
        <v>32</v>
      </c>
      <c r="M854" s="14">
        <v>39</v>
      </c>
      <c r="N854" s="18" t="str" cm="1">
        <f t="array" ref="N854">_xlfn.IFS(Cleaned_Working_Sheet!$M854&lt;=34,"Young",Cleaned_Working_Sheet!$M854&lt;=54,"Middle-aged",Cleaned_Working_Sheet!$M854&gt;54,"Old")</f>
        <v>Middle-aged</v>
      </c>
      <c r="O854" s="18" t="s">
        <v>15</v>
      </c>
    </row>
    <row r="855" spans="1:15" x14ac:dyDescent="0.25">
      <c r="A855" s="14">
        <v>24801</v>
      </c>
      <c r="B855" s="18" t="s">
        <v>37</v>
      </c>
      <c r="C855" s="18" t="s">
        <v>39</v>
      </c>
      <c r="D855" s="6">
        <v>60000</v>
      </c>
      <c r="E855" s="18" t="str" cm="1">
        <f t="array" ref="E855">_xlfn.IFS(Cleaned_Working_Sheet!$D855&lt;=50000,"Low Income",Cleaned_Working_Sheet!$D855&lt;100000,"Middle Income",TRUE,"High Income")</f>
        <v>Middle Income</v>
      </c>
      <c r="F855" s="16">
        <v>1</v>
      </c>
      <c r="G855" s="18" t="s">
        <v>31</v>
      </c>
      <c r="H855" s="18" t="s">
        <v>21</v>
      </c>
      <c r="I855" s="18" t="s">
        <v>15</v>
      </c>
      <c r="J855" s="16">
        <v>0</v>
      </c>
      <c r="K855" s="18" t="s">
        <v>22</v>
      </c>
      <c r="L855" s="18" t="s">
        <v>32</v>
      </c>
      <c r="M855" s="14">
        <v>35</v>
      </c>
      <c r="N855" s="18" t="str" cm="1">
        <f t="array" ref="N855">_xlfn.IFS(Cleaned_Working_Sheet!$M855&lt;=34,"Young",Cleaned_Working_Sheet!$M855&lt;=54,"Middle-aged",Cleaned_Working_Sheet!$M855&gt;54,"Old")</f>
        <v>Middle-aged</v>
      </c>
      <c r="O855" s="18" t="s">
        <v>15</v>
      </c>
    </row>
    <row r="856" spans="1:15" x14ac:dyDescent="0.25">
      <c r="A856" s="14">
        <v>17519</v>
      </c>
      <c r="B856" s="18" t="s">
        <v>36</v>
      </c>
      <c r="C856" s="18" t="s">
        <v>38</v>
      </c>
      <c r="D856" s="6">
        <v>60000</v>
      </c>
      <c r="E856" s="18" t="str" cm="1">
        <f t="array" ref="E856">_xlfn.IFS(Cleaned_Working_Sheet!$D856&lt;=50000,"Low Income",Cleaned_Working_Sheet!$D856&lt;100000,"Middle Income",TRUE,"High Income")</f>
        <v>Middle Income</v>
      </c>
      <c r="F856" s="16">
        <v>0</v>
      </c>
      <c r="G856" s="18" t="s">
        <v>19</v>
      </c>
      <c r="H856" s="18" t="s">
        <v>21</v>
      </c>
      <c r="I856" s="18" t="s">
        <v>15</v>
      </c>
      <c r="J856" s="16">
        <v>2</v>
      </c>
      <c r="K856" s="18" t="s">
        <v>23</v>
      </c>
      <c r="L856" s="18" t="s">
        <v>32</v>
      </c>
      <c r="M856" s="14">
        <v>32</v>
      </c>
      <c r="N856" s="18" t="str" cm="1">
        <f t="array" ref="N856">_xlfn.IFS(Cleaned_Working_Sheet!$M856&lt;=34,"Young",Cleaned_Working_Sheet!$M856&lt;=54,"Middle-aged",Cleaned_Working_Sheet!$M856&gt;54,"Old")</f>
        <v>Young</v>
      </c>
      <c r="O856" s="18" t="s">
        <v>18</v>
      </c>
    </row>
    <row r="857" spans="1:15" x14ac:dyDescent="0.25">
      <c r="A857" s="14">
        <v>18347</v>
      </c>
      <c r="B857" s="18" t="s">
        <v>37</v>
      </c>
      <c r="C857" s="18" t="s">
        <v>38</v>
      </c>
      <c r="D857" s="6">
        <v>30000</v>
      </c>
      <c r="E857" s="18" t="str" cm="1">
        <f t="array" ref="E857">_xlfn.IFS(Cleaned_Working_Sheet!$D857&lt;=50000,"Low Income",Cleaned_Working_Sheet!$D857&lt;100000,"Middle Income",TRUE,"High Income")</f>
        <v>Low Income</v>
      </c>
      <c r="F857" s="16">
        <v>0</v>
      </c>
      <c r="G857" s="18" t="s">
        <v>19</v>
      </c>
      <c r="H857" s="18" t="s">
        <v>14</v>
      </c>
      <c r="I857" s="18" t="s">
        <v>18</v>
      </c>
      <c r="J857" s="16">
        <v>1</v>
      </c>
      <c r="K857" s="18" t="s">
        <v>26</v>
      </c>
      <c r="L857" s="18" t="s">
        <v>32</v>
      </c>
      <c r="M857" s="14">
        <v>31</v>
      </c>
      <c r="N857" s="18" t="str" cm="1">
        <f t="array" ref="N857">_xlfn.IFS(Cleaned_Working_Sheet!$M857&lt;=34,"Young",Cleaned_Working_Sheet!$M857&lt;=54,"Middle-aged",Cleaned_Working_Sheet!$M857&gt;54,"Old")</f>
        <v>Young</v>
      </c>
      <c r="O857" s="18" t="s">
        <v>18</v>
      </c>
    </row>
    <row r="858" spans="1:15" x14ac:dyDescent="0.25">
      <c r="A858" s="14">
        <v>29052</v>
      </c>
      <c r="B858" s="18" t="s">
        <v>37</v>
      </c>
      <c r="C858" s="18" t="s">
        <v>39</v>
      </c>
      <c r="D858" s="6">
        <v>40000</v>
      </c>
      <c r="E858" s="18" t="str" cm="1">
        <f t="array" ref="E858">_xlfn.IFS(Cleaned_Working_Sheet!$D858&lt;=50000,"Low Income",Cleaned_Working_Sheet!$D858&lt;100000,"Middle Income",TRUE,"High Income")</f>
        <v>Low Income</v>
      </c>
      <c r="F858" s="16">
        <v>0</v>
      </c>
      <c r="G858" s="18" t="s">
        <v>19</v>
      </c>
      <c r="H858" s="18" t="s">
        <v>14</v>
      </c>
      <c r="I858" s="18" t="s">
        <v>15</v>
      </c>
      <c r="J858" s="16">
        <v>1</v>
      </c>
      <c r="K858" s="18" t="s">
        <v>23</v>
      </c>
      <c r="L858" s="18" t="s">
        <v>32</v>
      </c>
      <c r="M858" s="14">
        <v>27</v>
      </c>
      <c r="N858" s="18" t="str" cm="1">
        <f t="array" ref="N858">_xlfn.IFS(Cleaned_Working_Sheet!$M858&lt;=34,"Young",Cleaned_Working_Sheet!$M858&lt;=54,"Middle-aged",Cleaned_Working_Sheet!$M858&gt;54,"Old")</f>
        <v>Young</v>
      </c>
      <c r="O858" s="18" t="s">
        <v>18</v>
      </c>
    </row>
    <row r="859" spans="1:15" x14ac:dyDescent="0.25">
      <c r="A859" s="14">
        <v>11745</v>
      </c>
      <c r="B859" s="18" t="s">
        <v>36</v>
      </c>
      <c r="C859" s="18" t="s">
        <v>38</v>
      </c>
      <c r="D859" s="6">
        <v>60000</v>
      </c>
      <c r="E859" s="18" t="str" cm="1">
        <f t="array" ref="E859">_xlfn.IFS(Cleaned_Working_Sheet!$D859&lt;=50000,"Low Income",Cleaned_Working_Sheet!$D859&lt;100000,"Middle Income",TRUE,"High Income")</f>
        <v>Middle Income</v>
      </c>
      <c r="F859" s="16">
        <v>1</v>
      </c>
      <c r="G859" s="18" t="s">
        <v>13</v>
      </c>
      <c r="H859" s="18" t="s">
        <v>21</v>
      </c>
      <c r="I859" s="18" t="s">
        <v>15</v>
      </c>
      <c r="J859" s="16">
        <v>1</v>
      </c>
      <c r="K859" s="18" t="s">
        <v>16</v>
      </c>
      <c r="L859" s="18" t="s">
        <v>32</v>
      </c>
      <c r="M859" s="14">
        <v>47</v>
      </c>
      <c r="N859" s="18" t="str" cm="1">
        <f t="array" ref="N859">_xlfn.IFS(Cleaned_Working_Sheet!$M859&lt;=34,"Young",Cleaned_Working_Sheet!$M859&lt;=54,"Middle-aged",Cleaned_Working_Sheet!$M859&gt;54,"Old")</f>
        <v>Middle-aged</v>
      </c>
      <c r="O859" s="18" t="s">
        <v>15</v>
      </c>
    </row>
    <row r="860" spans="1:15" x14ac:dyDescent="0.25">
      <c r="A860" s="14">
        <v>19147</v>
      </c>
      <c r="B860" s="18" t="s">
        <v>36</v>
      </c>
      <c r="C860" s="18" t="s">
        <v>39</v>
      </c>
      <c r="D860" s="6">
        <v>40000</v>
      </c>
      <c r="E860" s="18" t="str" cm="1">
        <f t="array" ref="E860">_xlfn.IFS(Cleaned_Working_Sheet!$D860&lt;=50000,"Low Income",Cleaned_Working_Sheet!$D860&lt;100000,"Middle Income",TRUE,"High Income")</f>
        <v>Low Income</v>
      </c>
      <c r="F860" s="16">
        <v>0</v>
      </c>
      <c r="G860" s="18" t="s">
        <v>13</v>
      </c>
      <c r="H860" s="18" t="s">
        <v>21</v>
      </c>
      <c r="I860" s="18" t="s">
        <v>18</v>
      </c>
      <c r="J860" s="16">
        <v>1</v>
      </c>
      <c r="K860" s="18" t="s">
        <v>16</v>
      </c>
      <c r="L860" s="18" t="s">
        <v>32</v>
      </c>
      <c r="M860" s="14">
        <v>42</v>
      </c>
      <c r="N860" s="18" t="str" cm="1">
        <f t="array" ref="N860">_xlfn.IFS(Cleaned_Working_Sheet!$M860&lt;=34,"Young",Cleaned_Working_Sheet!$M860&lt;=54,"Middle-aged",Cleaned_Working_Sheet!$M860&gt;54,"Old")</f>
        <v>Middle-aged</v>
      </c>
      <c r="O860" s="18" t="s">
        <v>18</v>
      </c>
    </row>
    <row r="861" spans="1:15" x14ac:dyDescent="0.25">
      <c r="A861" s="14">
        <v>19217</v>
      </c>
      <c r="B861" s="18" t="s">
        <v>36</v>
      </c>
      <c r="C861" s="18" t="s">
        <v>39</v>
      </c>
      <c r="D861" s="6">
        <v>30000</v>
      </c>
      <c r="E861" s="18" t="str" cm="1">
        <f t="array" ref="E861">_xlfn.IFS(Cleaned_Working_Sheet!$D861&lt;=50000,"Low Income",Cleaned_Working_Sheet!$D861&lt;100000,"Middle Income",TRUE,"High Income")</f>
        <v>Low Income</v>
      </c>
      <c r="F861" s="16">
        <v>2</v>
      </c>
      <c r="G861" s="18" t="s">
        <v>27</v>
      </c>
      <c r="H861" s="18" t="s">
        <v>14</v>
      </c>
      <c r="I861" s="18" t="s">
        <v>15</v>
      </c>
      <c r="J861" s="16">
        <v>2</v>
      </c>
      <c r="K861" s="18" t="s">
        <v>26</v>
      </c>
      <c r="L861" s="18" t="s">
        <v>32</v>
      </c>
      <c r="M861" s="14">
        <v>49</v>
      </c>
      <c r="N861" s="18" t="str" cm="1">
        <f t="array" ref="N861">_xlfn.IFS(Cleaned_Working_Sheet!$M861&lt;=34,"Young",Cleaned_Working_Sheet!$M861&lt;=54,"Middle-aged",Cleaned_Working_Sheet!$M861&gt;54,"Old")</f>
        <v>Middle-aged</v>
      </c>
      <c r="O861" s="18" t="s">
        <v>18</v>
      </c>
    </row>
    <row r="862" spans="1:15" x14ac:dyDescent="0.25">
      <c r="A862" s="14">
        <v>15839</v>
      </c>
      <c r="B862" s="18" t="s">
        <v>37</v>
      </c>
      <c r="C862" s="18" t="s">
        <v>39</v>
      </c>
      <c r="D862" s="6">
        <v>30000</v>
      </c>
      <c r="E862" s="18" t="str" cm="1">
        <f t="array" ref="E862">_xlfn.IFS(Cleaned_Working_Sheet!$D862&lt;=50000,"Low Income",Cleaned_Working_Sheet!$D862&lt;100000,"Middle Income",TRUE,"High Income")</f>
        <v>Low Income</v>
      </c>
      <c r="F862" s="16">
        <v>0</v>
      </c>
      <c r="G862" s="18" t="s">
        <v>19</v>
      </c>
      <c r="H862" s="18" t="s">
        <v>14</v>
      </c>
      <c r="I862" s="18" t="s">
        <v>15</v>
      </c>
      <c r="J862" s="16">
        <v>1</v>
      </c>
      <c r="K862" s="18" t="s">
        <v>23</v>
      </c>
      <c r="L862" s="18" t="s">
        <v>32</v>
      </c>
      <c r="M862" s="14">
        <v>32</v>
      </c>
      <c r="N862" s="18" t="str" cm="1">
        <f t="array" ref="N862">_xlfn.IFS(Cleaned_Working_Sheet!$M862&lt;=34,"Young",Cleaned_Working_Sheet!$M862&lt;=54,"Middle-aged",Cleaned_Working_Sheet!$M862&gt;54,"Old")</f>
        <v>Young</v>
      </c>
      <c r="O862" s="18" t="s">
        <v>18</v>
      </c>
    </row>
    <row r="863" spans="1:15" x14ac:dyDescent="0.25">
      <c r="A863" s="14">
        <v>13714</v>
      </c>
      <c r="B863" s="18" t="s">
        <v>36</v>
      </c>
      <c r="C863" s="18" t="s">
        <v>38</v>
      </c>
      <c r="D863" s="6">
        <v>20000</v>
      </c>
      <c r="E863" s="18" t="str" cm="1">
        <f t="array" ref="E863">_xlfn.IFS(Cleaned_Working_Sheet!$D863&lt;=50000,"Low Income",Cleaned_Working_Sheet!$D863&lt;100000,"Middle Income",TRUE,"High Income")</f>
        <v>Low Income</v>
      </c>
      <c r="F863" s="16">
        <v>2</v>
      </c>
      <c r="G863" s="18" t="s">
        <v>27</v>
      </c>
      <c r="H863" s="18" t="s">
        <v>25</v>
      </c>
      <c r="I863" s="18" t="s">
        <v>18</v>
      </c>
      <c r="J863" s="16">
        <v>2</v>
      </c>
      <c r="K863" s="18" t="s">
        <v>26</v>
      </c>
      <c r="L863" s="18" t="s">
        <v>32</v>
      </c>
      <c r="M863" s="14">
        <v>53</v>
      </c>
      <c r="N863" s="18" t="str" cm="1">
        <f t="array" ref="N863">_xlfn.IFS(Cleaned_Working_Sheet!$M863&lt;=34,"Young",Cleaned_Working_Sheet!$M863&lt;=54,"Middle-aged",Cleaned_Working_Sheet!$M863&gt;54,"Old")</f>
        <v>Middle-aged</v>
      </c>
      <c r="O863" s="18" t="s">
        <v>15</v>
      </c>
    </row>
    <row r="864" spans="1:15" x14ac:dyDescent="0.25">
      <c r="A864" s="14">
        <v>22330</v>
      </c>
      <c r="B864" s="18" t="s">
        <v>36</v>
      </c>
      <c r="C864" s="18" t="s">
        <v>39</v>
      </c>
      <c r="D864" s="6">
        <v>50000</v>
      </c>
      <c r="E864" s="18" t="str" cm="1">
        <f t="array" ref="E864">_xlfn.IFS(Cleaned_Working_Sheet!$D864&lt;=50000,"Low Income",Cleaned_Working_Sheet!$D864&lt;100000,"Middle Income",TRUE,"High Income")</f>
        <v>Low Income</v>
      </c>
      <c r="F864" s="16">
        <v>0</v>
      </c>
      <c r="G864" s="18" t="s">
        <v>31</v>
      </c>
      <c r="H864" s="18" t="s">
        <v>14</v>
      </c>
      <c r="I864" s="18" t="s">
        <v>15</v>
      </c>
      <c r="J864" s="16">
        <v>0</v>
      </c>
      <c r="K864" s="18" t="s">
        <v>26</v>
      </c>
      <c r="L864" s="18" t="s">
        <v>32</v>
      </c>
      <c r="M864" s="14">
        <v>32</v>
      </c>
      <c r="N864" s="18" t="str" cm="1">
        <f t="array" ref="N864">_xlfn.IFS(Cleaned_Working_Sheet!$M864&lt;=34,"Young",Cleaned_Working_Sheet!$M864&lt;=54,"Middle-aged",Cleaned_Working_Sheet!$M864&gt;54,"Old")</f>
        <v>Young</v>
      </c>
      <c r="O864" s="18" t="s">
        <v>15</v>
      </c>
    </row>
    <row r="865" spans="1:15" x14ac:dyDescent="0.25">
      <c r="A865" s="14">
        <v>18783</v>
      </c>
      <c r="B865" s="18" t="s">
        <v>37</v>
      </c>
      <c r="C865" s="18" t="s">
        <v>39</v>
      </c>
      <c r="D865" s="6">
        <v>80000</v>
      </c>
      <c r="E865" s="18" t="str" cm="1">
        <f t="array" ref="E865">_xlfn.IFS(Cleaned_Working_Sheet!$D865&lt;=50000,"Low Income",Cleaned_Working_Sheet!$D865&lt;100000,"Middle Income",TRUE,"High Income")</f>
        <v>Middle Income</v>
      </c>
      <c r="F865" s="16">
        <v>0</v>
      </c>
      <c r="G865" s="18" t="s">
        <v>13</v>
      </c>
      <c r="H865" s="18" t="s">
        <v>28</v>
      </c>
      <c r="I865" s="18" t="s">
        <v>18</v>
      </c>
      <c r="J865" s="16">
        <v>1</v>
      </c>
      <c r="K865" s="18" t="s">
        <v>16</v>
      </c>
      <c r="L865" s="18" t="s">
        <v>32</v>
      </c>
      <c r="M865" s="14">
        <v>38</v>
      </c>
      <c r="N865" s="18" t="str" cm="1">
        <f t="array" ref="N865">_xlfn.IFS(Cleaned_Working_Sheet!$M865&lt;=34,"Young",Cleaned_Working_Sheet!$M865&lt;=54,"Middle-aged",Cleaned_Working_Sheet!$M865&gt;54,"Old")</f>
        <v>Middle-aged</v>
      </c>
      <c r="O865" s="18" t="s">
        <v>15</v>
      </c>
    </row>
    <row r="866" spans="1:15" x14ac:dyDescent="0.25">
      <c r="A866" s="14">
        <v>25041</v>
      </c>
      <c r="B866" s="18" t="s">
        <v>37</v>
      </c>
      <c r="C866" s="18" t="s">
        <v>39</v>
      </c>
      <c r="D866" s="6">
        <v>40000</v>
      </c>
      <c r="E866" s="18" t="str" cm="1">
        <f t="array" ref="E866">_xlfn.IFS(Cleaned_Working_Sheet!$D866&lt;=50000,"Low Income",Cleaned_Working_Sheet!$D866&lt;100000,"Middle Income",TRUE,"High Income")</f>
        <v>Low Income</v>
      </c>
      <c r="F866" s="16">
        <v>0</v>
      </c>
      <c r="G866" s="18" t="s">
        <v>27</v>
      </c>
      <c r="H866" s="18" t="s">
        <v>14</v>
      </c>
      <c r="I866" s="18" t="s">
        <v>15</v>
      </c>
      <c r="J866" s="16">
        <v>2</v>
      </c>
      <c r="K866" s="18" t="s">
        <v>23</v>
      </c>
      <c r="L866" s="18" t="s">
        <v>32</v>
      </c>
      <c r="M866" s="14">
        <v>31</v>
      </c>
      <c r="N866" s="18" t="str" cm="1">
        <f t="array" ref="N866">_xlfn.IFS(Cleaned_Working_Sheet!$M866&lt;=34,"Young",Cleaned_Working_Sheet!$M866&lt;=54,"Middle-aged",Cleaned_Working_Sheet!$M866&gt;54,"Old")</f>
        <v>Young</v>
      </c>
      <c r="O866" s="18" t="s">
        <v>18</v>
      </c>
    </row>
    <row r="867" spans="1:15" x14ac:dyDescent="0.25">
      <c r="A867" s="14">
        <v>22046</v>
      </c>
      <c r="B867" s="18" t="s">
        <v>37</v>
      </c>
      <c r="C867" s="18" t="s">
        <v>38</v>
      </c>
      <c r="D867" s="6">
        <v>80000</v>
      </c>
      <c r="E867" s="18" t="str" cm="1">
        <f t="array" ref="E867">_xlfn.IFS(Cleaned_Working_Sheet!$D867&lt;=50000,"Low Income",Cleaned_Working_Sheet!$D867&lt;100000,"Middle Income",TRUE,"High Income")</f>
        <v>Middle Income</v>
      </c>
      <c r="F867" s="16">
        <v>0</v>
      </c>
      <c r="G867" s="18" t="s">
        <v>13</v>
      </c>
      <c r="H867" s="18" t="s">
        <v>28</v>
      </c>
      <c r="I867" s="18" t="s">
        <v>18</v>
      </c>
      <c r="J867" s="16">
        <v>1</v>
      </c>
      <c r="K867" s="18" t="s">
        <v>16</v>
      </c>
      <c r="L867" s="18" t="s">
        <v>32</v>
      </c>
      <c r="M867" s="14">
        <v>38</v>
      </c>
      <c r="N867" s="18" t="str" cm="1">
        <f t="array" ref="N867">_xlfn.IFS(Cleaned_Working_Sheet!$M867&lt;=34,"Young",Cleaned_Working_Sheet!$M867&lt;=54,"Middle-aged",Cleaned_Working_Sheet!$M867&gt;54,"Old")</f>
        <v>Middle-aged</v>
      </c>
      <c r="O867" s="18" t="s">
        <v>15</v>
      </c>
    </row>
    <row r="868" spans="1:15" x14ac:dyDescent="0.25">
      <c r="A868" s="14">
        <v>28052</v>
      </c>
      <c r="B868" s="18" t="s">
        <v>36</v>
      </c>
      <c r="C868" s="18" t="s">
        <v>39</v>
      </c>
      <c r="D868" s="6">
        <v>60000</v>
      </c>
      <c r="E868" s="18" t="str" cm="1">
        <f t="array" ref="E868">_xlfn.IFS(Cleaned_Working_Sheet!$D868&lt;=50000,"Low Income",Cleaned_Working_Sheet!$D868&lt;100000,"Middle Income",TRUE,"High Income")</f>
        <v>Middle Income</v>
      </c>
      <c r="F868" s="16">
        <v>2</v>
      </c>
      <c r="G868" s="18" t="s">
        <v>27</v>
      </c>
      <c r="H868" s="18" t="s">
        <v>21</v>
      </c>
      <c r="I868" s="18" t="s">
        <v>15</v>
      </c>
      <c r="J868" s="16">
        <v>2</v>
      </c>
      <c r="K868" s="18" t="s">
        <v>43</v>
      </c>
      <c r="L868" s="18" t="s">
        <v>32</v>
      </c>
      <c r="M868" s="14">
        <v>55</v>
      </c>
      <c r="N868" s="18" t="str" cm="1">
        <f t="array" ref="N868">_xlfn.IFS(Cleaned_Working_Sheet!$M868&lt;=34,"Young",Cleaned_Working_Sheet!$M868&lt;=54,"Middle-aged",Cleaned_Working_Sheet!$M868&gt;54,"Old")</f>
        <v>Old</v>
      </c>
      <c r="O868" s="18" t="s">
        <v>18</v>
      </c>
    </row>
    <row r="869" spans="1:15" x14ac:dyDescent="0.25">
      <c r="A869" s="14">
        <v>26693</v>
      </c>
      <c r="B869" s="18" t="s">
        <v>36</v>
      </c>
      <c r="C869" s="18" t="s">
        <v>39</v>
      </c>
      <c r="D869" s="6">
        <v>70000</v>
      </c>
      <c r="E869" s="18" t="str" cm="1">
        <f t="array" ref="E869">_xlfn.IFS(Cleaned_Working_Sheet!$D869&lt;=50000,"Low Income",Cleaned_Working_Sheet!$D869&lt;100000,"Middle Income",TRUE,"High Income")</f>
        <v>Middle Income</v>
      </c>
      <c r="F869" s="16">
        <v>3</v>
      </c>
      <c r="G869" s="18" t="s">
        <v>19</v>
      </c>
      <c r="H869" s="18" t="s">
        <v>21</v>
      </c>
      <c r="I869" s="18" t="s">
        <v>15</v>
      </c>
      <c r="J869" s="16">
        <v>1</v>
      </c>
      <c r="K869" s="18" t="s">
        <v>23</v>
      </c>
      <c r="L869" s="18" t="s">
        <v>32</v>
      </c>
      <c r="M869" s="14">
        <v>49</v>
      </c>
      <c r="N869" s="18" t="str" cm="1">
        <f t="array" ref="N869">_xlfn.IFS(Cleaned_Working_Sheet!$M869&lt;=34,"Young",Cleaned_Working_Sheet!$M869&lt;=54,"Middle-aged",Cleaned_Working_Sheet!$M869&gt;54,"Old")</f>
        <v>Middle-aged</v>
      </c>
      <c r="O869" s="18" t="s">
        <v>18</v>
      </c>
    </row>
    <row r="870" spans="1:15" x14ac:dyDescent="0.25">
      <c r="A870" s="14">
        <v>24955</v>
      </c>
      <c r="B870" s="18" t="s">
        <v>37</v>
      </c>
      <c r="C870" s="18" t="s">
        <v>39</v>
      </c>
      <c r="D870" s="6">
        <v>30000</v>
      </c>
      <c r="E870" s="18" t="str" cm="1">
        <f t="array" ref="E870">_xlfn.IFS(Cleaned_Working_Sheet!$D870&lt;=50000,"Low Income",Cleaned_Working_Sheet!$D870&lt;100000,"Middle Income",TRUE,"High Income")</f>
        <v>Low Income</v>
      </c>
      <c r="F870" s="16">
        <v>5</v>
      </c>
      <c r="G870" s="18" t="s">
        <v>29</v>
      </c>
      <c r="H870" s="18" t="s">
        <v>14</v>
      </c>
      <c r="I870" s="18" t="s">
        <v>15</v>
      </c>
      <c r="J870" s="16">
        <v>3</v>
      </c>
      <c r="K870" s="18" t="s">
        <v>43</v>
      </c>
      <c r="L870" s="18" t="s">
        <v>32</v>
      </c>
      <c r="M870" s="14">
        <v>60</v>
      </c>
      <c r="N870" s="18" t="str" cm="1">
        <f t="array" ref="N870">_xlfn.IFS(Cleaned_Working_Sheet!$M870&lt;=34,"Young",Cleaned_Working_Sheet!$M870&lt;=54,"Middle-aged",Cleaned_Working_Sheet!$M870&gt;54,"Old")</f>
        <v>Old</v>
      </c>
      <c r="O870" s="18" t="s">
        <v>15</v>
      </c>
    </row>
    <row r="871" spans="1:15" x14ac:dyDescent="0.25">
      <c r="A871" s="14">
        <v>26065</v>
      </c>
      <c r="B871" s="18" t="s">
        <v>37</v>
      </c>
      <c r="C871" s="18" t="s">
        <v>38</v>
      </c>
      <c r="D871" s="6">
        <v>110000</v>
      </c>
      <c r="E871" s="18" t="str" cm="1">
        <f t="array" ref="E871">_xlfn.IFS(Cleaned_Working_Sheet!$D871&lt;=50000,"Low Income",Cleaned_Working_Sheet!$D871&lt;100000,"Middle Income",TRUE,"High Income")</f>
        <v>High Income</v>
      </c>
      <c r="F871" s="16">
        <v>3</v>
      </c>
      <c r="G871" s="18" t="s">
        <v>13</v>
      </c>
      <c r="H871" s="18" t="s">
        <v>28</v>
      </c>
      <c r="I871" s="18" t="s">
        <v>18</v>
      </c>
      <c r="J871" s="16">
        <v>4</v>
      </c>
      <c r="K871" s="18" t="s">
        <v>26</v>
      </c>
      <c r="L871" s="18" t="s">
        <v>32</v>
      </c>
      <c r="M871" s="14">
        <v>42</v>
      </c>
      <c r="N871" s="18" t="str" cm="1">
        <f t="array" ref="N871">_xlfn.IFS(Cleaned_Working_Sheet!$M871&lt;=34,"Young",Cleaned_Working_Sheet!$M871&lt;=54,"Middle-aged",Cleaned_Working_Sheet!$M871&gt;54,"Old")</f>
        <v>Middle-aged</v>
      </c>
      <c r="O871" s="18" t="s">
        <v>18</v>
      </c>
    </row>
    <row r="872" spans="1:15" x14ac:dyDescent="0.25">
      <c r="A872" s="14">
        <v>13942</v>
      </c>
      <c r="B872" s="18" t="s">
        <v>36</v>
      </c>
      <c r="C872" s="18" t="s">
        <v>39</v>
      </c>
      <c r="D872" s="6">
        <v>60000</v>
      </c>
      <c r="E872" s="18" t="str" cm="1">
        <f t="array" ref="E872">_xlfn.IFS(Cleaned_Working_Sheet!$D872&lt;=50000,"Low Income",Cleaned_Working_Sheet!$D872&lt;100000,"Middle Income",TRUE,"High Income")</f>
        <v>Middle Income</v>
      </c>
      <c r="F872" s="16">
        <v>1</v>
      </c>
      <c r="G872" s="18" t="s">
        <v>19</v>
      </c>
      <c r="H872" s="18" t="s">
        <v>14</v>
      </c>
      <c r="I872" s="18" t="s">
        <v>15</v>
      </c>
      <c r="J872" s="16">
        <v>1</v>
      </c>
      <c r="K872" s="18" t="s">
        <v>16</v>
      </c>
      <c r="L872" s="18" t="s">
        <v>32</v>
      </c>
      <c r="M872" s="14">
        <v>46</v>
      </c>
      <c r="N872" s="18" t="str" cm="1">
        <f t="array" ref="N872">_xlfn.IFS(Cleaned_Working_Sheet!$M872&lt;=34,"Young",Cleaned_Working_Sheet!$M872&lt;=54,"Middle-aged",Cleaned_Working_Sheet!$M872&gt;54,"Old")</f>
        <v>Middle-aged</v>
      </c>
      <c r="O872" s="18" t="s">
        <v>18</v>
      </c>
    </row>
    <row r="873" spans="1:15" x14ac:dyDescent="0.25">
      <c r="A873" s="14">
        <v>11219</v>
      </c>
      <c r="B873" s="18" t="s">
        <v>36</v>
      </c>
      <c r="C873" s="18" t="s">
        <v>39</v>
      </c>
      <c r="D873" s="6">
        <v>60000</v>
      </c>
      <c r="E873" s="18" t="str" cm="1">
        <f t="array" ref="E873">_xlfn.IFS(Cleaned_Working_Sheet!$D873&lt;=50000,"Low Income",Cleaned_Working_Sheet!$D873&lt;100000,"Middle Income",TRUE,"High Income")</f>
        <v>Middle Income</v>
      </c>
      <c r="F873" s="16">
        <v>2</v>
      </c>
      <c r="G873" s="18" t="s">
        <v>27</v>
      </c>
      <c r="H873" s="18" t="s">
        <v>21</v>
      </c>
      <c r="I873" s="18" t="s">
        <v>15</v>
      </c>
      <c r="J873" s="16">
        <v>2</v>
      </c>
      <c r="K873" s="18" t="s">
        <v>43</v>
      </c>
      <c r="L873" s="18" t="s">
        <v>32</v>
      </c>
      <c r="M873" s="14">
        <v>55</v>
      </c>
      <c r="N873" s="18" t="str" cm="1">
        <f t="array" ref="N873">_xlfn.IFS(Cleaned_Working_Sheet!$M873&lt;=34,"Young",Cleaned_Working_Sheet!$M873&lt;=54,"Middle-aged",Cleaned_Working_Sheet!$M873&gt;54,"Old")</f>
        <v>Old</v>
      </c>
      <c r="O873" s="18" t="s">
        <v>18</v>
      </c>
    </row>
    <row r="874" spans="1:15" x14ac:dyDescent="0.25">
      <c r="A874" s="14">
        <v>22118</v>
      </c>
      <c r="B874" s="18" t="s">
        <v>37</v>
      </c>
      <c r="C874" s="18" t="s">
        <v>38</v>
      </c>
      <c r="D874" s="6">
        <v>70000</v>
      </c>
      <c r="E874" s="18" t="str" cm="1">
        <f t="array" ref="E874">_xlfn.IFS(Cleaned_Working_Sheet!$D874&lt;=50000,"Low Income",Cleaned_Working_Sheet!$D874&lt;100000,"Middle Income",TRUE,"High Income")</f>
        <v>Middle Income</v>
      </c>
      <c r="F874" s="16">
        <v>3</v>
      </c>
      <c r="G874" s="18" t="s">
        <v>31</v>
      </c>
      <c r="H874" s="18" t="s">
        <v>28</v>
      </c>
      <c r="I874" s="18" t="s">
        <v>15</v>
      </c>
      <c r="J874" s="16">
        <v>2</v>
      </c>
      <c r="K874" s="18" t="s">
        <v>23</v>
      </c>
      <c r="L874" s="18" t="s">
        <v>32</v>
      </c>
      <c r="M874" s="14">
        <v>53</v>
      </c>
      <c r="N874" s="18" t="str" cm="1">
        <f t="array" ref="N874">_xlfn.IFS(Cleaned_Working_Sheet!$M874&lt;=34,"Young",Cleaned_Working_Sheet!$M874&lt;=54,"Middle-aged",Cleaned_Working_Sheet!$M874&gt;54,"Old")</f>
        <v>Middle-aged</v>
      </c>
      <c r="O874" s="18" t="s">
        <v>15</v>
      </c>
    </row>
    <row r="875" spans="1:15" x14ac:dyDescent="0.25">
      <c r="A875" s="14">
        <v>23197</v>
      </c>
      <c r="B875" s="18" t="s">
        <v>36</v>
      </c>
      <c r="C875" s="18" t="s">
        <v>39</v>
      </c>
      <c r="D875" s="6">
        <v>50000</v>
      </c>
      <c r="E875" s="18" t="str" cm="1">
        <f t="array" ref="E875">_xlfn.IFS(Cleaned_Working_Sheet!$D875&lt;=50000,"Low Income",Cleaned_Working_Sheet!$D875&lt;100000,"Middle Income",TRUE,"High Income")</f>
        <v>Low Income</v>
      </c>
      <c r="F875" s="16">
        <v>3</v>
      </c>
      <c r="G875" s="18" t="s">
        <v>13</v>
      </c>
      <c r="H875" s="18" t="s">
        <v>14</v>
      </c>
      <c r="I875" s="18" t="s">
        <v>15</v>
      </c>
      <c r="J875" s="16">
        <v>2</v>
      </c>
      <c r="K875" s="18" t="s">
        <v>22</v>
      </c>
      <c r="L875" s="18" t="s">
        <v>32</v>
      </c>
      <c r="M875" s="14">
        <v>40</v>
      </c>
      <c r="N875" s="18" t="str" cm="1">
        <f t="array" ref="N875">_xlfn.IFS(Cleaned_Working_Sheet!$M875&lt;=34,"Young",Cleaned_Working_Sheet!$M875&lt;=54,"Middle-aged",Cleaned_Working_Sheet!$M875&gt;54,"Old")</f>
        <v>Middle-aged</v>
      </c>
      <c r="O875" s="18" t="s">
        <v>18</v>
      </c>
    </row>
    <row r="876" spans="1:15" x14ac:dyDescent="0.25">
      <c r="A876" s="14">
        <v>14883</v>
      </c>
      <c r="B876" s="18" t="s">
        <v>36</v>
      </c>
      <c r="C876" s="18" t="s">
        <v>38</v>
      </c>
      <c r="D876" s="6">
        <v>30000</v>
      </c>
      <c r="E876" s="18" t="str" cm="1">
        <f t="array" ref="E876">_xlfn.IFS(Cleaned_Working_Sheet!$D876&lt;=50000,"Low Income",Cleaned_Working_Sheet!$D876&lt;100000,"Middle Income",TRUE,"High Income")</f>
        <v>Low Income</v>
      </c>
      <c r="F876" s="16">
        <v>1</v>
      </c>
      <c r="G876" s="18" t="s">
        <v>13</v>
      </c>
      <c r="H876" s="18" t="s">
        <v>14</v>
      </c>
      <c r="I876" s="18" t="s">
        <v>15</v>
      </c>
      <c r="J876" s="16">
        <v>1</v>
      </c>
      <c r="K876" s="18" t="s">
        <v>23</v>
      </c>
      <c r="L876" s="18" t="s">
        <v>32</v>
      </c>
      <c r="M876" s="14">
        <v>53</v>
      </c>
      <c r="N876" s="18" t="str" cm="1">
        <f t="array" ref="N876">_xlfn.IFS(Cleaned_Working_Sheet!$M876&lt;=34,"Young",Cleaned_Working_Sheet!$M876&lt;=54,"Middle-aged",Cleaned_Working_Sheet!$M876&gt;54,"Old")</f>
        <v>Middle-aged</v>
      </c>
      <c r="O876" s="18" t="s">
        <v>15</v>
      </c>
    </row>
    <row r="877" spans="1:15" x14ac:dyDescent="0.25">
      <c r="A877" s="14">
        <v>27279</v>
      </c>
      <c r="B877" s="18" t="s">
        <v>37</v>
      </c>
      <c r="C877" s="18" t="s">
        <v>38</v>
      </c>
      <c r="D877" s="6">
        <v>70000</v>
      </c>
      <c r="E877" s="18" t="str" cm="1">
        <f t="array" ref="E877">_xlfn.IFS(Cleaned_Working_Sheet!$D877&lt;=50000,"Low Income",Cleaned_Working_Sheet!$D877&lt;100000,"Middle Income",TRUE,"High Income")</f>
        <v>Middle Income</v>
      </c>
      <c r="F877" s="16">
        <v>2</v>
      </c>
      <c r="G877" s="18" t="s">
        <v>13</v>
      </c>
      <c r="H877" s="18" t="s">
        <v>14</v>
      </c>
      <c r="I877" s="18" t="s">
        <v>15</v>
      </c>
      <c r="J877" s="16">
        <v>0</v>
      </c>
      <c r="K877" s="18" t="s">
        <v>22</v>
      </c>
      <c r="L877" s="18" t="s">
        <v>32</v>
      </c>
      <c r="M877" s="14">
        <v>38</v>
      </c>
      <c r="N877" s="18" t="str" cm="1">
        <f t="array" ref="N877">_xlfn.IFS(Cleaned_Working_Sheet!$M877&lt;=34,"Young",Cleaned_Working_Sheet!$M877&lt;=54,"Middle-aged",Cleaned_Working_Sheet!$M877&gt;54,"Old")</f>
        <v>Middle-aged</v>
      </c>
      <c r="O877" s="18" t="s">
        <v>15</v>
      </c>
    </row>
    <row r="878" spans="1:15" x14ac:dyDescent="0.25">
      <c r="A878" s="14">
        <v>18322</v>
      </c>
      <c r="B878" s="18" t="s">
        <v>37</v>
      </c>
      <c r="C878" s="18" t="s">
        <v>39</v>
      </c>
      <c r="D878" s="6">
        <v>30000</v>
      </c>
      <c r="E878" s="18" t="str" cm="1">
        <f t="array" ref="E878">_xlfn.IFS(Cleaned_Working_Sheet!$D878&lt;=50000,"Low Income",Cleaned_Working_Sheet!$D878&lt;100000,"Middle Income",TRUE,"High Income")</f>
        <v>Low Income</v>
      </c>
      <c r="F878" s="16">
        <v>0</v>
      </c>
      <c r="G878" s="18" t="s">
        <v>29</v>
      </c>
      <c r="H878" s="18" t="s">
        <v>20</v>
      </c>
      <c r="I878" s="18" t="s">
        <v>18</v>
      </c>
      <c r="J878" s="16">
        <v>2</v>
      </c>
      <c r="K878" s="18" t="s">
        <v>16</v>
      </c>
      <c r="L878" s="18" t="s">
        <v>32</v>
      </c>
      <c r="M878" s="14">
        <v>26</v>
      </c>
      <c r="N878" s="18" t="str" cm="1">
        <f t="array" ref="N878">_xlfn.IFS(Cleaned_Working_Sheet!$M878&lt;=34,"Young",Cleaned_Working_Sheet!$M878&lt;=54,"Middle-aged",Cleaned_Working_Sheet!$M878&gt;54,"Old")</f>
        <v>Young</v>
      </c>
      <c r="O878" s="18" t="s">
        <v>18</v>
      </c>
    </row>
    <row r="879" spans="1:15" x14ac:dyDescent="0.25">
      <c r="A879" s="14">
        <v>15879</v>
      </c>
      <c r="B879" s="18" t="s">
        <v>36</v>
      </c>
      <c r="C879" s="18" t="s">
        <v>39</v>
      </c>
      <c r="D879" s="6">
        <v>70000</v>
      </c>
      <c r="E879" s="18" t="str" cm="1">
        <f t="array" ref="E879">_xlfn.IFS(Cleaned_Working_Sheet!$D879&lt;=50000,"Low Income",Cleaned_Working_Sheet!$D879&lt;100000,"Middle Income",TRUE,"High Income")</f>
        <v>Middle Income</v>
      </c>
      <c r="F879" s="16">
        <v>5</v>
      </c>
      <c r="G879" s="18" t="s">
        <v>13</v>
      </c>
      <c r="H879" s="18" t="s">
        <v>28</v>
      </c>
      <c r="I879" s="18" t="s">
        <v>15</v>
      </c>
      <c r="J879" s="16">
        <v>2</v>
      </c>
      <c r="K879" s="18" t="s">
        <v>22</v>
      </c>
      <c r="L879" s="18" t="s">
        <v>32</v>
      </c>
      <c r="M879" s="14">
        <v>61</v>
      </c>
      <c r="N879" s="18" t="str" cm="1">
        <f t="array" ref="N879">_xlfn.IFS(Cleaned_Working_Sheet!$M879&lt;=34,"Young",Cleaned_Working_Sheet!$M879&lt;=54,"Middle-aged",Cleaned_Working_Sheet!$M879&gt;54,"Old")</f>
        <v>Old</v>
      </c>
      <c r="O879" s="18" t="s">
        <v>18</v>
      </c>
    </row>
    <row r="880" spans="1:15" x14ac:dyDescent="0.25">
      <c r="A880" s="14">
        <v>28278</v>
      </c>
      <c r="B880" s="18" t="s">
        <v>36</v>
      </c>
      <c r="C880" s="18" t="s">
        <v>39</v>
      </c>
      <c r="D880" s="6">
        <v>50000</v>
      </c>
      <c r="E880" s="18" t="str" cm="1">
        <f t="array" ref="E880">_xlfn.IFS(Cleaned_Working_Sheet!$D880&lt;=50000,"Low Income",Cleaned_Working_Sheet!$D880&lt;100000,"Middle Income",TRUE,"High Income")</f>
        <v>Low Income</v>
      </c>
      <c r="F880" s="16">
        <v>2</v>
      </c>
      <c r="G880" s="18" t="s">
        <v>31</v>
      </c>
      <c r="H880" s="18" t="s">
        <v>28</v>
      </c>
      <c r="I880" s="18" t="s">
        <v>15</v>
      </c>
      <c r="J880" s="16">
        <v>2</v>
      </c>
      <c r="K880" s="18" t="s">
        <v>23</v>
      </c>
      <c r="L880" s="18" t="s">
        <v>32</v>
      </c>
      <c r="M880" s="14">
        <v>71</v>
      </c>
      <c r="N880" s="18" t="str" cm="1">
        <f t="array" ref="N880">_xlfn.IFS(Cleaned_Working_Sheet!$M880&lt;=34,"Young",Cleaned_Working_Sheet!$M880&lt;=54,"Middle-aged",Cleaned_Working_Sheet!$M880&gt;54,"Old")</f>
        <v>Old</v>
      </c>
      <c r="O880" s="18" t="s">
        <v>18</v>
      </c>
    </row>
    <row r="881" spans="1:15" x14ac:dyDescent="0.25">
      <c r="A881" s="14">
        <v>24416</v>
      </c>
      <c r="B881" s="18" t="s">
        <v>36</v>
      </c>
      <c r="C881" s="18" t="s">
        <v>39</v>
      </c>
      <c r="D881" s="6">
        <v>90000</v>
      </c>
      <c r="E881" s="18" t="str" cm="1">
        <f t="array" ref="E881">_xlfn.IFS(Cleaned_Working_Sheet!$D881&lt;=50000,"Low Income",Cleaned_Working_Sheet!$D881&lt;100000,"Middle Income",TRUE,"High Income")</f>
        <v>Middle Income</v>
      </c>
      <c r="F881" s="16">
        <v>4</v>
      </c>
      <c r="G881" s="18" t="s">
        <v>27</v>
      </c>
      <c r="H881" s="18" t="s">
        <v>21</v>
      </c>
      <c r="I881" s="18" t="s">
        <v>15</v>
      </c>
      <c r="J881" s="16">
        <v>2</v>
      </c>
      <c r="K881" s="18" t="s">
        <v>26</v>
      </c>
      <c r="L881" s="18" t="s">
        <v>32</v>
      </c>
      <c r="M881" s="14">
        <v>45</v>
      </c>
      <c r="N881" s="18" t="str" cm="1">
        <f t="array" ref="N881">_xlfn.IFS(Cleaned_Working_Sheet!$M881&lt;=34,"Young",Cleaned_Working_Sheet!$M881&lt;=54,"Middle-aged",Cleaned_Working_Sheet!$M881&gt;54,"Old")</f>
        <v>Middle-aged</v>
      </c>
      <c r="O881" s="18" t="s">
        <v>18</v>
      </c>
    </row>
    <row r="882" spans="1:15" x14ac:dyDescent="0.25">
      <c r="A882" s="14">
        <v>28066</v>
      </c>
      <c r="B882" s="18" t="s">
        <v>36</v>
      </c>
      <c r="C882" s="18" t="s">
        <v>39</v>
      </c>
      <c r="D882" s="6">
        <v>80000</v>
      </c>
      <c r="E882" s="18" t="str" cm="1">
        <f t="array" ref="E882">_xlfn.IFS(Cleaned_Working_Sheet!$D882&lt;=50000,"Low Income",Cleaned_Working_Sheet!$D882&lt;100000,"Middle Income",TRUE,"High Income")</f>
        <v>Middle Income</v>
      </c>
      <c r="F882" s="16">
        <v>2</v>
      </c>
      <c r="G882" s="18" t="s">
        <v>31</v>
      </c>
      <c r="H882" s="18" t="s">
        <v>21</v>
      </c>
      <c r="I882" s="18" t="s">
        <v>15</v>
      </c>
      <c r="J882" s="16">
        <v>0</v>
      </c>
      <c r="K882" s="18" t="s">
        <v>16</v>
      </c>
      <c r="L882" s="18" t="s">
        <v>32</v>
      </c>
      <c r="M882" s="14">
        <v>37</v>
      </c>
      <c r="N882" s="18" t="str" cm="1">
        <f t="array" ref="N882">_xlfn.IFS(Cleaned_Working_Sheet!$M882&lt;=34,"Young",Cleaned_Working_Sheet!$M882&lt;=54,"Middle-aged",Cleaned_Working_Sheet!$M882&gt;54,"Old")</f>
        <v>Middle-aged</v>
      </c>
      <c r="O882" s="18" t="s">
        <v>15</v>
      </c>
    </row>
    <row r="883" spans="1:15" x14ac:dyDescent="0.25">
      <c r="A883" s="14">
        <v>11275</v>
      </c>
      <c r="B883" s="18" t="s">
        <v>36</v>
      </c>
      <c r="C883" s="18" t="s">
        <v>38</v>
      </c>
      <c r="D883" s="6">
        <v>80000</v>
      </c>
      <c r="E883" s="18" t="str" cm="1">
        <f t="array" ref="E883">_xlfn.IFS(Cleaned_Working_Sheet!$D883&lt;=50000,"Low Income",Cleaned_Working_Sheet!$D883&lt;100000,"Middle Income",TRUE,"High Income")</f>
        <v>Middle Income</v>
      </c>
      <c r="F883" s="16">
        <v>4</v>
      </c>
      <c r="G883" s="18" t="s">
        <v>31</v>
      </c>
      <c r="H883" s="18" t="s">
        <v>28</v>
      </c>
      <c r="I883" s="18" t="s">
        <v>15</v>
      </c>
      <c r="J883" s="16">
        <v>2</v>
      </c>
      <c r="K883" s="18" t="s">
        <v>16</v>
      </c>
      <c r="L883" s="18" t="s">
        <v>32</v>
      </c>
      <c r="M883" s="14">
        <v>72</v>
      </c>
      <c r="N883" s="18" t="str" cm="1">
        <f t="array" ref="N883">_xlfn.IFS(Cleaned_Working_Sheet!$M883&lt;=34,"Young",Cleaned_Working_Sheet!$M883&lt;=54,"Middle-aged",Cleaned_Working_Sheet!$M883&gt;54,"Old")</f>
        <v>Old</v>
      </c>
      <c r="O883" s="18" t="s">
        <v>15</v>
      </c>
    </row>
    <row r="884" spans="1:15" x14ac:dyDescent="0.25">
      <c r="A884" s="14">
        <v>14872</v>
      </c>
      <c r="B884" s="18" t="s">
        <v>36</v>
      </c>
      <c r="C884" s="18" t="s">
        <v>39</v>
      </c>
      <c r="D884" s="6">
        <v>30000</v>
      </c>
      <c r="E884" s="18" t="str" cm="1">
        <f t="array" ref="E884">_xlfn.IFS(Cleaned_Working_Sheet!$D884&lt;=50000,"Low Income",Cleaned_Working_Sheet!$D884&lt;100000,"Middle Income",TRUE,"High Income")</f>
        <v>Low Income</v>
      </c>
      <c r="F884" s="16">
        <v>0</v>
      </c>
      <c r="G884" s="18" t="s">
        <v>31</v>
      </c>
      <c r="H884" s="18" t="s">
        <v>14</v>
      </c>
      <c r="I884" s="18" t="s">
        <v>15</v>
      </c>
      <c r="J884" s="16">
        <v>0</v>
      </c>
      <c r="K884" s="18" t="s">
        <v>16</v>
      </c>
      <c r="L884" s="18" t="s">
        <v>32</v>
      </c>
      <c r="M884" s="14">
        <v>32</v>
      </c>
      <c r="N884" s="18" t="str" cm="1">
        <f t="array" ref="N884">_xlfn.IFS(Cleaned_Working_Sheet!$M884&lt;=34,"Young",Cleaned_Working_Sheet!$M884&lt;=54,"Middle-aged",Cleaned_Working_Sheet!$M884&gt;54,"Old")</f>
        <v>Young</v>
      </c>
      <c r="O884" s="18" t="s">
        <v>18</v>
      </c>
    </row>
    <row r="885" spans="1:15" x14ac:dyDescent="0.25">
      <c r="A885" s="14">
        <v>16151</v>
      </c>
      <c r="B885" s="18" t="s">
        <v>36</v>
      </c>
      <c r="C885" s="18" t="s">
        <v>38</v>
      </c>
      <c r="D885" s="6">
        <v>60000</v>
      </c>
      <c r="E885" s="18" t="str" cm="1">
        <f t="array" ref="E885">_xlfn.IFS(Cleaned_Working_Sheet!$D885&lt;=50000,"Low Income",Cleaned_Working_Sheet!$D885&lt;100000,"Middle Income",TRUE,"High Income")</f>
        <v>Middle Income</v>
      </c>
      <c r="F885" s="16">
        <v>1</v>
      </c>
      <c r="G885" s="18" t="s">
        <v>13</v>
      </c>
      <c r="H885" s="18" t="s">
        <v>21</v>
      </c>
      <c r="I885" s="18" t="s">
        <v>15</v>
      </c>
      <c r="J885" s="16">
        <v>1</v>
      </c>
      <c r="K885" s="18" t="s">
        <v>22</v>
      </c>
      <c r="L885" s="18" t="s">
        <v>32</v>
      </c>
      <c r="M885" s="14">
        <v>48</v>
      </c>
      <c r="N885" s="18" t="str" cm="1">
        <f t="array" ref="N885">_xlfn.IFS(Cleaned_Working_Sheet!$M885&lt;=34,"Young",Cleaned_Working_Sheet!$M885&lt;=54,"Middle-aged",Cleaned_Working_Sheet!$M885&gt;54,"Old")</f>
        <v>Middle-aged</v>
      </c>
      <c r="O885" s="18" t="s">
        <v>15</v>
      </c>
    </row>
    <row r="886" spans="1:15" x14ac:dyDescent="0.25">
      <c r="A886" s="14">
        <v>19731</v>
      </c>
      <c r="B886" s="18" t="s">
        <v>36</v>
      </c>
      <c r="C886" s="18" t="s">
        <v>39</v>
      </c>
      <c r="D886" s="6">
        <v>80000</v>
      </c>
      <c r="E886" s="18" t="str" cm="1">
        <f t="array" ref="E886">_xlfn.IFS(Cleaned_Working_Sheet!$D886&lt;=50000,"Low Income",Cleaned_Working_Sheet!$D886&lt;100000,"Middle Income",TRUE,"High Income")</f>
        <v>Middle Income</v>
      </c>
      <c r="F886" s="16">
        <v>4</v>
      </c>
      <c r="G886" s="18" t="s">
        <v>31</v>
      </c>
      <c r="H886" s="18" t="s">
        <v>28</v>
      </c>
      <c r="I886" s="18" t="s">
        <v>15</v>
      </c>
      <c r="J886" s="16">
        <v>2</v>
      </c>
      <c r="K886" s="18" t="s">
        <v>23</v>
      </c>
      <c r="L886" s="18" t="s">
        <v>32</v>
      </c>
      <c r="M886" s="14">
        <v>68</v>
      </c>
      <c r="N886" s="18" t="str" cm="1">
        <f t="array" ref="N886">_xlfn.IFS(Cleaned_Working_Sheet!$M886&lt;=34,"Young",Cleaned_Working_Sheet!$M886&lt;=54,"Middle-aged",Cleaned_Working_Sheet!$M886&gt;54,"Old")</f>
        <v>Old</v>
      </c>
      <c r="O886" s="18" t="s">
        <v>18</v>
      </c>
    </row>
    <row r="887" spans="1:15" x14ac:dyDescent="0.25">
      <c r="A887" s="14">
        <v>23801</v>
      </c>
      <c r="B887" s="18" t="s">
        <v>36</v>
      </c>
      <c r="C887" s="18" t="s">
        <v>38</v>
      </c>
      <c r="D887" s="6">
        <v>20000</v>
      </c>
      <c r="E887" s="18" t="str" cm="1">
        <f t="array" ref="E887">_xlfn.IFS(Cleaned_Working_Sheet!$D887&lt;=50000,"Low Income",Cleaned_Working_Sheet!$D887&lt;100000,"Middle Income",TRUE,"High Income")</f>
        <v>Low Income</v>
      </c>
      <c r="F887" s="16">
        <v>2</v>
      </c>
      <c r="G887" s="18" t="s">
        <v>29</v>
      </c>
      <c r="H887" s="18" t="s">
        <v>20</v>
      </c>
      <c r="I887" s="18" t="s">
        <v>15</v>
      </c>
      <c r="J887" s="16">
        <v>2</v>
      </c>
      <c r="K887" s="18" t="s">
        <v>16</v>
      </c>
      <c r="L887" s="18" t="s">
        <v>32</v>
      </c>
      <c r="M887" s="14">
        <v>49</v>
      </c>
      <c r="N887" s="18" t="str" cm="1">
        <f t="array" ref="N887">_xlfn.IFS(Cleaned_Working_Sheet!$M887&lt;=34,"Young",Cleaned_Working_Sheet!$M887&lt;=54,"Middle-aged",Cleaned_Working_Sheet!$M887&gt;54,"Old")</f>
        <v>Middle-aged</v>
      </c>
      <c r="O887" s="18" t="s">
        <v>18</v>
      </c>
    </row>
    <row r="888" spans="1:15" x14ac:dyDescent="0.25">
      <c r="A888" s="14">
        <v>11807</v>
      </c>
      <c r="B888" s="18" t="s">
        <v>36</v>
      </c>
      <c r="C888" s="18" t="s">
        <v>39</v>
      </c>
      <c r="D888" s="6">
        <v>70000</v>
      </c>
      <c r="E888" s="18" t="str" cm="1">
        <f t="array" ref="E888">_xlfn.IFS(Cleaned_Working_Sheet!$D888&lt;=50000,"Low Income",Cleaned_Working_Sheet!$D888&lt;100000,"Middle Income",TRUE,"High Income")</f>
        <v>Middle Income</v>
      </c>
      <c r="F888" s="16">
        <v>3</v>
      </c>
      <c r="G888" s="18" t="s">
        <v>31</v>
      </c>
      <c r="H888" s="18" t="s">
        <v>21</v>
      </c>
      <c r="I888" s="18" t="s">
        <v>15</v>
      </c>
      <c r="J888" s="16">
        <v>0</v>
      </c>
      <c r="K888" s="18" t="s">
        <v>22</v>
      </c>
      <c r="L888" s="18" t="s">
        <v>32</v>
      </c>
      <c r="M888" s="14">
        <v>34</v>
      </c>
      <c r="N888" s="18" t="str" cm="1">
        <f t="array" ref="N888">_xlfn.IFS(Cleaned_Working_Sheet!$M888&lt;=34,"Young",Cleaned_Working_Sheet!$M888&lt;=54,"Middle-aged",Cleaned_Working_Sheet!$M888&gt;54,"Old")</f>
        <v>Young</v>
      </c>
      <c r="O888" s="18" t="s">
        <v>18</v>
      </c>
    </row>
    <row r="889" spans="1:15" x14ac:dyDescent="0.25">
      <c r="A889" s="14">
        <v>11622</v>
      </c>
      <c r="B889" s="18" t="s">
        <v>36</v>
      </c>
      <c r="C889" s="18" t="s">
        <v>39</v>
      </c>
      <c r="D889" s="6">
        <v>50000</v>
      </c>
      <c r="E889" s="18" t="str" cm="1">
        <f t="array" ref="E889">_xlfn.IFS(Cleaned_Working_Sheet!$D889&lt;=50000,"Low Income",Cleaned_Working_Sheet!$D889&lt;100000,"Middle Income",TRUE,"High Income")</f>
        <v>Low Income</v>
      </c>
      <c r="F889" s="16">
        <v>0</v>
      </c>
      <c r="G889" s="18" t="s">
        <v>31</v>
      </c>
      <c r="H889" s="18" t="s">
        <v>14</v>
      </c>
      <c r="I889" s="18" t="s">
        <v>15</v>
      </c>
      <c r="J889" s="16">
        <v>0</v>
      </c>
      <c r="K889" s="18" t="s">
        <v>16</v>
      </c>
      <c r="L889" s="18" t="s">
        <v>32</v>
      </c>
      <c r="M889" s="14">
        <v>32</v>
      </c>
      <c r="N889" s="18" t="str" cm="1">
        <f t="array" ref="N889">_xlfn.IFS(Cleaned_Working_Sheet!$M889&lt;=34,"Young",Cleaned_Working_Sheet!$M889&lt;=54,"Middle-aged",Cleaned_Working_Sheet!$M889&gt;54,"Old")</f>
        <v>Young</v>
      </c>
      <c r="O889" s="18" t="s">
        <v>18</v>
      </c>
    </row>
    <row r="890" spans="1:15" x14ac:dyDescent="0.25">
      <c r="A890" s="14">
        <v>26597</v>
      </c>
      <c r="B890" s="18" t="s">
        <v>37</v>
      </c>
      <c r="C890" s="18" t="s">
        <v>38</v>
      </c>
      <c r="D890" s="6">
        <v>60000</v>
      </c>
      <c r="E890" s="18" t="str" cm="1">
        <f t="array" ref="E890">_xlfn.IFS(Cleaned_Working_Sheet!$D890&lt;=50000,"Low Income",Cleaned_Working_Sheet!$D890&lt;100000,"Middle Income",TRUE,"High Income")</f>
        <v>Middle Income</v>
      </c>
      <c r="F890" s="16">
        <v>4</v>
      </c>
      <c r="G890" s="18" t="s">
        <v>13</v>
      </c>
      <c r="H890" s="18" t="s">
        <v>14</v>
      </c>
      <c r="I890" s="18" t="s">
        <v>18</v>
      </c>
      <c r="J890" s="16">
        <v>2</v>
      </c>
      <c r="K890" s="18" t="s">
        <v>16</v>
      </c>
      <c r="L890" s="18" t="s">
        <v>32</v>
      </c>
      <c r="M890" s="14">
        <v>42</v>
      </c>
      <c r="N890" s="18" t="str" cm="1">
        <f t="array" ref="N890">_xlfn.IFS(Cleaned_Working_Sheet!$M890&lt;=34,"Young",Cleaned_Working_Sheet!$M890&lt;=54,"Middle-aged",Cleaned_Working_Sheet!$M890&gt;54,"Old")</f>
        <v>Middle-aged</v>
      </c>
      <c r="O890" s="18" t="s">
        <v>18</v>
      </c>
    </row>
    <row r="891" spans="1:15" x14ac:dyDescent="0.25">
      <c r="A891" s="14">
        <v>27074</v>
      </c>
      <c r="B891" s="18" t="s">
        <v>36</v>
      </c>
      <c r="C891" s="18" t="s">
        <v>38</v>
      </c>
      <c r="D891" s="6">
        <v>70000</v>
      </c>
      <c r="E891" s="18" t="str" cm="1">
        <f t="array" ref="E891">_xlfn.IFS(Cleaned_Working_Sheet!$D891&lt;=50000,"Low Income",Cleaned_Working_Sheet!$D891&lt;100000,"Middle Income",TRUE,"High Income")</f>
        <v>Middle Income</v>
      </c>
      <c r="F891" s="16">
        <v>1</v>
      </c>
      <c r="G891" s="18" t="s">
        <v>31</v>
      </c>
      <c r="H891" s="18" t="s">
        <v>14</v>
      </c>
      <c r="I891" s="18" t="s">
        <v>15</v>
      </c>
      <c r="J891" s="16">
        <v>0</v>
      </c>
      <c r="K891" s="18" t="s">
        <v>16</v>
      </c>
      <c r="L891" s="18" t="s">
        <v>32</v>
      </c>
      <c r="M891" s="14">
        <v>35</v>
      </c>
      <c r="N891" s="18" t="str" cm="1">
        <f t="array" ref="N891">_xlfn.IFS(Cleaned_Working_Sheet!$M891&lt;=34,"Young",Cleaned_Working_Sheet!$M891&lt;=54,"Middle-aged",Cleaned_Working_Sheet!$M891&gt;54,"Old")</f>
        <v>Middle-aged</v>
      </c>
      <c r="O891" s="18" t="s">
        <v>15</v>
      </c>
    </row>
    <row r="892" spans="1:15" x14ac:dyDescent="0.25">
      <c r="A892" s="14">
        <v>19228</v>
      </c>
      <c r="B892" s="18" t="s">
        <v>36</v>
      </c>
      <c r="C892" s="18" t="s">
        <v>38</v>
      </c>
      <c r="D892" s="6">
        <v>40000</v>
      </c>
      <c r="E892" s="18" t="str" cm="1">
        <f t="array" ref="E892">_xlfn.IFS(Cleaned_Working_Sheet!$D892&lt;=50000,"Low Income",Cleaned_Working_Sheet!$D892&lt;100000,"Middle Income",TRUE,"High Income")</f>
        <v>Low Income</v>
      </c>
      <c r="F892" s="16">
        <v>2</v>
      </c>
      <c r="G892" s="18" t="s">
        <v>19</v>
      </c>
      <c r="H892" s="18" t="s">
        <v>20</v>
      </c>
      <c r="I892" s="18" t="s">
        <v>15</v>
      </c>
      <c r="J892" s="16">
        <v>1</v>
      </c>
      <c r="K892" s="18" t="s">
        <v>16</v>
      </c>
      <c r="L892" s="18" t="s">
        <v>32</v>
      </c>
      <c r="M892" s="14">
        <v>48</v>
      </c>
      <c r="N892" s="18" t="str" cm="1">
        <f t="array" ref="N892">_xlfn.IFS(Cleaned_Working_Sheet!$M892&lt;=34,"Young",Cleaned_Working_Sheet!$M892&lt;=54,"Middle-aged",Cleaned_Working_Sheet!$M892&gt;54,"Old")</f>
        <v>Middle-aged</v>
      </c>
      <c r="O892" s="18" t="s">
        <v>18</v>
      </c>
    </row>
    <row r="893" spans="1:15" x14ac:dyDescent="0.25">
      <c r="A893" s="14">
        <v>13415</v>
      </c>
      <c r="B893" s="18" t="s">
        <v>37</v>
      </c>
      <c r="C893" s="18" t="s">
        <v>39</v>
      </c>
      <c r="D893" s="6">
        <v>100000</v>
      </c>
      <c r="E893" s="18" t="str" cm="1">
        <f t="array" ref="E893">_xlfn.IFS(Cleaned_Working_Sheet!$D893&lt;=50000,"Low Income",Cleaned_Working_Sheet!$D893&lt;100000,"Middle Income",TRUE,"High Income")</f>
        <v>High Income</v>
      </c>
      <c r="F893" s="16">
        <v>1</v>
      </c>
      <c r="G893" s="18" t="s">
        <v>31</v>
      </c>
      <c r="H893" s="18" t="s">
        <v>28</v>
      </c>
      <c r="I893" s="18" t="s">
        <v>15</v>
      </c>
      <c r="J893" s="16">
        <v>3</v>
      </c>
      <c r="K893" s="18" t="s">
        <v>22</v>
      </c>
      <c r="L893" s="18" t="s">
        <v>32</v>
      </c>
      <c r="M893" s="14">
        <v>73</v>
      </c>
      <c r="N893" s="18" t="str" cm="1">
        <f t="array" ref="N893">_xlfn.IFS(Cleaned_Working_Sheet!$M893&lt;=34,"Young",Cleaned_Working_Sheet!$M893&lt;=54,"Middle-aged",Cleaned_Working_Sheet!$M893&gt;54,"Old")</f>
        <v>Old</v>
      </c>
      <c r="O893" s="18" t="s">
        <v>15</v>
      </c>
    </row>
    <row r="894" spans="1:15" x14ac:dyDescent="0.25">
      <c r="A894" s="14">
        <v>17000</v>
      </c>
      <c r="B894" s="18" t="s">
        <v>37</v>
      </c>
      <c r="C894" s="18" t="s">
        <v>38</v>
      </c>
      <c r="D894" s="6">
        <v>70000</v>
      </c>
      <c r="E894" s="18" t="str" cm="1">
        <f t="array" ref="E894">_xlfn.IFS(Cleaned_Working_Sheet!$D894&lt;=50000,"Low Income",Cleaned_Working_Sheet!$D894&lt;100000,"Middle Income",TRUE,"High Income")</f>
        <v>Middle Income</v>
      </c>
      <c r="F894" s="16">
        <v>4</v>
      </c>
      <c r="G894" s="18" t="s">
        <v>13</v>
      </c>
      <c r="H894" s="18" t="s">
        <v>14</v>
      </c>
      <c r="I894" s="18" t="s">
        <v>15</v>
      </c>
      <c r="J894" s="16">
        <v>2</v>
      </c>
      <c r="K894" s="18" t="s">
        <v>22</v>
      </c>
      <c r="L894" s="18" t="s">
        <v>32</v>
      </c>
      <c r="M894" s="14">
        <v>43</v>
      </c>
      <c r="N894" s="18" t="str" cm="1">
        <f t="array" ref="N894">_xlfn.IFS(Cleaned_Working_Sheet!$M894&lt;=34,"Young",Cleaned_Working_Sheet!$M894&lt;=54,"Middle-aged",Cleaned_Working_Sheet!$M894&gt;54,"Old")</f>
        <v>Middle-aged</v>
      </c>
      <c r="O894" s="18" t="s">
        <v>15</v>
      </c>
    </row>
    <row r="895" spans="1:15" x14ac:dyDescent="0.25">
      <c r="A895" s="14">
        <v>14569</v>
      </c>
      <c r="B895" s="18" t="s">
        <v>36</v>
      </c>
      <c r="C895" s="18" t="s">
        <v>39</v>
      </c>
      <c r="D895" s="6">
        <v>60000</v>
      </c>
      <c r="E895" s="18" t="str" cm="1">
        <f t="array" ref="E895">_xlfn.IFS(Cleaned_Working_Sheet!$D895&lt;=50000,"Low Income",Cleaned_Working_Sheet!$D895&lt;100000,"Middle Income",TRUE,"High Income")</f>
        <v>Middle Income</v>
      </c>
      <c r="F895" s="16">
        <v>1</v>
      </c>
      <c r="G895" s="18" t="s">
        <v>31</v>
      </c>
      <c r="H895" s="18" t="s">
        <v>21</v>
      </c>
      <c r="I895" s="18" t="s">
        <v>15</v>
      </c>
      <c r="J895" s="16">
        <v>0</v>
      </c>
      <c r="K895" s="18" t="s">
        <v>16</v>
      </c>
      <c r="L895" s="18" t="s">
        <v>32</v>
      </c>
      <c r="M895" s="14">
        <v>35</v>
      </c>
      <c r="N895" s="18" t="str" cm="1">
        <f t="array" ref="N895">_xlfn.IFS(Cleaned_Working_Sheet!$M895&lt;=34,"Young",Cleaned_Working_Sheet!$M895&lt;=54,"Middle-aged",Cleaned_Working_Sheet!$M895&gt;54,"Old")</f>
        <v>Middle-aged</v>
      </c>
      <c r="O895" s="18" t="s">
        <v>18</v>
      </c>
    </row>
    <row r="896" spans="1:15" x14ac:dyDescent="0.25">
      <c r="A896" s="14">
        <v>13873</v>
      </c>
      <c r="B896" s="18" t="s">
        <v>36</v>
      </c>
      <c r="C896" s="18" t="s">
        <v>39</v>
      </c>
      <c r="D896" s="6">
        <v>70000</v>
      </c>
      <c r="E896" s="18" t="str" cm="1">
        <f t="array" ref="E896">_xlfn.IFS(Cleaned_Working_Sheet!$D896&lt;=50000,"Low Income",Cleaned_Working_Sheet!$D896&lt;100000,"Middle Income",TRUE,"High Income")</f>
        <v>Middle Income</v>
      </c>
      <c r="F896" s="16">
        <v>3</v>
      </c>
      <c r="G896" s="18" t="s">
        <v>31</v>
      </c>
      <c r="H896" s="18" t="s">
        <v>21</v>
      </c>
      <c r="I896" s="18" t="s">
        <v>15</v>
      </c>
      <c r="J896" s="16">
        <v>0</v>
      </c>
      <c r="K896" s="18" t="s">
        <v>16</v>
      </c>
      <c r="L896" s="18" t="s">
        <v>32</v>
      </c>
      <c r="M896" s="14">
        <v>35</v>
      </c>
      <c r="N896" s="18" t="str" cm="1">
        <f t="array" ref="N896">_xlfn.IFS(Cleaned_Working_Sheet!$M896&lt;=34,"Young",Cleaned_Working_Sheet!$M896&lt;=54,"Middle-aged",Cleaned_Working_Sheet!$M896&gt;54,"Old")</f>
        <v>Middle-aged</v>
      </c>
      <c r="O896" s="18" t="s">
        <v>15</v>
      </c>
    </row>
    <row r="897" spans="1:15" x14ac:dyDescent="0.25">
      <c r="A897" s="14">
        <v>20401</v>
      </c>
      <c r="B897" s="18" t="s">
        <v>36</v>
      </c>
      <c r="C897" s="18" t="s">
        <v>38</v>
      </c>
      <c r="D897" s="6">
        <v>50000</v>
      </c>
      <c r="E897" s="18" t="str" cm="1">
        <f t="array" ref="E897">_xlfn.IFS(Cleaned_Working_Sheet!$D897&lt;=50000,"Low Income",Cleaned_Working_Sheet!$D897&lt;100000,"Middle Income",TRUE,"High Income")</f>
        <v>Low Income</v>
      </c>
      <c r="F897" s="16">
        <v>4</v>
      </c>
      <c r="G897" s="18" t="s">
        <v>13</v>
      </c>
      <c r="H897" s="18" t="s">
        <v>28</v>
      </c>
      <c r="I897" s="18" t="s">
        <v>15</v>
      </c>
      <c r="J897" s="16">
        <v>2</v>
      </c>
      <c r="K897" s="18" t="s">
        <v>26</v>
      </c>
      <c r="L897" s="18" t="s">
        <v>32</v>
      </c>
      <c r="M897" s="14">
        <v>64</v>
      </c>
      <c r="N897" s="18" t="str" cm="1">
        <f t="array" ref="N897">_xlfn.IFS(Cleaned_Working_Sheet!$M897&lt;=34,"Young",Cleaned_Working_Sheet!$M897&lt;=54,"Middle-aged",Cleaned_Working_Sheet!$M897&gt;54,"Old")</f>
        <v>Old</v>
      </c>
      <c r="O897" s="18" t="s">
        <v>15</v>
      </c>
    </row>
    <row r="898" spans="1:15" x14ac:dyDescent="0.25">
      <c r="A898" s="14">
        <v>21583</v>
      </c>
      <c r="B898" s="18" t="s">
        <v>36</v>
      </c>
      <c r="C898" s="18" t="s">
        <v>38</v>
      </c>
      <c r="D898" s="6">
        <v>50000</v>
      </c>
      <c r="E898" s="18" t="str" cm="1">
        <f t="array" ref="E898">_xlfn.IFS(Cleaned_Working_Sheet!$D898&lt;=50000,"Low Income",Cleaned_Working_Sheet!$D898&lt;100000,"Middle Income",TRUE,"High Income")</f>
        <v>Low Income</v>
      </c>
      <c r="F898" s="16">
        <v>1</v>
      </c>
      <c r="G898" s="18" t="s">
        <v>13</v>
      </c>
      <c r="H898" s="18" t="s">
        <v>14</v>
      </c>
      <c r="I898" s="18" t="s">
        <v>15</v>
      </c>
      <c r="J898" s="16">
        <v>0</v>
      </c>
      <c r="K898" s="18" t="s">
        <v>16</v>
      </c>
      <c r="L898" s="18" t="s">
        <v>32</v>
      </c>
      <c r="M898" s="14">
        <v>34</v>
      </c>
      <c r="N898" s="18" t="str" cm="1">
        <f t="array" ref="N898">_xlfn.IFS(Cleaned_Working_Sheet!$M898&lt;=34,"Young",Cleaned_Working_Sheet!$M898&lt;=54,"Middle-aged",Cleaned_Working_Sheet!$M898&gt;54,"Old")</f>
        <v>Young</v>
      </c>
      <c r="O898" s="18" t="s">
        <v>15</v>
      </c>
    </row>
    <row r="899" spans="1:15" x14ac:dyDescent="0.25">
      <c r="A899" s="14">
        <v>12029</v>
      </c>
      <c r="B899" s="18" t="s">
        <v>36</v>
      </c>
      <c r="C899" s="18" t="s">
        <v>39</v>
      </c>
      <c r="D899" s="6">
        <v>30000</v>
      </c>
      <c r="E899" s="18" t="str" cm="1">
        <f t="array" ref="E899">_xlfn.IFS(Cleaned_Working_Sheet!$D899&lt;=50000,"Low Income",Cleaned_Working_Sheet!$D899&lt;100000,"Middle Income",TRUE,"High Income")</f>
        <v>Low Income</v>
      </c>
      <c r="F899" s="16">
        <v>0</v>
      </c>
      <c r="G899" s="18" t="s">
        <v>29</v>
      </c>
      <c r="H899" s="18" t="s">
        <v>20</v>
      </c>
      <c r="I899" s="18" t="s">
        <v>18</v>
      </c>
      <c r="J899" s="16">
        <v>2</v>
      </c>
      <c r="K899" s="18" t="s">
        <v>16</v>
      </c>
      <c r="L899" s="18" t="s">
        <v>32</v>
      </c>
      <c r="M899" s="14">
        <v>28</v>
      </c>
      <c r="N899" s="18" t="str" cm="1">
        <f t="array" ref="N899">_xlfn.IFS(Cleaned_Working_Sheet!$M899&lt;=34,"Young",Cleaned_Working_Sheet!$M899&lt;=54,"Middle-aged",Cleaned_Working_Sheet!$M899&gt;54,"Old")</f>
        <v>Young</v>
      </c>
      <c r="O899" s="18" t="s">
        <v>18</v>
      </c>
    </row>
    <row r="900" spans="1:15" x14ac:dyDescent="0.25">
      <c r="A900" s="14">
        <v>18066</v>
      </c>
      <c r="B900" s="18" t="s">
        <v>37</v>
      </c>
      <c r="C900" s="18" t="s">
        <v>39</v>
      </c>
      <c r="D900" s="6">
        <v>70000</v>
      </c>
      <c r="E900" s="18" t="str" cm="1">
        <f t="array" ref="E900">_xlfn.IFS(Cleaned_Working_Sheet!$D900&lt;=50000,"Low Income",Cleaned_Working_Sheet!$D900&lt;100000,"Middle Income",TRUE,"High Income")</f>
        <v>Middle Income</v>
      </c>
      <c r="F900" s="16">
        <v>5</v>
      </c>
      <c r="G900" s="18" t="s">
        <v>13</v>
      </c>
      <c r="H900" s="18" t="s">
        <v>28</v>
      </c>
      <c r="I900" s="18" t="s">
        <v>15</v>
      </c>
      <c r="J900" s="16">
        <v>3</v>
      </c>
      <c r="K900" s="18" t="s">
        <v>43</v>
      </c>
      <c r="L900" s="18" t="s">
        <v>32</v>
      </c>
      <c r="M900" s="14">
        <v>60</v>
      </c>
      <c r="N900" s="18" t="str" cm="1">
        <f t="array" ref="N900">_xlfn.IFS(Cleaned_Working_Sheet!$M900&lt;=34,"Young",Cleaned_Working_Sheet!$M900&lt;=54,"Middle-aged",Cleaned_Working_Sheet!$M900&gt;54,"Old")</f>
        <v>Old</v>
      </c>
      <c r="O900" s="18" t="s">
        <v>15</v>
      </c>
    </row>
    <row r="901" spans="1:15" x14ac:dyDescent="0.25">
      <c r="A901" s="14">
        <v>28192</v>
      </c>
      <c r="B901" s="18" t="s">
        <v>36</v>
      </c>
      <c r="C901" s="18" t="s">
        <v>38</v>
      </c>
      <c r="D901" s="6">
        <v>70000</v>
      </c>
      <c r="E901" s="18" t="str" cm="1">
        <f t="array" ref="E901">_xlfn.IFS(Cleaned_Working_Sheet!$D901&lt;=50000,"Low Income",Cleaned_Working_Sheet!$D901&lt;100000,"Middle Income",TRUE,"High Income")</f>
        <v>Middle Income</v>
      </c>
      <c r="F901" s="16">
        <v>5</v>
      </c>
      <c r="G901" s="18" t="s">
        <v>31</v>
      </c>
      <c r="H901" s="18" t="s">
        <v>21</v>
      </c>
      <c r="I901" s="18" t="s">
        <v>15</v>
      </c>
      <c r="J901" s="16">
        <v>3</v>
      </c>
      <c r="K901" s="18" t="s">
        <v>43</v>
      </c>
      <c r="L901" s="18" t="s">
        <v>32</v>
      </c>
      <c r="M901" s="14">
        <v>46</v>
      </c>
      <c r="N901" s="18" t="str" cm="1">
        <f t="array" ref="N901">_xlfn.IFS(Cleaned_Working_Sheet!$M901&lt;=34,"Young",Cleaned_Working_Sheet!$M901&lt;=54,"Middle-aged",Cleaned_Working_Sheet!$M901&gt;54,"Old")</f>
        <v>Middle-aged</v>
      </c>
      <c r="O901" s="18" t="s">
        <v>18</v>
      </c>
    </row>
    <row r="902" spans="1:15" x14ac:dyDescent="0.25">
      <c r="A902" s="14">
        <v>16122</v>
      </c>
      <c r="B902" s="18" t="s">
        <v>36</v>
      </c>
      <c r="C902" s="18" t="s">
        <v>39</v>
      </c>
      <c r="D902" s="6">
        <v>40000</v>
      </c>
      <c r="E902" s="18" t="str" cm="1">
        <f t="array" ref="E902">_xlfn.IFS(Cleaned_Working_Sheet!$D902&lt;=50000,"Low Income",Cleaned_Working_Sheet!$D902&lt;100000,"Middle Income",TRUE,"High Income")</f>
        <v>Low Income</v>
      </c>
      <c r="F902" s="16">
        <v>4</v>
      </c>
      <c r="G902" s="18" t="s">
        <v>27</v>
      </c>
      <c r="H902" s="18" t="s">
        <v>14</v>
      </c>
      <c r="I902" s="18" t="s">
        <v>15</v>
      </c>
      <c r="J902" s="16">
        <v>2</v>
      </c>
      <c r="K902" s="18" t="s">
        <v>16</v>
      </c>
      <c r="L902" s="18" t="s">
        <v>32</v>
      </c>
      <c r="M902" s="14">
        <v>44</v>
      </c>
      <c r="N902" s="18" t="str" cm="1">
        <f t="array" ref="N902">_xlfn.IFS(Cleaned_Working_Sheet!$M902&lt;=34,"Young",Cleaned_Working_Sheet!$M902&lt;=54,"Middle-aged",Cleaned_Working_Sheet!$M902&gt;54,"Old")</f>
        <v>Middle-aged</v>
      </c>
      <c r="O902" s="18" t="s">
        <v>15</v>
      </c>
    </row>
    <row r="903" spans="1:15" x14ac:dyDescent="0.25">
      <c r="A903" s="14">
        <v>18607</v>
      </c>
      <c r="B903" s="18" t="s">
        <v>37</v>
      </c>
      <c r="C903" s="18" t="s">
        <v>38</v>
      </c>
      <c r="D903" s="6">
        <v>60000</v>
      </c>
      <c r="E903" s="18" t="str" cm="1">
        <f t="array" ref="E903">_xlfn.IFS(Cleaned_Working_Sheet!$D903&lt;=50000,"Low Income",Cleaned_Working_Sheet!$D903&lt;100000,"Middle Income",TRUE,"High Income")</f>
        <v>Middle Income</v>
      </c>
      <c r="F903" s="16">
        <v>4</v>
      </c>
      <c r="G903" s="18" t="s">
        <v>13</v>
      </c>
      <c r="H903" s="18" t="s">
        <v>14</v>
      </c>
      <c r="I903" s="18" t="s">
        <v>15</v>
      </c>
      <c r="J903" s="16">
        <v>2</v>
      </c>
      <c r="K903" s="18" t="s">
        <v>22</v>
      </c>
      <c r="L903" s="18" t="s">
        <v>32</v>
      </c>
      <c r="M903" s="14">
        <v>42</v>
      </c>
      <c r="N903" s="18" t="str" cm="1">
        <f t="array" ref="N903">_xlfn.IFS(Cleaned_Working_Sheet!$M903&lt;=34,"Young",Cleaned_Working_Sheet!$M903&lt;=54,"Middle-aged",Cleaned_Working_Sheet!$M903&gt;54,"Old")</f>
        <v>Middle-aged</v>
      </c>
      <c r="O903" s="18" t="s">
        <v>15</v>
      </c>
    </row>
    <row r="904" spans="1:15" x14ac:dyDescent="0.25">
      <c r="A904" s="14">
        <v>28858</v>
      </c>
      <c r="B904" s="18" t="s">
        <v>37</v>
      </c>
      <c r="C904" s="18" t="s">
        <v>39</v>
      </c>
      <c r="D904" s="6">
        <v>80000</v>
      </c>
      <c r="E904" s="18" t="str" cm="1">
        <f t="array" ref="E904">_xlfn.IFS(Cleaned_Working_Sheet!$D904&lt;=50000,"Low Income",Cleaned_Working_Sheet!$D904&lt;100000,"Middle Income",TRUE,"High Income")</f>
        <v>Middle Income</v>
      </c>
      <c r="F904" s="16">
        <v>3</v>
      </c>
      <c r="G904" s="18" t="s">
        <v>13</v>
      </c>
      <c r="H904" s="18" t="s">
        <v>14</v>
      </c>
      <c r="I904" s="18" t="s">
        <v>15</v>
      </c>
      <c r="J904" s="16">
        <v>0</v>
      </c>
      <c r="K904" s="18" t="s">
        <v>22</v>
      </c>
      <c r="L904" s="18" t="s">
        <v>32</v>
      </c>
      <c r="M904" s="14">
        <v>40</v>
      </c>
      <c r="N904" s="18" t="str" cm="1">
        <f t="array" ref="N904">_xlfn.IFS(Cleaned_Working_Sheet!$M904&lt;=34,"Young",Cleaned_Working_Sheet!$M904&lt;=54,"Middle-aged",Cleaned_Working_Sheet!$M904&gt;54,"Old")</f>
        <v>Middle-aged</v>
      </c>
      <c r="O904" s="18" t="s">
        <v>18</v>
      </c>
    </row>
    <row r="905" spans="1:15" x14ac:dyDescent="0.25">
      <c r="A905" s="14">
        <v>14432</v>
      </c>
      <c r="B905" s="18" t="s">
        <v>37</v>
      </c>
      <c r="C905" s="18" t="s">
        <v>39</v>
      </c>
      <c r="D905" s="6">
        <v>90000</v>
      </c>
      <c r="E905" s="18" t="str" cm="1">
        <f t="array" ref="E905">_xlfn.IFS(Cleaned_Working_Sheet!$D905&lt;=50000,"Low Income",Cleaned_Working_Sheet!$D905&lt;100000,"Middle Income",TRUE,"High Income")</f>
        <v>Middle Income</v>
      </c>
      <c r="F905" s="16">
        <v>4</v>
      </c>
      <c r="G905" s="18" t="s">
        <v>31</v>
      </c>
      <c r="H905" s="18" t="s">
        <v>28</v>
      </c>
      <c r="I905" s="18" t="s">
        <v>15</v>
      </c>
      <c r="J905" s="16">
        <v>1</v>
      </c>
      <c r="K905" s="18" t="s">
        <v>23</v>
      </c>
      <c r="L905" s="18" t="s">
        <v>32</v>
      </c>
      <c r="M905" s="14">
        <v>73</v>
      </c>
      <c r="N905" s="18" t="str" cm="1">
        <f t="array" ref="N905">_xlfn.IFS(Cleaned_Working_Sheet!$M905&lt;=34,"Young",Cleaned_Working_Sheet!$M905&lt;=54,"Middle-aged",Cleaned_Working_Sheet!$M905&gt;54,"Old")</f>
        <v>Old</v>
      </c>
      <c r="O905" s="18" t="s">
        <v>18</v>
      </c>
    </row>
    <row r="906" spans="1:15" x14ac:dyDescent="0.25">
      <c r="A906" s="14">
        <v>26305</v>
      </c>
      <c r="B906" s="18" t="s">
        <v>37</v>
      </c>
      <c r="C906" s="18" t="s">
        <v>38</v>
      </c>
      <c r="D906" s="6">
        <v>60000</v>
      </c>
      <c r="E906" s="18" t="str" cm="1">
        <f t="array" ref="E906">_xlfn.IFS(Cleaned_Working_Sheet!$D906&lt;=50000,"Low Income",Cleaned_Working_Sheet!$D906&lt;100000,"Middle Income",TRUE,"High Income")</f>
        <v>Middle Income</v>
      </c>
      <c r="F906" s="16">
        <v>2</v>
      </c>
      <c r="G906" s="18" t="s">
        <v>13</v>
      </c>
      <c r="H906" s="18" t="s">
        <v>14</v>
      </c>
      <c r="I906" s="18" t="s">
        <v>18</v>
      </c>
      <c r="J906" s="16">
        <v>0</v>
      </c>
      <c r="K906" s="18" t="s">
        <v>16</v>
      </c>
      <c r="L906" s="18" t="s">
        <v>32</v>
      </c>
      <c r="M906" s="14">
        <v>36</v>
      </c>
      <c r="N906" s="18" t="str" cm="1">
        <f t="array" ref="N906">_xlfn.IFS(Cleaned_Working_Sheet!$M906&lt;=34,"Young",Cleaned_Working_Sheet!$M906&lt;=54,"Middle-aged",Cleaned_Working_Sheet!$M906&gt;54,"Old")</f>
        <v>Middle-aged</v>
      </c>
      <c r="O906" s="18" t="s">
        <v>15</v>
      </c>
    </row>
    <row r="907" spans="1:15" x14ac:dyDescent="0.25">
      <c r="A907" s="14">
        <v>22050</v>
      </c>
      <c r="B907" s="18" t="s">
        <v>37</v>
      </c>
      <c r="C907" s="18" t="s">
        <v>39</v>
      </c>
      <c r="D907" s="6">
        <v>90000</v>
      </c>
      <c r="E907" s="18" t="str" cm="1">
        <f t="array" ref="E907">_xlfn.IFS(Cleaned_Working_Sheet!$D907&lt;=50000,"Low Income",Cleaned_Working_Sheet!$D907&lt;100000,"Middle Income",TRUE,"High Income")</f>
        <v>Middle Income</v>
      </c>
      <c r="F907" s="16">
        <v>4</v>
      </c>
      <c r="G907" s="18" t="s">
        <v>13</v>
      </c>
      <c r="H907" s="18" t="s">
        <v>28</v>
      </c>
      <c r="I907" s="18" t="s">
        <v>15</v>
      </c>
      <c r="J907" s="16">
        <v>1</v>
      </c>
      <c r="K907" s="18" t="s">
        <v>26</v>
      </c>
      <c r="L907" s="18" t="s">
        <v>32</v>
      </c>
      <c r="M907" s="14">
        <v>38</v>
      </c>
      <c r="N907" s="18" t="str" cm="1">
        <f t="array" ref="N907">_xlfn.IFS(Cleaned_Working_Sheet!$M907&lt;=34,"Young",Cleaned_Working_Sheet!$M907&lt;=54,"Middle-aged",Cleaned_Working_Sheet!$M907&gt;54,"Old")</f>
        <v>Middle-aged</v>
      </c>
      <c r="O907" s="18" t="s">
        <v>15</v>
      </c>
    </row>
    <row r="908" spans="1:15" x14ac:dyDescent="0.25">
      <c r="A908" s="14">
        <v>25394</v>
      </c>
      <c r="B908" s="18" t="s">
        <v>36</v>
      </c>
      <c r="C908" s="18" t="s">
        <v>39</v>
      </c>
      <c r="D908" s="6">
        <v>60000</v>
      </c>
      <c r="E908" s="18" t="str" cm="1">
        <f t="array" ref="E908">_xlfn.IFS(Cleaned_Working_Sheet!$D908&lt;=50000,"Low Income",Cleaned_Working_Sheet!$D908&lt;100000,"Middle Income",TRUE,"High Income")</f>
        <v>Middle Income</v>
      </c>
      <c r="F908" s="16">
        <v>1</v>
      </c>
      <c r="G908" s="18" t="s">
        <v>31</v>
      </c>
      <c r="H908" s="18" t="s">
        <v>21</v>
      </c>
      <c r="I908" s="18" t="s">
        <v>15</v>
      </c>
      <c r="J908" s="16">
        <v>0</v>
      </c>
      <c r="K908" s="18" t="s">
        <v>22</v>
      </c>
      <c r="L908" s="18" t="s">
        <v>32</v>
      </c>
      <c r="M908" s="14">
        <v>34</v>
      </c>
      <c r="N908" s="18" t="str" cm="1">
        <f t="array" ref="N908">_xlfn.IFS(Cleaned_Working_Sheet!$M908&lt;=34,"Young",Cleaned_Working_Sheet!$M908&lt;=54,"Middle-aged",Cleaned_Working_Sheet!$M908&gt;54,"Old")</f>
        <v>Young</v>
      </c>
      <c r="O908" s="18" t="s">
        <v>15</v>
      </c>
    </row>
    <row r="909" spans="1:15" x14ac:dyDescent="0.25">
      <c r="A909" s="14">
        <v>19747</v>
      </c>
      <c r="B909" s="18" t="s">
        <v>36</v>
      </c>
      <c r="C909" s="18" t="s">
        <v>39</v>
      </c>
      <c r="D909" s="6">
        <v>50000</v>
      </c>
      <c r="E909" s="18" t="str" cm="1">
        <f t="array" ref="E909">_xlfn.IFS(Cleaned_Working_Sheet!$D909&lt;=50000,"Low Income",Cleaned_Working_Sheet!$D909&lt;100000,"Middle Income",TRUE,"High Income")</f>
        <v>Low Income</v>
      </c>
      <c r="F909" s="16">
        <v>4</v>
      </c>
      <c r="G909" s="18" t="s">
        <v>13</v>
      </c>
      <c r="H909" s="18" t="s">
        <v>28</v>
      </c>
      <c r="I909" s="18" t="s">
        <v>15</v>
      </c>
      <c r="J909" s="16">
        <v>2</v>
      </c>
      <c r="K909" s="18" t="s">
        <v>43</v>
      </c>
      <c r="L909" s="18" t="s">
        <v>32</v>
      </c>
      <c r="M909" s="14">
        <v>63</v>
      </c>
      <c r="N909" s="18" t="str" cm="1">
        <f t="array" ref="N909">_xlfn.IFS(Cleaned_Working_Sheet!$M909&lt;=34,"Young",Cleaned_Working_Sheet!$M909&lt;=54,"Middle-aged",Cleaned_Working_Sheet!$M909&gt;54,"Old")</f>
        <v>Old</v>
      </c>
      <c r="O909" s="18" t="s">
        <v>18</v>
      </c>
    </row>
    <row r="910" spans="1:15" x14ac:dyDescent="0.25">
      <c r="A910" s="14">
        <v>23195</v>
      </c>
      <c r="B910" s="18" t="s">
        <v>37</v>
      </c>
      <c r="C910" s="18" t="s">
        <v>39</v>
      </c>
      <c r="D910" s="6">
        <v>50000</v>
      </c>
      <c r="E910" s="18" t="str" cm="1">
        <f t="array" ref="E910">_xlfn.IFS(Cleaned_Working_Sheet!$D910&lt;=50000,"Low Income",Cleaned_Working_Sheet!$D910&lt;100000,"Middle Income",TRUE,"High Income")</f>
        <v>Low Income</v>
      </c>
      <c r="F910" s="16">
        <v>3</v>
      </c>
      <c r="G910" s="18" t="s">
        <v>13</v>
      </c>
      <c r="H910" s="18" t="s">
        <v>14</v>
      </c>
      <c r="I910" s="18" t="s">
        <v>15</v>
      </c>
      <c r="J910" s="16">
        <v>2</v>
      </c>
      <c r="K910" s="18" t="s">
        <v>22</v>
      </c>
      <c r="L910" s="18" t="s">
        <v>32</v>
      </c>
      <c r="M910" s="14">
        <v>41</v>
      </c>
      <c r="N910" s="18" t="str" cm="1">
        <f t="array" ref="N910">_xlfn.IFS(Cleaned_Working_Sheet!$M910&lt;=34,"Young",Cleaned_Working_Sheet!$M910&lt;=54,"Middle-aged",Cleaned_Working_Sheet!$M910&gt;54,"Old")</f>
        <v>Middle-aged</v>
      </c>
      <c r="O910" s="18" t="s">
        <v>15</v>
      </c>
    </row>
    <row r="911" spans="1:15" x14ac:dyDescent="0.25">
      <c r="A911" s="14">
        <v>21695</v>
      </c>
      <c r="B911" s="18" t="s">
        <v>36</v>
      </c>
      <c r="C911" s="18" t="s">
        <v>39</v>
      </c>
      <c r="D911" s="6">
        <v>60000</v>
      </c>
      <c r="E911" s="18" t="str" cm="1">
        <f t="array" ref="E911">_xlfn.IFS(Cleaned_Working_Sheet!$D911&lt;=50000,"Low Income",Cleaned_Working_Sheet!$D911&lt;100000,"Middle Income",TRUE,"High Income")</f>
        <v>Middle Income</v>
      </c>
      <c r="F911" s="16">
        <v>0</v>
      </c>
      <c r="G911" s="18" t="s">
        <v>31</v>
      </c>
      <c r="H911" s="18" t="s">
        <v>14</v>
      </c>
      <c r="I911" s="18" t="s">
        <v>15</v>
      </c>
      <c r="J911" s="16">
        <v>0</v>
      </c>
      <c r="K911" s="18" t="s">
        <v>26</v>
      </c>
      <c r="L911" s="18" t="s">
        <v>32</v>
      </c>
      <c r="M911" s="14">
        <v>39</v>
      </c>
      <c r="N911" s="18" t="str" cm="1">
        <f t="array" ref="N911">_xlfn.IFS(Cleaned_Working_Sheet!$M911&lt;=34,"Young",Cleaned_Working_Sheet!$M911&lt;=54,"Middle-aged",Cleaned_Working_Sheet!$M911&gt;54,"Old")</f>
        <v>Middle-aged</v>
      </c>
      <c r="O911" s="18" t="s">
        <v>15</v>
      </c>
    </row>
    <row r="912" spans="1:15" x14ac:dyDescent="0.25">
      <c r="A912" s="14">
        <v>13934</v>
      </c>
      <c r="B912" s="18" t="s">
        <v>36</v>
      </c>
      <c r="C912" s="18" t="s">
        <v>39</v>
      </c>
      <c r="D912" s="6">
        <v>40000</v>
      </c>
      <c r="E912" s="18" t="str" cm="1">
        <f t="array" ref="E912">_xlfn.IFS(Cleaned_Working_Sheet!$D912&lt;=50000,"Low Income",Cleaned_Working_Sheet!$D912&lt;100000,"Middle Income",TRUE,"High Income")</f>
        <v>Low Income</v>
      </c>
      <c r="F912" s="16">
        <v>4</v>
      </c>
      <c r="G912" s="18" t="s">
        <v>27</v>
      </c>
      <c r="H912" s="18" t="s">
        <v>14</v>
      </c>
      <c r="I912" s="18" t="s">
        <v>15</v>
      </c>
      <c r="J912" s="16">
        <v>2</v>
      </c>
      <c r="K912" s="18" t="s">
        <v>22</v>
      </c>
      <c r="L912" s="18" t="s">
        <v>32</v>
      </c>
      <c r="M912" s="14">
        <v>46</v>
      </c>
      <c r="N912" s="18" t="str" cm="1">
        <f t="array" ref="N912">_xlfn.IFS(Cleaned_Working_Sheet!$M912&lt;=34,"Young",Cleaned_Working_Sheet!$M912&lt;=54,"Middle-aged",Cleaned_Working_Sheet!$M912&gt;54,"Old")</f>
        <v>Middle-aged</v>
      </c>
      <c r="O912" s="18" t="s">
        <v>18</v>
      </c>
    </row>
    <row r="913" spans="1:15" x14ac:dyDescent="0.25">
      <c r="A913" s="14">
        <v>13337</v>
      </c>
      <c r="B913" s="18" t="s">
        <v>36</v>
      </c>
      <c r="C913" s="18" t="s">
        <v>38</v>
      </c>
      <c r="D913" s="6">
        <v>80000</v>
      </c>
      <c r="E913" s="18" t="str" cm="1">
        <f t="array" ref="E913">_xlfn.IFS(Cleaned_Working_Sheet!$D913&lt;=50000,"Low Income",Cleaned_Working_Sheet!$D913&lt;100000,"Middle Income",TRUE,"High Income")</f>
        <v>Middle Income</v>
      </c>
      <c r="F913" s="16">
        <v>5</v>
      </c>
      <c r="G913" s="18" t="s">
        <v>13</v>
      </c>
      <c r="H913" s="18" t="s">
        <v>28</v>
      </c>
      <c r="I913" s="18" t="s">
        <v>15</v>
      </c>
      <c r="J913" s="16">
        <v>2</v>
      </c>
      <c r="K913" s="18" t="s">
        <v>23</v>
      </c>
      <c r="L913" s="18" t="s">
        <v>32</v>
      </c>
      <c r="M913" s="14">
        <v>64</v>
      </c>
      <c r="N913" s="18" t="str" cm="1">
        <f t="array" ref="N913">_xlfn.IFS(Cleaned_Working_Sheet!$M913&lt;=34,"Young",Cleaned_Working_Sheet!$M913&lt;=54,"Middle-aged",Cleaned_Working_Sheet!$M913&gt;54,"Old")</f>
        <v>Old</v>
      </c>
      <c r="O913" s="18" t="s">
        <v>18</v>
      </c>
    </row>
    <row r="914" spans="1:15" x14ac:dyDescent="0.25">
      <c r="A914" s="14">
        <v>27190</v>
      </c>
      <c r="B914" s="18" t="s">
        <v>36</v>
      </c>
      <c r="C914" s="18" t="s">
        <v>38</v>
      </c>
      <c r="D914" s="6">
        <v>40000</v>
      </c>
      <c r="E914" s="18" t="str" cm="1">
        <f t="array" ref="E914">_xlfn.IFS(Cleaned_Working_Sheet!$D914&lt;=50000,"Low Income",Cleaned_Working_Sheet!$D914&lt;100000,"Middle Income",TRUE,"High Income")</f>
        <v>Low Income</v>
      </c>
      <c r="F914" s="16">
        <v>3</v>
      </c>
      <c r="G914" s="18" t="s">
        <v>19</v>
      </c>
      <c r="H914" s="18" t="s">
        <v>20</v>
      </c>
      <c r="I914" s="18" t="s">
        <v>15</v>
      </c>
      <c r="J914" s="16">
        <v>1</v>
      </c>
      <c r="K914" s="18" t="s">
        <v>26</v>
      </c>
      <c r="L914" s="18" t="s">
        <v>32</v>
      </c>
      <c r="M914" s="14">
        <v>32</v>
      </c>
      <c r="N914" s="18" t="str" cm="1">
        <f t="array" ref="N914">_xlfn.IFS(Cleaned_Working_Sheet!$M914&lt;=34,"Young",Cleaned_Working_Sheet!$M914&lt;=54,"Middle-aged",Cleaned_Working_Sheet!$M914&gt;54,"Old")</f>
        <v>Young</v>
      </c>
      <c r="O914" s="18" t="s">
        <v>18</v>
      </c>
    </row>
    <row r="915" spans="1:15" x14ac:dyDescent="0.25">
      <c r="A915" s="14">
        <v>28657</v>
      </c>
      <c r="B915" s="18" t="s">
        <v>37</v>
      </c>
      <c r="C915" s="18" t="s">
        <v>39</v>
      </c>
      <c r="D915" s="6">
        <v>60000</v>
      </c>
      <c r="E915" s="18" t="str" cm="1">
        <f t="array" ref="E915">_xlfn.IFS(Cleaned_Working_Sheet!$D915&lt;=50000,"Low Income",Cleaned_Working_Sheet!$D915&lt;100000,"Middle Income",TRUE,"High Income")</f>
        <v>Middle Income</v>
      </c>
      <c r="F915" s="16">
        <v>2</v>
      </c>
      <c r="G915" s="18" t="s">
        <v>13</v>
      </c>
      <c r="H915" s="18" t="s">
        <v>14</v>
      </c>
      <c r="I915" s="18" t="s">
        <v>15</v>
      </c>
      <c r="J915" s="16">
        <v>0</v>
      </c>
      <c r="K915" s="18" t="s">
        <v>22</v>
      </c>
      <c r="L915" s="18" t="s">
        <v>32</v>
      </c>
      <c r="M915" s="14">
        <v>36</v>
      </c>
      <c r="N915" s="18" t="str" cm="1">
        <f t="array" ref="N915">_xlfn.IFS(Cleaned_Working_Sheet!$M915&lt;=34,"Young",Cleaned_Working_Sheet!$M915&lt;=54,"Middle-aged",Cleaned_Working_Sheet!$M915&gt;54,"Old")</f>
        <v>Middle-aged</v>
      </c>
      <c r="O915" s="18" t="s">
        <v>15</v>
      </c>
    </row>
    <row r="916" spans="1:15" x14ac:dyDescent="0.25">
      <c r="A916" s="14">
        <v>21713</v>
      </c>
      <c r="B916" s="18" t="s">
        <v>37</v>
      </c>
      <c r="C916" s="18" t="s">
        <v>39</v>
      </c>
      <c r="D916" s="6">
        <v>80000</v>
      </c>
      <c r="E916" s="18" t="str" cm="1">
        <f t="array" ref="E916">_xlfn.IFS(Cleaned_Working_Sheet!$D916&lt;=50000,"Low Income",Cleaned_Working_Sheet!$D916&lt;100000,"Middle Income",TRUE,"High Income")</f>
        <v>Middle Income</v>
      </c>
      <c r="F916" s="16">
        <v>5</v>
      </c>
      <c r="G916" s="18" t="s">
        <v>31</v>
      </c>
      <c r="H916" s="18" t="s">
        <v>14</v>
      </c>
      <c r="I916" s="18" t="s">
        <v>18</v>
      </c>
      <c r="J916" s="16">
        <v>0</v>
      </c>
      <c r="K916" s="18" t="s">
        <v>16</v>
      </c>
      <c r="L916" s="18" t="s">
        <v>32</v>
      </c>
      <c r="M916" s="14">
        <v>47</v>
      </c>
      <c r="N916" s="18" t="str" cm="1">
        <f t="array" ref="N916">_xlfn.IFS(Cleaned_Working_Sheet!$M916&lt;=34,"Young",Cleaned_Working_Sheet!$M916&lt;=54,"Middle-aged",Cleaned_Working_Sheet!$M916&gt;54,"Old")</f>
        <v>Middle-aged</v>
      </c>
      <c r="O916" s="18" t="s">
        <v>18</v>
      </c>
    </row>
    <row r="917" spans="1:15" x14ac:dyDescent="0.25">
      <c r="A917" s="14">
        <v>21752</v>
      </c>
      <c r="B917" s="18" t="s">
        <v>36</v>
      </c>
      <c r="C917" s="18" t="s">
        <v>39</v>
      </c>
      <c r="D917" s="6">
        <v>60000</v>
      </c>
      <c r="E917" s="18" t="str" cm="1">
        <f t="array" ref="E917">_xlfn.IFS(Cleaned_Working_Sheet!$D917&lt;=50000,"Low Income",Cleaned_Working_Sheet!$D917&lt;100000,"Middle Income",TRUE,"High Income")</f>
        <v>Middle Income</v>
      </c>
      <c r="F917" s="16">
        <v>3</v>
      </c>
      <c r="G917" s="18" t="s">
        <v>31</v>
      </c>
      <c r="H917" s="18" t="s">
        <v>28</v>
      </c>
      <c r="I917" s="18" t="s">
        <v>15</v>
      </c>
      <c r="J917" s="16">
        <v>2</v>
      </c>
      <c r="K917" s="18" t="s">
        <v>43</v>
      </c>
      <c r="L917" s="18" t="s">
        <v>32</v>
      </c>
      <c r="M917" s="14">
        <v>64</v>
      </c>
      <c r="N917" s="18" t="str" cm="1">
        <f t="array" ref="N917">_xlfn.IFS(Cleaned_Working_Sheet!$M917&lt;=34,"Young",Cleaned_Working_Sheet!$M917&lt;=54,"Middle-aged",Cleaned_Working_Sheet!$M917&gt;54,"Old")</f>
        <v>Old</v>
      </c>
      <c r="O917" s="18" t="s">
        <v>18</v>
      </c>
    </row>
    <row r="918" spans="1:15" x14ac:dyDescent="0.25">
      <c r="A918" s="14">
        <v>27273</v>
      </c>
      <c r="B918" s="18" t="s">
        <v>37</v>
      </c>
      <c r="C918" s="18" t="s">
        <v>39</v>
      </c>
      <c r="D918" s="6">
        <v>70000</v>
      </c>
      <c r="E918" s="18" t="str" cm="1">
        <f t="array" ref="E918">_xlfn.IFS(Cleaned_Working_Sheet!$D918&lt;=50000,"Low Income",Cleaned_Working_Sheet!$D918&lt;100000,"Middle Income",TRUE,"High Income")</f>
        <v>Middle Income</v>
      </c>
      <c r="F918" s="16">
        <v>3</v>
      </c>
      <c r="G918" s="18" t="s">
        <v>31</v>
      </c>
      <c r="H918" s="18" t="s">
        <v>21</v>
      </c>
      <c r="I918" s="18" t="s">
        <v>18</v>
      </c>
      <c r="J918" s="16">
        <v>0</v>
      </c>
      <c r="K918" s="18" t="s">
        <v>16</v>
      </c>
      <c r="L918" s="18" t="s">
        <v>32</v>
      </c>
      <c r="M918" s="14">
        <v>35</v>
      </c>
      <c r="N918" s="18" t="str" cm="1">
        <f t="array" ref="N918">_xlfn.IFS(Cleaned_Working_Sheet!$M918&lt;=34,"Young",Cleaned_Working_Sheet!$M918&lt;=54,"Middle-aged",Cleaned_Working_Sheet!$M918&gt;54,"Old")</f>
        <v>Middle-aged</v>
      </c>
      <c r="O918" s="18" t="s">
        <v>15</v>
      </c>
    </row>
    <row r="919" spans="1:15" x14ac:dyDescent="0.25">
      <c r="A919" s="14">
        <v>22719</v>
      </c>
      <c r="B919" s="18" t="s">
        <v>37</v>
      </c>
      <c r="C919" s="18" t="s">
        <v>39</v>
      </c>
      <c r="D919" s="6">
        <v>110000</v>
      </c>
      <c r="E919" s="18" t="str" cm="1">
        <f t="array" ref="E919">_xlfn.IFS(Cleaned_Working_Sheet!$D919&lt;=50000,"Low Income",Cleaned_Working_Sheet!$D919&lt;100000,"Middle Income",TRUE,"High Income")</f>
        <v>High Income</v>
      </c>
      <c r="F919" s="16">
        <v>3</v>
      </c>
      <c r="G919" s="18" t="s">
        <v>13</v>
      </c>
      <c r="H919" s="18" t="s">
        <v>28</v>
      </c>
      <c r="I919" s="18" t="s">
        <v>15</v>
      </c>
      <c r="J919" s="16">
        <v>4</v>
      </c>
      <c r="K919" s="18" t="s">
        <v>22</v>
      </c>
      <c r="L919" s="18" t="s">
        <v>32</v>
      </c>
      <c r="M919" s="14">
        <v>40</v>
      </c>
      <c r="N919" s="18" t="str" cm="1">
        <f t="array" ref="N919">_xlfn.IFS(Cleaned_Working_Sheet!$M919&lt;=34,"Young",Cleaned_Working_Sheet!$M919&lt;=54,"Middle-aged",Cleaned_Working_Sheet!$M919&gt;54,"Old")</f>
        <v>Middle-aged</v>
      </c>
      <c r="O919" s="18" t="s">
        <v>15</v>
      </c>
    </row>
    <row r="920" spans="1:15" x14ac:dyDescent="0.25">
      <c r="A920" s="14">
        <v>22042</v>
      </c>
      <c r="B920" s="18" t="s">
        <v>36</v>
      </c>
      <c r="C920" s="18" t="s">
        <v>38</v>
      </c>
      <c r="D920" s="6">
        <v>70000</v>
      </c>
      <c r="E920" s="18" t="str" cm="1">
        <f t="array" ref="E920">_xlfn.IFS(Cleaned_Working_Sheet!$D920&lt;=50000,"Low Income",Cleaned_Working_Sheet!$D920&lt;100000,"Middle Income",TRUE,"High Income")</f>
        <v>Middle Income</v>
      </c>
      <c r="F920" s="16">
        <v>0</v>
      </c>
      <c r="G920" s="18" t="s">
        <v>19</v>
      </c>
      <c r="H920" s="18" t="s">
        <v>14</v>
      </c>
      <c r="I920" s="18" t="s">
        <v>15</v>
      </c>
      <c r="J920" s="16">
        <v>2</v>
      </c>
      <c r="K920" s="18" t="s">
        <v>23</v>
      </c>
      <c r="L920" s="18" t="s">
        <v>32</v>
      </c>
      <c r="M920" s="14">
        <v>34</v>
      </c>
      <c r="N920" s="18" t="str" cm="1">
        <f t="array" ref="N920">_xlfn.IFS(Cleaned_Working_Sheet!$M920&lt;=34,"Young",Cleaned_Working_Sheet!$M920&lt;=54,"Middle-aged",Cleaned_Working_Sheet!$M920&gt;54,"Old")</f>
        <v>Young</v>
      </c>
      <c r="O920" s="18" t="s">
        <v>15</v>
      </c>
    </row>
    <row r="921" spans="1:15" x14ac:dyDescent="0.25">
      <c r="A921" s="14">
        <v>21451</v>
      </c>
      <c r="B921" s="18" t="s">
        <v>36</v>
      </c>
      <c r="C921" s="18" t="s">
        <v>38</v>
      </c>
      <c r="D921" s="6">
        <v>40000</v>
      </c>
      <c r="E921" s="18" t="str" cm="1">
        <f t="array" ref="E921">_xlfn.IFS(Cleaned_Working_Sheet!$D921&lt;=50000,"Low Income",Cleaned_Working_Sheet!$D921&lt;100000,"Middle Income",TRUE,"High Income")</f>
        <v>Low Income</v>
      </c>
      <c r="F921" s="16">
        <v>4</v>
      </c>
      <c r="G921" s="18" t="s">
        <v>27</v>
      </c>
      <c r="H921" s="18" t="s">
        <v>21</v>
      </c>
      <c r="I921" s="18" t="s">
        <v>15</v>
      </c>
      <c r="J921" s="16">
        <v>2</v>
      </c>
      <c r="K921" s="18" t="s">
        <v>43</v>
      </c>
      <c r="L921" s="18" t="s">
        <v>32</v>
      </c>
      <c r="M921" s="14">
        <v>61</v>
      </c>
      <c r="N921" s="18" t="str" cm="1">
        <f t="array" ref="N921">_xlfn.IFS(Cleaned_Working_Sheet!$M921&lt;=34,"Young",Cleaned_Working_Sheet!$M921&lt;=54,"Middle-aged",Cleaned_Working_Sheet!$M921&gt;54,"Old")</f>
        <v>Old</v>
      </c>
      <c r="O921" s="18" t="s">
        <v>18</v>
      </c>
    </row>
    <row r="922" spans="1:15" x14ac:dyDescent="0.25">
      <c r="A922" s="14">
        <v>20754</v>
      </c>
      <c r="B922" s="18" t="s">
        <v>36</v>
      </c>
      <c r="C922" s="18" t="s">
        <v>39</v>
      </c>
      <c r="D922" s="6">
        <v>30000</v>
      </c>
      <c r="E922" s="18" t="str" cm="1">
        <f t="array" ref="E922">_xlfn.IFS(Cleaned_Working_Sheet!$D922&lt;=50000,"Low Income",Cleaned_Working_Sheet!$D922&lt;100000,"Middle Income",TRUE,"High Income")</f>
        <v>Low Income</v>
      </c>
      <c r="F922" s="16">
        <v>2</v>
      </c>
      <c r="G922" s="18" t="s">
        <v>27</v>
      </c>
      <c r="H922" s="18" t="s">
        <v>14</v>
      </c>
      <c r="I922" s="18" t="s">
        <v>15</v>
      </c>
      <c r="J922" s="16">
        <v>2</v>
      </c>
      <c r="K922" s="18" t="s">
        <v>26</v>
      </c>
      <c r="L922" s="18" t="s">
        <v>32</v>
      </c>
      <c r="M922" s="14">
        <v>51</v>
      </c>
      <c r="N922" s="18" t="str" cm="1">
        <f t="array" ref="N922">_xlfn.IFS(Cleaned_Working_Sheet!$M922&lt;=34,"Young",Cleaned_Working_Sheet!$M922&lt;=54,"Middle-aged",Cleaned_Working_Sheet!$M922&gt;54,"Old")</f>
        <v>Middle-aged</v>
      </c>
      <c r="O922" s="18" t="s">
        <v>18</v>
      </c>
    </row>
    <row r="923" spans="1:15" x14ac:dyDescent="0.25">
      <c r="A923" s="14">
        <v>12153</v>
      </c>
      <c r="B923" s="18" t="s">
        <v>37</v>
      </c>
      <c r="C923" s="18" t="s">
        <v>38</v>
      </c>
      <c r="D923" s="6">
        <v>70000</v>
      </c>
      <c r="E923" s="18" t="str" cm="1">
        <f t="array" ref="E923">_xlfn.IFS(Cleaned_Working_Sheet!$D923&lt;=50000,"Low Income",Cleaned_Working_Sheet!$D923&lt;100000,"Middle Income",TRUE,"High Income")</f>
        <v>Middle Income</v>
      </c>
      <c r="F923" s="16">
        <v>3</v>
      </c>
      <c r="G923" s="18" t="s">
        <v>19</v>
      </c>
      <c r="H923" s="18" t="s">
        <v>21</v>
      </c>
      <c r="I923" s="18" t="s">
        <v>15</v>
      </c>
      <c r="J923" s="16">
        <v>1</v>
      </c>
      <c r="K923" s="18" t="s">
        <v>23</v>
      </c>
      <c r="L923" s="18" t="s">
        <v>32</v>
      </c>
      <c r="M923" s="14">
        <v>49</v>
      </c>
      <c r="N923" s="18" t="str" cm="1">
        <f t="array" ref="N923">_xlfn.IFS(Cleaned_Working_Sheet!$M923&lt;=34,"Young",Cleaned_Working_Sheet!$M923&lt;=54,"Middle-aged",Cleaned_Working_Sheet!$M923&gt;54,"Old")</f>
        <v>Middle-aged</v>
      </c>
      <c r="O923" s="18" t="s">
        <v>15</v>
      </c>
    </row>
    <row r="924" spans="1:15" x14ac:dyDescent="0.25">
      <c r="A924" s="14">
        <v>16895</v>
      </c>
      <c r="B924" s="18" t="s">
        <v>36</v>
      </c>
      <c r="C924" s="18" t="s">
        <v>38</v>
      </c>
      <c r="D924" s="6">
        <v>40000</v>
      </c>
      <c r="E924" s="18" t="str" cm="1">
        <f t="array" ref="E924">_xlfn.IFS(Cleaned_Working_Sheet!$D924&lt;=50000,"Low Income",Cleaned_Working_Sheet!$D924&lt;100000,"Middle Income",TRUE,"High Income")</f>
        <v>Low Income</v>
      </c>
      <c r="F924" s="16">
        <v>3</v>
      </c>
      <c r="G924" s="18" t="s">
        <v>19</v>
      </c>
      <c r="H924" s="18" t="s">
        <v>21</v>
      </c>
      <c r="I924" s="18" t="s">
        <v>18</v>
      </c>
      <c r="J924" s="16">
        <v>2</v>
      </c>
      <c r="K924" s="18" t="s">
        <v>26</v>
      </c>
      <c r="L924" s="18" t="s">
        <v>32</v>
      </c>
      <c r="M924" s="14">
        <v>54</v>
      </c>
      <c r="N924" s="18" t="str" cm="1">
        <f t="array" ref="N924">_xlfn.IFS(Cleaned_Working_Sheet!$M924&lt;=34,"Young",Cleaned_Working_Sheet!$M924&lt;=54,"Middle-aged",Cleaned_Working_Sheet!$M924&gt;54,"Old")</f>
        <v>Middle-aged</v>
      </c>
      <c r="O924" s="18" t="s">
        <v>15</v>
      </c>
    </row>
    <row r="925" spans="1:15" x14ac:dyDescent="0.25">
      <c r="A925" s="14">
        <v>26728</v>
      </c>
      <c r="B925" s="18" t="s">
        <v>37</v>
      </c>
      <c r="C925" s="18" t="s">
        <v>39</v>
      </c>
      <c r="D925" s="6">
        <v>70000</v>
      </c>
      <c r="E925" s="18" t="str" cm="1">
        <f t="array" ref="E925">_xlfn.IFS(Cleaned_Working_Sheet!$D925&lt;=50000,"Low Income",Cleaned_Working_Sheet!$D925&lt;100000,"Middle Income",TRUE,"High Income")</f>
        <v>Middle Income</v>
      </c>
      <c r="F925" s="16">
        <v>3</v>
      </c>
      <c r="G925" s="18" t="s">
        <v>31</v>
      </c>
      <c r="H925" s="18" t="s">
        <v>28</v>
      </c>
      <c r="I925" s="18" t="s">
        <v>18</v>
      </c>
      <c r="J925" s="16">
        <v>2</v>
      </c>
      <c r="K925" s="18" t="s">
        <v>26</v>
      </c>
      <c r="L925" s="18" t="s">
        <v>32</v>
      </c>
      <c r="M925" s="14">
        <v>53</v>
      </c>
      <c r="N925" s="18" t="str" cm="1">
        <f t="array" ref="N925">_xlfn.IFS(Cleaned_Working_Sheet!$M925&lt;=34,"Young",Cleaned_Working_Sheet!$M925&lt;=54,"Middle-aged",Cleaned_Working_Sheet!$M925&gt;54,"Old")</f>
        <v>Middle-aged</v>
      </c>
      <c r="O925" s="18" t="s">
        <v>15</v>
      </c>
    </row>
    <row r="926" spans="1:15" x14ac:dyDescent="0.25">
      <c r="A926" s="14">
        <v>11090</v>
      </c>
      <c r="B926" s="18" t="s">
        <v>37</v>
      </c>
      <c r="C926" s="18" t="s">
        <v>39</v>
      </c>
      <c r="D926" s="6">
        <v>90000</v>
      </c>
      <c r="E926" s="18" t="str" cm="1">
        <f t="array" ref="E926">_xlfn.IFS(Cleaned_Working_Sheet!$D926&lt;=50000,"Low Income",Cleaned_Working_Sheet!$D926&lt;100000,"Middle Income",TRUE,"High Income")</f>
        <v>Middle Income</v>
      </c>
      <c r="F926" s="16">
        <v>2</v>
      </c>
      <c r="G926" s="18" t="s">
        <v>19</v>
      </c>
      <c r="H926" s="18" t="s">
        <v>21</v>
      </c>
      <c r="I926" s="18" t="s">
        <v>15</v>
      </c>
      <c r="J926" s="16">
        <v>1</v>
      </c>
      <c r="K926" s="18" t="s">
        <v>22</v>
      </c>
      <c r="L926" s="18" t="s">
        <v>32</v>
      </c>
      <c r="M926" s="14">
        <v>48</v>
      </c>
      <c r="N926" s="18" t="str" cm="1">
        <f t="array" ref="N926">_xlfn.IFS(Cleaned_Working_Sheet!$M926&lt;=34,"Young",Cleaned_Working_Sheet!$M926&lt;=54,"Middle-aged",Cleaned_Working_Sheet!$M926&gt;54,"Old")</f>
        <v>Middle-aged</v>
      </c>
      <c r="O926" s="18" t="s">
        <v>15</v>
      </c>
    </row>
    <row r="927" spans="1:15" x14ac:dyDescent="0.25">
      <c r="A927" s="14">
        <v>15862</v>
      </c>
      <c r="B927" s="18" t="s">
        <v>37</v>
      </c>
      <c r="C927" s="18" t="s">
        <v>38</v>
      </c>
      <c r="D927" s="6">
        <v>50000</v>
      </c>
      <c r="E927" s="18" t="str" cm="1">
        <f t="array" ref="E927">_xlfn.IFS(Cleaned_Working_Sheet!$D927&lt;=50000,"Low Income",Cleaned_Working_Sheet!$D927&lt;100000,"Middle Income",TRUE,"High Income")</f>
        <v>Low Income</v>
      </c>
      <c r="F927" s="16">
        <v>0</v>
      </c>
      <c r="G927" s="18" t="s">
        <v>31</v>
      </c>
      <c r="H927" s="18" t="s">
        <v>14</v>
      </c>
      <c r="I927" s="18" t="s">
        <v>15</v>
      </c>
      <c r="J927" s="16">
        <v>0</v>
      </c>
      <c r="K927" s="18" t="s">
        <v>26</v>
      </c>
      <c r="L927" s="18" t="s">
        <v>32</v>
      </c>
      <c r="M927" s="14">
        <v>33</v>
      </c>
      <c r="N927" s="18" t="str" cm="1">
        <f t="array" ref="N927">_xlfn.IFS(Cleaned_Working_Sheet!$M927&lt;=34,"Young",Cleaned_Working_Sheet!$M927&lt;=54,"Middle-aged",Cleaned_Working_Sheet!$M927&gt;54,"Old")</f>
        <v>Young</v>
      </c>
      <c r="O927" s="18" t="s">
        <v>15</v>
      </c>
    </row>
    <row r="928" spans="1:15" x14ac:dyDescent="0.25">
      <c r="A928" s="14">
        <v>26495</v>
      </c>
      <c r="B928" s="18" t="s">
        <v>37</v>
      </c>
      <c r="C928" s="18" t="s">
        <v>38</v>
      </c>
      <c r="D928" s="6">
        <v>40000</v>
      </c>
      <c r="E928" s="18" t="str" cm="1">
        <f t="array" ref="E928">_xlfn.IFS(Cleaned_Working_Sheet!$D928&lt;=50000,"Low Income",Cleaned_Working_Sheet!$D928&lt;100000,"Middle Income",TRUE,"High Income")</f>
        <v>Low Income</v>
      </c>
      <c r="F928" s="16">
        <v>2</v>
      </c>
      <c r="G928" s="18" t="s">
        <v>27</v>
      </c>
      <c r="H928" s="18" t="s">
        <v>21</v>
      </c>
      <c r="I928" s="18" t="s">
        <v>15</v>
      </c>
      <c r="J928" s="16">
        <v>2</v>
      </c>
      <c r="K928" s="18" t="s">
        <v>43</v>
      </c>
      <c r="L928" s="18" t="s">
        <v>32</v>
      </c>
      <c r="M928" s="14">
        <v>57</v>
      </c>
      <c r="N928" s="18" t="str" cm="1">
        <f t="array" ref="N928">_xlfn.IFS(Cleaned_Working_Sheet!$M928&lt;=34,"Young",Cleaned_Working_Sheet!$M928&lt;=54,"Middle-aged",Cleaned_Working_Sheet!$M928&gt;54,"Old")</f>
        <v>Old</v>
      </c>
      <c r="O928" s="18" t="s">
        <v>18</v>
      </c>
    </row>
    <row r="929" spans="1:15" x14ac:dyDescent="0.25">
      <c r="A929" s="14">
        <v>11823</v>
      </c>
      <c r="B929" s="18" t="s">
        <v>36</v>
      </c>
      <c r="C929" s="18" t="s">
        <v>38</v>
      </c>
      <c r="D929" s="6">
        <v>70000</v>
      </c>
      <c r="E929" s="18" t="str" cm="1">
        <f t="array" ref="E929">_xlfn.IFS(Cleaned_Working_Sheet!$D929&lt;=50000,"Low Income",Cleaned_Working_Sheet!$D929&lt;100000,"Middle Income",TRUE,"High Income")</f>
        <v>Middle Income</v>
      </c>
      <c r="F929" s="16">
        <v>0</v>
      </c>
      <c r="G929" s="18" t="s">
        <v>31</v>
      </c>
      <c r="H929" s="18" t="s">
        <v>21</v>
      </c>
      <c r="I929" s="18" t="s">
        <v>15</v>
      </c>
      <c r="J929" s="16">
        <v>0</v>
      </c>
      <c r="K929" s="18" t="s">
        <v>22</v>
      </c>
      <c r="L929" s="18" t="s">
        <v>32</v>
      </c>
      <c r="M929" s="14">
        <v>39</v>
      </c>
      <c r="N929" s="18" t="str" cm="1">
        <f t="array" ref="N929">_xlfn.IFS(Cleaned_Working_Sheet!$M929&lt;=34,"Young",Cleaned_Working_Sheet!$M929&lt;=54,"Middle-aged",Cleaned_Working_Sheet!$M929&gt;54,"Old")</f>
        <v>Middle-aged</v>
      </c>
      <c r="O929" s="18" t="s">
        <v>18</v>
      </c>
    </row>
    <row r="930" spans="1:15" x14ac:dyDescent="0.25">
      <c r="A930" s="14">
        <v>23449</v>
      </c>
      <c r="B930" s="18" t="s">
        <v>36</v>
      </c>
      <c r="C930" s="18" t="s">
        <v>39</v>
      </c>
      <c r="D930" s="6">
        <v>60000</v>
      </c>
      <c r="E930" s="18" t="str" cm="1">
        <f t="array" ref="E930">_xlfn.IFS(Cleaned_Working_Sheet!$D930&lt;=50000,"Low Income",Cleaned_Working_Sheet!$D930&lt;100000,"Middle Income",TRUE,"High Income")</f>
        <v>Middle Income</v>
      </c>
      <c r="F930" s="16">
        <v>2</v>
      </c>
      <c r="G930" s="18" t="s">
        <v>27</v>
      </c>
      <c r="H930" s="18" t="s">
        <v>21</v>
      </c>
      <c r="I930" s="18" t="s">
        <v>15</v>
      </c>
      <c r="J930" s="16">
        <v>2</v>
      </c>
      <c r="K930" s="18" t="s">
        <v>23</v>
      </c>
      <c r="L930" s="18" t="s">
        <v>32</v>
      </c>
      <c r="M930" s="14">
        <v>48</v>
      </c>
      <c r="N930" s="18" t="str" cm="1">
        <f t="array" ref="N930">_xlfn.IFS(Cleaned_Working_Sheet!$M930&lt;=34,"Young",Cleaned_Working_Sheet!$M930&lt;=54,"Middle-aged",Cleaned_Working_Sheet!$M930&gt;54,"Old")</f>
        <v>Middle-aged</v>
      </c>
      <c r="O930" s="18" t="s">
        <v>18</v>
      </c>
    </row>
    <row r="931" spans="1:15" x14ac:dyDescent="0.25">
      <c r="A931" s="14">
        <v>23459</v>
      </c>
      <c r="B931" s="18" t="s">
        <v>36</v>
      </c>
      <c r="C931" s="18" t="s">
        <v>39</v>
      </c>
      <c r="D931" s="6">
        <v>60000</v>
      </c>
      <c r="E931" s="18" t="str" cm="1">
        <f t="array" ref="E931">_xlfn.IFS(Cleaned_Working_Sheet!$D931&lt;=50000,"Low Income",Cleaned_Working_Sheet!$D931&lt;100000,"Middle Income",TRUE,"High Income")</f>
        <v>Middle Income</v>
      </c>
      <c r="F931" s="16">
        <v>2</v>
      </c>
      <c r="G931" s="18" t="s">
        <v>27</v>
      </c>
      <c r="H931" s="18" t="s">
        <v>21</v>
      </c>
      <c r="I931" s="18" t="s">
        <v>15</v>
      </c>
      <c r="J931" s="16">
        <v>2</v>
      </c>
      <c r="K931" s="18" t="s">
        <v>23</v>
      </c>
      <c r="L931" s="18" t="s">
        <v>32</v>
      </c>
      <c r="M931" s="14">
        <v>50</v>
      </c>
      <c r="N931" s="18" t="str" cm="1">
        <f t="array" ref="N931">_xlfn.IFS(Cleaned_Working_Sheet!$M931&lt;=34,"Young",Cleaned_Working_Sheet!$M931&lt;=54,"Middle-aged",Cleaned_Working_Sheet!$M931&gt;54,"Old")</f>
        <v>Middle-aged</v>
      </c>
      <c r="O931" s="18" t="s">
        <v>18</v>
      </c>
    </row>
    <row r="932" spans="1:15" x14ac:dyDescent="0.25">
      <c r="A932" s="14">
        <v>19543</v>
      </c>
      <c r="B932" s="18" t="s">
        <v>36</v>
      </c>
      <c r="C932" s="18" t="s">
        <v>39</v>
      </c>
      <c r="D932" s="6">
        <v>70000</v>
      </c>
      <c r="E932" s="18" t="str" cm="1">
        <f t="array" ref="E932">_xlfn.IFS(Cleaned_Working_Sheet!$D932&lt;=50000,"Low Income",Cleaned_Working_Sheet!$D932&lt;100000,"Middle Income",TRUE,"High Income")</f>
        <v>Middle Income</v>
      </c>
      <c r="F932" s="16">
        <v>5</v>
      </c>
      <c r="G932" s="18" t="s">
        <v>31</v>
      </c>
      <c r="H932" s="18" t="s">
        <v>21</v>
      </c>
      <c r="I932" s="18" t="s">
        <v>18</v>
      </c>
      <c r="J932" s="16">
        <v>3</v>
      </c>
      <c r="K932" s="18" t="s">
        <v>43</v>
      </c>
      <c r="L932" s="18" t="s">
        <v>32</v>
      </c>
      <c r="M932" s="14">
        <v>47</v>
      </c>
      <c r="N932" s="18" t="str" cm="1">
        <f t="array" ref="N932">_xlfn.IFS(Cleaned_Working_Sheet!$M932&lt;=34,"Young",Cleaned_Working_Sheet!$M932&lt;=54,"Middle-aged",Cleaned_Working_Sheet!$M932&gt;54,"Old")</f>
        <v>Middle-aged</v>
      </c>
      <c r="O932" s="18" t="s">
        <v>18</v>
      </c>
    </row>
    <row r="933" spans="1:15" x14ac:dyDescent="0.25">
      <c r="A933" s="14">
        <v>14914</v>
      </c>
      <c r="B933" s="18" t="s">
        <v>36</v>
      </c>
      <c r="C933" s="18" t="s">
        <v>38</v>
      </c>
      <c r="D933" s="6">
        <v>40000</v>
      </c>
      <c r="E933" s="18" t="str" cm="1">
        <f t="array" ref="E933">_xlfn.IFS(Cleaned_Working_Sheet!$D933&lt;=50000,"Low Income",Cleaned_Working_Sheet!$D933&lt;100000,"Middle Income",TRUE,"High Income")</f>
        <v>Low Income</v>
      </c>
      <c r="F933" s="16">
        <v>1</v>
      </c>
      <c r="G933" s="18" t="s">
        <v>19</v>
      </c>
      <c r="H933" s="18" t="s">
        <v>20</v>
      </c>
      <c r="I933" s="18" t="s">
        <v>15</v>
      </c>
      <c r="J933" s="16">
        <v>1</v>
      </c>
      <c r="K933" s="18" t="s">
        <v>26</v>
      </c>
      <c r="L933" s="18" t="s">
        <v>32</v>
      </c>
      <c r="M933" s="14">
        <v>49</v>
      </c>
      <c r="N933" s="18" t="str" cm="1">
        <f t="array" ref="N933">_xlfn.IFS(Cleaned_Working_Sheet!$M933&lt;=34,"Young",Cleaned_Working_Sheet!$M933&lt;=54,"Middle-aged",Cleaned_Working_Sheet!$M933&gt;54,"Old")</f>
        <v>Middle-aged</v>
      </c>
      <c r="O933" s="18" t="s">
        <v>15</v>
      </c>
    </row>
    <row r="934" spans="1:15" x14ac:dyDescent="0.25">
      <c r="A934" s="14">
        <v>12033</v>
      </c>
      <c r="B934" s="18" t="s">
        <v>37</v>
      </c>
      <c r="C934" s="18" t="s">
        <v>38</v>
      </c>
      <c r="D934" s="6">
        <v>40000</v>
      </c>
      <c r="E934" s="18" t="str" cm="1">
        <f t="array" ref="E934">_xlfn.IFS(Cleaned_Working_Sheet!$D934&lt;=50000,"Low Income",Cleaned_Working_Sheet!$D934&lt;100000,"Middle Income",TRUE,"High Income")</f>
        <v>Low Income</v>
      </c>
      <c r="F934" s="16">
        <v>0</v>
      </c>
      <c r="G934" s="18" t="s">
        <v>27</v>
      </c>
      <c r="H934" s="18" t="s">
        <v>14</v>
      </c>
      <c r="I934" s="18" t="s">
        <v>18</v>
      </c>
      <c r="J934" s="16">
        <v>2</v>
      </c>
      <c r="K934" s="18" t="s">
        <v>16</v>
      </c>
      <c r="L934" s="18" t="s">
        <v>32</v>
      </c>
      <c r="M934" s="14">
        <v>27</v>
      </c>
      <c r="N934" s="18" t="str" cm="1">
        <f t="array" ref="N934">_xlfn.IFS(Cleaned_Working_Sheet!$M934&lt;=34,"Young",Cleaned_Working_Sheet!$M934&lt;=54,"Middle-aged",Cleaned_Working_Sheet!$M934&gt;54,"Old")</f>
        <v>Young</v>
      </c>
      <c r="O934" s="18" t="s">
        <v>15</v>
      </c>
    </row>
    <row r="935" spans="1:15" x14ac:dyDescent="0.25">
      <c r="A935" s="14">
        <v>11941</v>
      </c>
      <c r="B935" s="18" t="s">
        <v>37</v>
      </c>
      <c r="C935" s="18" t="s">
        <v>39</v>
      </c>
      <c r="D935" s="6">
        <v>60000</v>
      </c>
      <c r="E935" s="18" t="str" cm="1">
        <f t="array" ref="E935">_xlfn.IFS(Cleaned_Working_Sheet!$D935&lt;=50000,"Low Income",Cleaned_Working_Sheet!$D935&lt;100000,"Middle Income",TRUE,"High Income")</f>
        <v>Middle Income</v>
      </c>
      <c r="F935" s="16">
        <v>0</v>
      </c>
      <c r="G935" s="18" t="s">
        <v>19</v>
      </c>
      <c r="H935" s="18" t="s">
        <v>14</v>
      </c>
      <c r="I935" s="18" t="s">
        <v>15</v>
      </c>
      <c r="J935" s="16">
        <v>0</v>
      </c>
      <c r="K935" s="18" t="s">
        <v>23</v>
      </c>
      <c r="L935" s="18" t="s">
        <v>32</v>
      </c>
      <c r="M935" s="14">
        <v>29</v>
      </c>
      <c r="N935" s="18" t="str" cm="1">
        <f t="array" ref="N935">_xlfn.IFS(Cleaned_Working_Sheet!$M935&lt;=34,"Young",Cleaned_Working_Sheet!$M935&lt;=54,"Middle-aged",Cleaned_Working_Sheet!$M935&gt;54,"Old")</f>
        <v>Young</v>
      </c>
      <c r="O935" s="18" t="s">
        <v>18</v>
      </c>
    </row>
    <row r="936" spans="1:15" x14ac:dyDescent="0.25">
      <c r="A936" s="14">
        <v>14389</v>
      </c>
      <c r="B936" s="18" t="s">
        <v>36</v>
      </c>
      <c r="C936" s="18" t="s">
        <v>39</v>
      </c>
      <c r="D936" s="6">
        <v>60000</v>
      </c>
      <c r="E936" s="18" t="str" cm="1">
        <f t="array" ref="E936">_xlfn.IFS(Cleaned_Working_Sheet!$D936&lt;=50000,"Low Income",Cleaned_Working_Sheet!$D936&lt;100000,"Middle Income",TRUE,"High Income")</f>
        <v>Middle Income</v>
      </c>
      <c r="F936" s="16">
        <v>2</v>
      </c>
      <c r="G936" s="18" t="s">
        <v>13</v>
      </c>
      <c r="H936" s="18" t="s">
        <v>28</v>
      </c>
      <c r="I936" s="18" t="s">
        <v>15</v>
      </c>
      <c r="J936" s="16">
        <v>0</v>
      </c>
      <c r="K936" s="18" t="s">
        <v>22</v>
      </c>
      <c r="L936" s="18" t="s">
        <v>32</v>
      </c>
      <c r="M936" s="14">
        <v>59</v>
      </c>
      <c r="N936" s="18" t="str" cm="1">
        <f t="array" ref="N936">_xlfn.IFS(Cleaned_Working_Sheet!$M936&lt;=34,"Young",Cleaned_Working_Sheet!$M936&lt;=54,"Middle-aged",Cleaned_Working_Sheet!$M936&gt;54,"Old")</f>
        <v>Old</v>
      </c>
      <c r="O936" s="18" t="s">
        <v>18</v>
      </c>
    </row>
    <row r="937" spans="1:15" x14ac:dyDescent="0.25">
      <c r="A937" s="14">
        <v>18050</v>
      </c>
      <c r="B937" s="18" t="s">
        <v>36</v>
      </c>
      <c r="C937" s="18" t="s">
        <v>38</v>
      </c>
      <c r="D937" s="6">
        <v>60000</v>
      </c>
      <c r="E937" s="18" t="str" cm="1">
        <f t="array" ref="E937">_xlfn.IFS(Cleaned_Working_Sheet!$D937&lt;=50000,"Low Income",Cleaned_Working_Sheet!$D937&lt;100000,"Middle Income",TRUE,"High Income")</f>
        <v>Middle Income</v>
      </c>
      <c r="F937" s="16">
        <v>1</v>
      </c>
      <c r="G937" s="18" t="s">
        <v>19</v>
      </c>
      <c r="H937" s="18" t="s">
        <v>14</v>
      </c>
      <c r="I937" s="18" t="s">
        <v>15</v>
      </c>
      <c r="J937" s="16">
        <v>1</v>
      </c>
      <c r="K937" s="18" t="s">
        <v>16</v>
      </c>
      <c r="L937" s="18" t="s">
        <v>32</v>
      </c>
      <c r="M937" s="14">
        <v>45</v>
      </c>
      <c r="N937" s="18" t="str" cm="1">
        <f t="array" ref="N937">_xlfn.IFS(Cleaned_Working_Sheet!$M937&lt;=34,"Young",Cleaned_Working_Sheet!$M937&lt;=54,"Middle-aged",Cleaned_Working_Sheet!$M937&gt;54,"Old")</f>
        <v>Middle-aged</v>
      </c>
      <c r="O937" s="18" t="s">
        <v>15</v>
      </c>
    </row>
    <row r="938" spans="1:15" x14ac:dyDescent="0.25">
      <c r="A938" s="14">
        <v>19856</v>
      </c>
      <c r="B938" s="18" t="s">
        <v>36</v>
      </c>
      <c r="C938" s="18" t="s">
        <v>38</v>
      </c>
      <c r="D938" s="6">
        <v>60000</v>
      </c>
      <c r="E938" s="18" t="str" cm="1">
        <f t="array" ref="E938">_xlfn.IFS(Cleaned_Working_Sheet!$D938&lt;=50000,"Low Income",Cleaned_Working_Sheet!$D938&lt;100000,"Middle Income",TRUE,"High Income")</f>
        <v>Middle Income</v>
      </c>
      <c r="F938" s="16">
        <v>4</v>
      </c>
      <c r="G938" s="18" t="s">
        <v>13</v>
      </c>
      <c r="H938" s="18" t="s">
        <v>28</v>
      </c>
      <c r="I938" s="18" t="s">
        <v>15</v>
      </c>
      <c r="J938" s="16">
        <v>2</v>
      </c>
      <c r="K938" s="18" t="s">
        <v>22</v>
      </c>
      <c r="L938" s="18" t="s">
        <v>32</v>
      </c>
      <c r="M938" s="14">
        <v>60</v>
      </c>
      <c r="N938" s="18" t="str" cm="1">
        <f t="array" ref="N938">_xlfn.IFS(Cleaned_Working_Sheet!$M938&lt;=34,"Young",Cleaned_Working_Sheet!$M938&lt;=54,"Middle-aged",Cleaned_Working_Sheet!$M938&gt;54,"Old")</f>
        <v>Old</v>
      </c>
      <c r="O938" s="18" t="s">
        <v>18</v>
      </c>
    </row>
    <row r="939" spans="1:15" x14ac:dyDescent="0.25">
      <c r="A939" s="14">
        <v>11663</v>
      </c>
      <c r="B939" s="18" t="s">
        <v>36</v>
      </c>
      <c r="C939" s="18" t="s">
        <v>39</v>
      </c>
      <c r="D939" s="6">
        <v>70000</v>
      </c>
      <c r="E939" s="18" t="str" cm="1">
        <f t="array" ref="E939">_xlfn.IFS(Cleaned_Working_Sheet!$D939&lt;=50000,"Low Income",Cleaned_Working_Sheet!$D939&lt;100000,"Middle Income",TRUE,"High Income")</f>
        <v>Middle Income</v>
      </c>
      <c r="F939" s="16">
        <v>4</v>
      </c>
      <c r="G939" s="18" t="s">
        <v>31</v>
      </c>
      <c r="H939" s="18" t="s">
        <v>21</v>
      </c>
      <c r="I939" s="18" t="s">
        <v>15</v>
      </c>
      <c r="J939" s="16">
        <v>0</v>
      </c>
      <c r="K939" s="18" t="s">
        <v>16</v>
      </c>
      <c r="L939" s="18" t="s">
        <v>32</v>
      </c>
      <c r="M939" s="14">
        <v>36</v>
      </c>
      <c r="N939" s="18" t="str" cm="1">
        <f t="array" ref="N939">_xlfn.IFS(Cleaned_Working_Sheet!$M939&lt;=34,"Young",Cleaned_Working_Sheet!$M939&lt;=54,"Middle-aged",Cleaned_Working_Sheet!$M939&gt;54,"Old")</f>
        <v>Middle-aged</v>
      </c>
      <c r="O939" s="18" t="s">
        <v>15</v>
      </c>
    </row>
    <row r="940" spans="1:15" x14ac:dyDescent="0.25">
      <c r="A940" s="14">
        <v>27740</v>
      </c>
      <c r="B940" s="18" t="s">
        <v>36</v>
      </c>
      <c r="C940" s="18" t="s">
        <v>38</v>
      </c>
      <c r="D940" s="6">
        <v>40000</v>
      </c>
      <c r="E940" s="18" t="str" cm="1">
        <f t="array" ref="E940">_xlfn.IFS(Cleaned_Working_Sheet!$D940&lt;=50000,"Low Income",Cleaned_Working_Sheet!$D940&lt;100000,"Middle Income",TRUE,"High Income")</f>
        <v>Low Income</v>
      </c>
      <c r="F940" s="16">
        <v>0</v>
      </c>
      <c r="G940" s="18" t="s">
        <v>27</v>
      </c>
      <c r="H940" s="18" t="s">
        <v>14</v>
      </c>
      <c r="I940" s="18" t="s">
        <v>15</v>
      </c>
      <c r="J940" s="16">
        <v>2</v>
      </c>
      <c r="K940" s="18" t="s">
        <v>23</v>
      </c>
      <c r="L940" s="18" t="s">
        <v>32</v>
      </c>
      <c r="M940" s="14">
        <v>27</v>
      </c>
      <c r="N940" s="18" t="str" cm="1">
        <f t="array" ref="N940">_xlfn.IFS(Cleaned_Working_Sheet!$M940&lt;=34,"Young",Cleaned_Working_Sheet!$M940&lt;=54,"Middle-aged",Cleaned_Working_Sheet!$M940&gt;54,"Old")</f>
        <v>Young</v>
      </c>
      <c r="O940" s="18" t="s">
        <v>18</v>
      </c>
    </row>
    <row r="941" spans="1:15" x14ac:dyDescent="0.25">
      <c r="A941" s="14">
        <v>23455</v>
      </c>
      <c r="B941" s="18" t="s">
        <v>37</v>
      </c>
      <c r="C941" s="18" t="s">
        <v>39</v>
      </c>
      <c r="D941" s="6">
        <v>80000</v>
      </c>
      <c r="E941" s="18" t="str" cm="1">
        <f t="array" ref="E941">_xlfn.IFS(Cleaned_Working_Sheet!$D941&lt;=50000,"Low Income",Cleaned_Working_Sheet!$D941&lt;100000,"Middle Income",TRUE,"High Income")</f>
        <v>Middle Income</v>
      </c>
      <c r="F941" s="16">
        <v>2</v>
      </c>
      <c r="G941" s="18" t="s">
        <v>29</v>
      </c>
      <c r="H941" s="18" t="s">
        <v>14</v>
      </c>
      <c r="I941" s="18" t="s">
        <v>18</v>
      </c>
      <c r="J941" s="16">
        <v>2</v>
      </c>
      <c r="K941" s="18" t="s">
        <v>26</v>
      </c>
      <c r="L941" s="18" t="s">
        <v>32</v>
      </c>
      <c r="M941" s="14">
        <v>50</v>
      </c>
      <c r="N941" s="18" t="str" cm="1">
        <f t="array" ref="N941">_xlfn.IFS(Cleaned_Working_Sheet!$M941&lt;=34,"Young",Cleaned_Working_Sheet!$M941&lt;=54,"Middle-aged",Cleaned_Working_Sheet!$M941&gt;54,"Old")</f>
        <v>Middle-aged</v>
      </c>
      <c r="O941" s="18" t="s">
        <v>18</v>
      </c>
    </row>
    <row r="942" spans="1:15" x14ac:dyDescent="0.25">
      <c r="A942" s="14">
        <v>15292</v>
      </c>
      <c r="B942" s="18" t="s">
        <v>37</v>
      </c>
      <c r="C942" s="18" t="s">
        <v>38</v>
      </c>
      <c r="D942" s="6">
        <v>60000</v>
      </c>
      <c r="E942" s="18" t="str" cm="1">
        <f t="array" ref="E942">_xlfn.IFS(Cleaned_Working_Sheet!$D942&lt;=50000,"Low Income",Cleaned_Working_Sheet!$D942&lt;100000,"Middle Income",TRUE,"High Income")</f>
        <v>Middle Income</v>
      </c>
      <c r="F942" s="16">
        <v>1</v>
      </c>
      <c r="G942" s="18" t="s">
        <v>31</v>
      </c>
      <c r="H942" s="18" t="s">
        <v>14</v>
      </c>
      <c r="I942" s="18" t="s">
        <v>15</v>
      </c>
      <c r="J942" s="16">
        <v>0</v>
      </c>
      <c r="K942" s="18" t="s">
        <v>26</v>
      </c>
      <c r="L942" s="18" t="s">
        <v>32</v>
      </c>
      <c r="M942" s="14">
        <v>35</v>
      </c>
      <c r="N942" s="18" t="str" cm="1">
        <f t="array" ref="N942">_xlfn.IFS(Cleaned_Working_Sheet!$M942&lt;=34,"Young",Cleaned_Working_Sheet!$M942&lt;=54,"Middle-aged",Cleaned_Working_Sheet!$M942&gt;54,"Old")</f>
        <v>Middle-aged</v>
      </c>
      <c r="O942" s="18" t="s">
        <v>18</v>
      </c>
    </row>
    <row r="943" spans="1:15" x14ac:dyDescent="0.25">
      <c r="A943" s="14">
        <v>21587</v>
      </c>
      <c r="B943" s="18" t="s">
        <v>36</v>
      </c>
      <c r="C943" s="18" t="s">
        <v>38</v>
      </c>
      <c r="D943" s="6">
        <v>60000</v>
      </c>
      <c r="E943" s="18" t="str" cm="1">
        <f t="array" ref="E943">_xlfn.IFS(Cleaned_Working_Sheet!$D943&lt;=50000,"Low Income",Cleaned_Working_Sheet!$D943&lt;100000,"Middle Income",TRUE,"High Income")</f>
        <v>Middle Income</v>
      </c>
      <c r="F943" s="16">
        <v>1</v>
      </c>
      <c r="G943" s="18" t="s">
        <v>31</v>
      </c>
      <c r="H943" s="18" t="s">
        <v>14</v>
      </c>
      <c r="I943" s="18" t="s">
        <v>15</v>
      </c>
      <c r="J943" s="16">
        <v>0</v>
      </c>
      <c r="K943" s="18" t="s">
        <v>22</v>
      </c>
      <c r="L943" s="18" t="s">
        <v>32</v>
      </c>
      <c r="M943" s="14">
        <v>34</v>
      </c>
      <c r="N943" s="18" t="str" cm="1">
        <f t="array" ref="N943">_xlfn.IFS(Cleaned_Working_Sheet!$M943&lt;=34,"Young",Cleaned_Working_Sheet!$M943&lt;=54,"Middle-aged",Cleaned_Working_Sheet!$M943&gt;54,"Old")</f>
        <v>Young</v>
      </c>
      <c r="O943" s="18" t="s">
        <v>15</v>
      </c>
    </row>
    <row r="944" spans="1:15" x14ac:dyDescent="0.25">
      <c r="A944" s="14">
        <v>23513</v>
      </c>
      <c r="B944" s="18" t="s">
        <v>36</v>
      </c>
      <c r="C944" s="18" t="s">
        <v>38</v>
      </c>
      <c r="D944" s="6">
        <v>40000</v>
      </c>
      <c r="E944" s="18" t="str" cm="1">
        <f t="array" ref="E944">_xlfn.IFS(Cleaned_Working_Sheet!$D944&lt;=50000,"Low Income",Cleaned_Working_Sheet!$D944&lt;100000,"Middle Income",TRUE,"High Income")</f>
        <v>Low Income</v>
      </c>
      <c r="F944" s="16">
        <v>3</v>
      </c>
      <c r="G944" s="18" t="s">
        <v>19</v>
      </c>
      <c r="H944" s="18" t="s">
        <v>21</v>
      </c>
      <c r="I944" s="18" t="s">
        <v>15</v>
      </c>
      <c r="J944" s="16">
        <v>2</v>
      </c>
      <c r="K944" s="18" t="s">
        <v>23</v>
      </c>
      <c r="L944" s="18" t="s">
        <v>32</v>
      </c>
      <c r="M944" s="14">
        <v>54</v>
      </c>
      <c r="N944" s="18" t="str" cm="1">
        <f t="array" ref="N944">_xlfn.IFS(Cleaned_Working_Sheet!$M944&lt;=34,"Young",Cleaned_Working_Sheet!$M944&lt;=54,"Middle-aged",Cleaned_Working_Sheet!$M944&gt;54,"Old")</f>
        <v>Middle-aged</v>
      </c>
      <c r="O944" s="18" t="s">
        <v>18</v>
      </c>
    </row>
    <row r="945" spans="1:15" x14ac:dyDescent="0.25">
      <c r="A945" s="14">
        <v>24322</v>
      </c>
      <c r="B945" s="18" t="s">
        <v>36</v>
      </c>
      <c r="C945" s="18" t="s">
        <v>38</v>
      </c>
      <c r="D945" s="6">
        <v>60000</v>
      </c>
      <c r="E945" s="18" t="str" cm="1">
        <f t="array" ref="E945">_xlfn.IFS(Cleaned_Working_Sheet!$D945&lt;=50000,"Low Income",Cleaned_Working_Sheet!$D945&lt;100000,"Middle Income",TRUE,"High Income")</f>
        <v>Middle Income</v>
      </c>
      <c r="F945" s="16">
        <v>4</v>
      </c>
      <c r="G945" s="18" t="s">
        <v>13</v>
      </c>
      <c r="H945" s="18" t="s">
        <v>14</v>
      </c>
      <c r="I945" s="18" t="s">
        <v>18</v>
      </c>
      <c r="J945" s="16">
        <v>2</v>
      </c>
      <c r="K945" s="18" t="s">
        <v>16</v>
      </c>
      <c r="L945" s="18" t="s">
        <v>32</v>
      </c>
      <c r="M945" s="14">
        <v>42</v>
      </c>
      <c r="N945" s="18" t="str" cm="1">
        <f t="array" ref="N945">_xlfn.IFS(Cleaned_Working_Sheet!$M945&lt;=34,"Young",Cleaned_Working_Sheet!$M945&lt;=54,"Middle-aged",Cleaned_Working_Sheet!$M945&gt;54,"Old")</f>
        <v>Middle-aged</v>
      </c>
      <c r="O945" s="18" t="s">
        <v>18</v>
      </c>
    </row>
    <row r="946" spans="1:15" x14ac:dyDescent="0.25">
      <c r="A946" s="14">
        <v>26298</v>
      </c>
      <c r="B946" s="18" t="s">
        <v>36</v>
      </c>
      <c r="C946" s="18" t="s">
        <v>38</v>
      </c>
      <c r="D946" s="6">
        <v>50000</v>
      </c>
      <c r="E946" s="18" t="str" cm="1">
        <f t="array" ref="E946">_xlfn.IFS(Cleaned_Working_Sheet!$D946&lt;=50000,"Low Income",Cleaned_Working_Sheet!$D946&lt;100000,"Middle Income",TRUE,"High Income")</f>
        <v>Low Income</v>
      </c>
      <c r="F946" s="16">
        <v>1</v>
      </c>
      <c r="G946" s="18" t="s">
        <v>13</v>
      </c>
      <c r="H946" s="18" t="s">
        <v>14</v>
      </c>
      <c r="I946" s="18" t="s">
        <v>15</v>
      </c>
      <c r="J946" s="16">
        <v>0</v>
      </c>
      <c r="K946" s="18" t="s">
        <v>22</v>
      </c>
      <c r="L946" s="18" t="s">
        <v>32</v>
      </c>
      <c r="M946" s="14">
        <v>34</v>
      </c>
      <c r="N946" s="18" t="str" cm="1">
        <f t="array" ref="N946">_xlfn.IFS(Cleaned_Working_Sheet!$M946&lt;=34,"Young",Cleaned_Working_Sheet!$M946&lt;=54,"Middle-aged",Cleaned_Working_Sheet!$M946&gt;54,"Old")</f>
        <v>Young</v>
      </c>
      <c r="O946" s="18" t="s">
        <v>15</v>
      </c>
    </row>
    <row r="947" spans="1:15" x14ac:dyDescent="0.25">
      <c r="A947" s="14">
        <v>25419</v>
      </c>
      <c r="B947" s="18" t="s">
        <v>37</v>
      </c>
      <c r="C947" s="18" t="s">
        <v>39</v>
      </c>
      <c r="D947" s="6">
        <v>50000</v>
      </c>
      <c r="E947" s="18" t="str" cm="1">
        <f t="array" ref="E947">_xlfn.IFS(Cleaned_Working_Sheet!$D947&lt;=50000,"Low Income",Cleaned_Working_Sheet!$D947&lt;100000,"Middle Income",TRUE,"High Income")</f>
        <v>Low Income</v>
      </c>
      <c r="F947" s="16">
        <v>2</v>
      </c>
      <c r="G947" s="18" t="s">
        <v>13</v>
      </c>
      <c r="H947" s="18" t="s">
        <v>14</v>
      </c>
      <c r="I947" s="18" t="s">
        <v>18</v>
      </c>
      <c r="J947" s="16">
        <v>1</v>
      </c>
      <c r="K947" s="18" t="s">
        <v>16</v>
      </c>
      <c r="L947" s="18" t="s">
        <v>32</v>
      </c>
      <c r="M947" s="14">
        <v>38</v>
      </c>
      <c r="N947" s="18" t="str" cm="1">
        <f t="array" ref="N947">_xlfn.IFS(Cleaned_Working_Sheet!$M947&lt;=34,"Young",Cleaned_Working_Sheet!$M947&lt;=54,"Middle-aged",Cleaned_Working_Sheet!$M947&gt;54,"Old")</f>
        <v>Middle-aged</v>
      </c>
      <c r="O947" s="18" t="s">
        <v>15</v>
      </c>
    </row>
    <row r="948" spans="1:15" x14ac:dyDescent="0.25">
      <c r="A948" s="14">
        <v>13343</v>
      </c>
      <c r="B948" s="18" t="s">
        <v>36</v>
      </c>
      <c r="C948" s="18" t="s">
        <v>38</v>
      </c>
      <c r="D948" s="6">
        <v>90000</v>
      </c>
      <c r="E948" s="18" t="str" cm="1">
        <f t="array" ref="E948">_xlfn.IFS(Cleaned_Working_Sheet!$D948&lt;=50000,"Low Income",Cleaned_Working_Sheet!$D948&lt;100000,"Middle Income",TRUE,"High Income")</f>
        <v>Middle Income</v>
      </c>
      <c r="F948" s="16">
        <v>5</v>
      </c>
      <c r="G948" s="18" t="s">
        <v>13</v>
      </c>
      <c r="H948" s="18" t="s">
        <v>28</v>
      </c>
      <c r="I948" s="18" t="s">
        <v>15</v>
      </c>
      <c r="J948" s="16">
        <v>2</v>
      </c>
      <c r="K948" s="18" t="s">
        <v>26</v>
      </c>
      <c r="L948" s="18" t="s">
        <v>32</v>
      </c>
      <c r="M948" s="14">
        <v>63</v>
      </c>
      <c r="N948" s="18" t="str" cm="1">
        <f t="array" ref="N948">_xlfn.IFS(Cleaned_Working_Sheet!$M948&lt;=34,"Young",Cleaned_Working_Sheet!$M948&lt;=54,"Middle-aged",Cleaned_Working_Sheet!$M948&gt;54,"Old")</f>
        <v>Old</v>
      </c>
      <c r="O948" s="18" t="s">
        <v>15</v>
      </c>
    </row>
    <row r="949" spans="1:15" x14ac:dyDescent="0.25">
      <c r="A949" s="14">
        <v>11303</v>
      </c>
      <c r="B949" s="18" t="s">
        <v>37</v>
      </c>
      <c r="C949" s="18" t="s">
        <v>38</v>
      </c>
      <c r="D949" s="6">
        <v>90000</v>
      </c>
      <c r="E949" s="18" t="str" cm="1">
        <f t="array" ref="E949">_xlfn.IFS(Cleaned_Working_Sheet!$D949&lt;=50000,"Low Income",Cleaned_Working_Sheet!$D949&lt;100000,"Middle Income",TRUE,"High Income")</f>
        <v>Middle Income</v>
      </c>
      <c r="F949" s="16">
        <v>4</v>
      </c>
      <c r="G949" s="18" t="s">
        <v>27</v>
      </c>
      <c r="H949" s="18" t="s">
        <v>21</v>
      </c>
      <c r="I949" s="18" t="s">
        <v>18</v>
      </c>
      <c r="J949" s="16">
        <v>3</v>
      </c>
      <c r="K949" s="18" t="s">
        <v>26</v>
      </c>
      <c r="L949" s="18" t="s">
        <v>32</v>
      </c>
      <c r="M949" s="14">
        <v>45</v>
      </c>
      <c r="N949" s="18" t="str" cm="1">
        <f t="array" ref="N949">_xlfn.IFS(Cleaned_Working_Sheet!$M949&lt;=34,"Young",Cleaned_Working_Sheet!$M949&lt;=54,"Middle-aged",Cleaned_Working_Sheet!$M949&gt;54,"Old")</f>
        <v>Middle-aged</v>
      </c>
      <c r="O949" s="18" t="s">
        <v>15</v>
      </c>
    </row>
    <row r="950" spans="1:15" x14ac:dyDescent="0.25">
      <c r="A950" s="14">
        <v>21693</v>
      </c>
      <c r="B950" s="18" t="s">
        <v>37</v>
      </c>
      <c r="C950" s="18" t="s">
        <v>38</v>
      </c>
      <c r="D950" s="6">
        <v>60000</v>
      </c>
      <c r="E950" s="18" t="str" cm="1">
        <f t="array" ref="E950">_xlfn.IFS(Cleaned_Working_Sheet!$D950&lt;=50000,"Low Income",Cleaned_Working_Sheet!$D950&lt;100000,"Middle Income",TRUE,"High Income")</f>
        <v>Middle Income</v>
      </c>
      <c r="F950" s="16">
        <v>0</v>
      </c>
      <c r="G950" s="18" t="s">
        <v>31</v>
      </c>
      <c r="H950" s="18" t="s">
        <v>14</v>
      </c>
      <c r="I950" s="18" t="s">
        <v>18</v>
      </c>
      <c r="J950" s="16">
        <v>0</v>
      </c>
      <c r="K950" s="18" t="s">
        <v>16</v>
      </c>
      <c r="L950" s="18" t="s">
        <v>32</v>
      </c>
      <c r="M950" s="14">
        <v>40</v>
      </c>
      <c r="N950" s="18" t="str" cm="1">
        <f t="array" ref="N950">_xlfn.IFS(Cleaned_Working_Sheet!$M950&lt;=34,"Young",Cleaned_Working_Sheet!$M950&lt;=54,"Middle-aged",Cleaned_Working_Sheet!$M950&gt;54,"Old")</f>
        <v>Middle-aged</v>
      </c>
      <c r="O950" s="18" t="s">
        <v>18</v>
      </c>
    </row>
    <row r="951" spans="1:15" x14ac:dyDescent="0.25">
      <c r="A951" s="14">
        <v>28056</v>
      </c>
      <c r="B951" s="18" t="s">
        <v>36</v>
      </c>
      <c r="C951" s="18" t="s">
        <v>39</v>
      </c>
      <c r="D951" s="6">
        <v>70000</v>
      </c>
      <c r="E951" s="18" t="str" cm="1">
        <f t="array" ref="E951">_xlfn.IFS(Cleaned_Working_Sheet!$D951&lt;=50000,"Low Income",Cleaned_Working_Sheet!$D951&lt;100000,"Middle Income",TRUE,"High Income")</f>
        <v>Middle Income</v>
      </c>
      <c r="F951" s="16">
        <v>2</v>
      </c>
      <c r="G951" s="18" t="s">
        <v>29</v>
      </c>
      <c r="H951" s="18" t="s">
        <v>14</v>
      </c>
      <c r="I951" s="18" t="s">
        <v>15</v>
      </c>
      <c r="J951" s="16">
        <v>2</v>
      </c>
      <c r="K951" s="18" t="s">
        <v>43</v>
      </c>
      <c r="L951" s="18" t="s">
        <v>32</v>
      </c>
      <c r="M951" s="14">
        <v>53</v>
      </c>
      <c r="N951" s="18" t="str" cm="1">
        <f t="array" ref="N951">_xlfn.IFS(Cleaned_Working_Sheet!$M951&lt;=34,"Young",Cleaned_Working_Sheet!$M951&lt;=54,"Middle-aged",Cleaned_Working_Sheet!$M951&gt;54,"Old")</f>
        <v>Middle-aged</v>
      </c>
      <c r="O951" s="18" t="s">
        <v>18</v>
      </c>
    </row>
    <row r="952" spans="1:15" x14ac:dyDescent="0.25">
      <c r="A952" s="14">
        <v>11788</v>
      </c>
      <c r="B952" s="18" t="s">
        <v>37</v>
      </c>
      <c r="C952" s="18" t="s">
        <v>38</v>
      </c>
      <c r="D952" s="6">
        <v>70000</v>
      </c>
      <c r="E952" s="18" t="str" cm="1">
        <f t="array" ref="E952">_xlfn.IFS(Cleaned_Working_Sheet!$D952&lt;=50000,"Low Income",Cleaned_Working_Sheet!$D952&lt;100000,"Middle Income",TRUE,"High Income")</f>
        <v>Middle Income</v>
      </c>
      <c r="F952" s="16">
        <v>1</v>
      </c>
      <c r="G952" s="18" t="s">
        <v>31</v>
      </c>
      <c r="H952" s="18" t="s">
        <v>21</v>
      </c>
      <c r="I952" s="18" t="s">
        <v>15</v>
      </c>
      <c r="J952" s="16">
        <v>0</v>
      </c>
      <c r="K952" s="18" t="s">
        <v>22</v>
      </c>
      <c r="L952" s="18" t="s">
        <v>32</v>
      </c>
      <c r="M952" s="14">
        <v>34</v>
      </c>
      <c r="N952" s="18" t="str" cm="1">
        <f t="array" ref="N952">_xlfn.IFS(Cleaned_Working_Sheet!$M952&lt;=34,"Young",Cleaned_Working_Sheet!$M952&lt;=54,"Middle-aged",Cleaned_Working_Sheet!$M952&gt;54,"Old")</f>
        <v>Young</v>
      </c>
      <c r="O952" s="18" t="s">
        <v>18</v>
      </c>
    </row>
    <row r="953" spans="1:15" x14ac:dyDescent="0.25">
      <c r="A953" s="14">
        <v>22296</v>
      </c>
      <c r="B953" s="18" t="s">
        <v>36</v>
      </c>
      <c r="C953" s="18" t="s">
        <v>39</v>
      </c>
      <c r="D953" s="6">
        <v>70000</v>
      </c>
      <c r="E953" s="18" t="str" cm="1">
        <f t="array" ref="E953">_xlfn.IFS(Cleaned_Working_Sheet!$D953&lt;=50000,"Low Income",Cleaned_Working_Sheet!$D953&lt;100000,"Middle Income",TRUE,"High Income")</f>
        <v>Middle Income</v>
      </c>
      <c r="F953" s="16">
        <v>0</v>
      </c>
      <c r="G953" s="18" t="s">
        <v>13</v>
      </c>
      <c r="H953" s="18" t="s">
        <v>21</v>
      </c>
      <c r="I953" s="18" t="s">
        <v>18</v>
      </c>
      <c r="J953" s="16">
        <v>1</v>
      </c>
      <c r="K953" s="18" t="s">
        <v>16</v>
      </c>
      <c r="L953" s="18" t="s">
        <v>32</v>
      </c>
      <c r="M953" s="14">
        <v>38</v>
      </c>
      <c r="N953" s="18" t="str" cm="1">
        <f t="array" ref="N953">_xlfn.IFS(Cleaned_Working_Sheet!$M953&lt;=34,"Young",Cleaned_Working_Sheet!$M953&lt;=54,"Middle-aged",Cleaned_Working_Sheet!$M953&gt;54,"Old")</f>
        <v>Middle-aged</v>
      </c>
      <c r="O953" s="18" t="s">
        <v>18</v>
      </c>
    </row>
    <row r="954" spans="1:15" x14ac:dyDescent="0.25">
      <c r="A954" s="14">
        <v>15319</v>
      </c>
      <c r="B954" s="18" t="s">
        <v>36</v>
      </c>
      <c r="C954" s="18" t="s">
        <v>38</v>
      </c>
      <c r="D954" s="6">
        <v>70000</v>
      </c>
      <c r="E954" s="18" t="str" cm="1">
        <f t="array" ref="E954">_xlfn.IFS(Cleaned_Working_Sheet!$D954&lt;=50000,"Low Income",Cleaned_Working_Sheet!$D954&lt;100000,"Middle Income",TRUE,"High Income")</f>
        <v>Middle Income</v>
      </c>
      <c r="F954" s="16">
        <v>4</v>
      </c>
      <c r="G954" s="18" t="s">
        <v>13</v>
      </c>
      <c r="H954" s="18" t="s">
        <v>28</v>
      </c>
      <c r="I954" s="18" t="s">
        <v>18</v>
      </c>
      <c r="J954" s="16">
        <v>1</v>
      </c>
      <c r="K954" s="18" t="s">
        <v>26</v>
      </c>
      <c r="L954" s="18" t="s">
        <v>32</v>
      </c>
      <c r="M954" s="14">
        <v>59</v>
      </c>
      <c r="N954" s="18" t="str" cm="1">
        <f t="array" ref="N954">_xlfn.IFS(Cleaned_Working_Sheet!$M954&lt;=34,"Young",Cleaned_Working_Sheet!$M954&lt;=54,"Middle-aged",Cleaned_Working_Sheet!$M954&gt;54,"Old")</f>
        <v>Old</v>
      </c>
      <c r="O954" s="18" t="s">
        <v>18</v>
      </c>
    </row>
    <row r="955" spans="1:15" x14ac:dyDescent="0.25">
      <c r="A955" s="14">
        <v>17654</v>
      </c>
      <c r="B955" s="18" t="s">
        <v>37</v>
      </c>
      <c r="C955" s="18" t="s">
        <v>38</v>
      </c>
      <c r="D955" s="6">
        <v>40000</v>
      </c>
      <c r="E955" s="18" t="str" cm="1">
        <f t="array" ref="E955">_xlfn.IFS(Cleaned_Working_Sheet!$D955&lt;=50000,"Low Income",Cleaned_Working_Sheet!$D955&lt;100000,"Middle Income",TRUE,"High Income")</f>
        <v>Low Income</v>
      </c>
      <c r="F955" s="16">
        <v>3</v>
      </c>
      <c r="G955" s="18" t="s">
        <v>19</v>
      </c>
      <c r="H955" s="18" t="s">
        <v>20</v>
      </c>
      <c r="I955" s="18" t="s">
        <v>15</v>
      </c>
      <c r="J955" s="16">
        <v>1</v>
      </c>
      <c r="K955" s="18" t="s">
        <v>26</v>
      </c>
      <c r="L955" s="18" t="s">
        <v>32</v>
      </c>
      <c r="M955" s="14">
        <v>30</v>
      </c>
      <c r="N955" s="18" t="str" cm="1">
        <f t="array" ref="N955">_xlfn.IFS(Cleaned_Working_Sheet!$M955&lt;=34,"Young",Cleaned_Working_Sheet!$M955&lt;=54,"Middle-aged",Cleaned_Working_Sheet!$M955&gt;54,"Old")</f>
        <v>Young</v>
      </c>
      <c r="O955" s="18" t="s">
        <v>15</v>
      </c>
    </row>
    <row r="956" spans="1:15" x14ac:dyDescent="0.25">
      <c r="A956" s="14">
        <v>14662</v>
      </c>
      <c r="B956" s="18" t="s">
        <v>36</v>
      </c>
      <c r="C956" s="18" t="s">
        <v>39</v>
      </c>
      <c r="D956" s="6">
        <v>60000</v>
      </c>
      <c r="E956" s="18" t="str" cm="1">
        <f t="array" ref="E956">_xlfn.IFS(Cleaned_Working_Sheet!$D956&lt;=50000,"Low Income",Cleaned_Working_Sheet!$D956&lt;100000,"Middle Income",TRUE,"High Income")</f>
        <v>Middle Income</v>
      </c>
      <c r="F956" s="16">
        <v>1</v>
      </c>
      <c r="G956" s="18" t="s">
        <v>13</v>
      </c>
      <c r="H956" s="18" t="s">
        <v>21</v>
      </c>
      <c r="I956" s="18" t="s">
        <v>15</v>
      </c>
      <c r="J956" s="16">
        <v>1</v>
      </c>
      <c r="K956" s="18" t="s">
        <v>16</v>
      </c>
      <c r="L956" s="18" t="s">
        <v>32</v>
      </c>
      <c r="M956" s="14">
        <v>48</v>
      </c>
      <c r="N956" s="18" t="str" cm="1">
        <f t="array" ref="N956">_xlfn.IFS(Cleaned_Working_Sheet!$M956&lt;=34,"Young",Cleaned_Working_Sheet!$M956&lt;=54,"Middle-aged",Cleaned_Working_Sheet!$M956&gt;54,"Old")</f>
        <v>Middle-aged</v>
      </c>
      <c r="O956" s="18" t="s">
        <v>15</v>
      </c>
    </row>
    <row r="957" spans="1:15" x14ac:dyDescent="0.25">
      <c r="A957" s="14">
        <v>17541</v>
      </c>
      <c r="B957" s="18" t="s">
        <v>36</v>
      </c>
      <c r="C957" s="18" t="s">
        <v>38</v>
      </c>
      <c r="D957" s="6">
        <v>40000</v>
      </c>
      <c r="E957" s="18" t="str" cm="1">
        <f t="array" ref="E957">_xlfn.IFS(Cleaned_Working_Sheet!$D957&lt;=50000,"Low Income",Cleaned_Working_Sheet!$D957&lt;100000,"Middle Income",TRUE,"High Income")</f>
        <v>Low Income</v>
      </c>
      <c r="F957" s="16">
        <v>4</v>
      </c>
      <c r="G957" s="18" t="s">
        <v>27</v>
      </c>
      <c r="H957" s="18" t="s">
        <v>14</v>
      </c>
      <c r="I957" s="18" t="s">
        <v>15</v>
      </c>
      <c r="J957" s="16">
        <v>2</v>
      </c>
      <c r="K957" s="18" t="s">
        <v>22</v>
      </c>
      <c r="L957" s="18" t="s">
        <v>32</v>
      </c>
      <c r="M957" s="14">
        <v>43</v>
      </c>
      <c r="N957" s="18" t="str" cm="1">
        <f t="array" ref="N957">_xlfn.IFS(Cleaned_Working_Sheet!$M957&lt;=34,"Young",Cleaned_Working_Sheet!$M957&lt;=54,"Middle-aged",Cleaned_Working_Sheet!$M957&gt;54,"Old")</f>
        <v>Middle-aged</v>
      </c>
      <c r="O957" s="18" t="s">
        <v>18</v>
      </c>
    </row>
    <row r="958" spans="1:15" x14ac:dyDescent="0.25">
      <c r="A958" s="14">
        <v>13886</v>
      </c>
      <c r="B958" s="18" t="s">
        <v>36</v>
      </c>
      <c r="C958" s="18" t="s">
        <v>38</v>
      </c>
      <c r="D958" s="6">
        <v>70000</v>
      </c>
      <c r="E958" s="18" t="str" cm="1">
        <f t="array" ref="E958">_xlfn.IFS(Cleaned_Working_Sheet!$D958&lt;=50000,"Low Income",Cleaned_Working_Sheet!$D958&lt;100000,"Middle Income",TRUE,"High Income")</f>
        <v>Middle Income</v>
      </c>
      <c r="F958" s="16">
        <v>4</v>
      </c>
      <c r="G958" s="18" t="s">
        <v>31</v>
      </c>
      <c r="H958" s="18" t="s">
        <v>21</v>
      </c>
      <c r="I958" s="18" t="s">
        <v>15</v>
      </c>
      <c r="J958" s="16">
        <v>0</v>
      </c>
      <c r="K958" s="18" t="s">
        <v>22</v>
      </c>
      <c r="L958" s="18" t="s">
        <v>32</v>
      </c>
      <c r="M958" s="14">
        <v>35</v>
      </c>
      <c r="N958" s="18" t="str" cm="1">
        <f t="array" ref="N958">_xlfn.IFS(Cleaned_Working_Sheet!$M958&lt;=34,"Young",Cleaned_Working_Sheet!$M958&lt;=54,"Middle-aged",Cleaned_Working_Sheet!$M958&gt;54,"Old")</f>
        <v>Middle-aged</v>
      </c>
      <c r="O958" s="18" t="s">
        <v>15</v>
      </c>
    </row>
    <row r="959" spans="1:15" x14ac:dyDescent="0.25">
      <c r="A959" s="14">
        <v>13073</v>
      </c>
      <c r="B959" s="18" t="s">
        <v>36</v>
      </c>
      <c r="C959" s="18" t="s">
        <v>38</v>
      </c>
      <c r="D959" s="6">
        <v>60000</v>
      </c>
      <c r="E959" s="18" t="str" cm="1">
        <f t="array" ref="E959">_xlfn.IFS(Cleaned_Working_Sheet!$D959&lt;=50000,"Low Income",Cleaned_Working_Sheet!$D959&lt;100000,"Middle Income",TRUE,"High Income")</f>
        <v>Middle Income</v>
      </c>
      <c r="F959" s="16">
        <v>0</v>
      </c>
      <c r="G959" s="18" t="s">
        <v>19</v>
      </c>
      <c r="H959" s="18" t="s">
        <v>21</v>
      </c>
      <c r="I959" s="18" t="s">
        <v>15</v>
      </c>
      <c r="J959" s="16">
        <v>2</v>
      </c>
      <c r="K959" s="18" t="s">
        <v>23</v>
      </c>
      <c r="L959" s="18" t="s">
        <v>32</v>
      </c>
      <c r="M959" s="14">
        <v>30</v>
      </c>
      <c r="N959" s="18" t="str" cm="1">
        <f t="array" ref="N959">_xlfn.IFS(Cleaned_Working_Sheet!$M959&lt;=34,"Young",Cleaned_Working_Sheet!$M959&lt;=54,"Middle-aged",Cleaned_Working_Sheet!$M959&gt;54,"Old")</f>
        <v>Young</v>
      </c>
      <c r="O959" s="18" t="s">
        <v>18</v>
      </c>
    </row>
    <row r="960" spans="1:15" x14ac:dyDescent="0.25">
      <c r="A960" s="14">
        <v>21940</v>
      </c>
      <c r="B960" s="18" t="s">
        <v>36</v>
      </c>
      <c r="C960" s="18" t="s">
        <v>39</v>
      </c>
      <c r="D960" s="6">
        <v>90000</v>
      </c>
      <c r="E960" s="18" t="str" cm="1">
        <f t="array" ref="E960">_xlfn.IFS(Cleaned_Working_Sheet!$D960&lt;=50000,"Low Income",Cleaned_Working_Sheet!$D960&lt;100000,"Middle Income",TRUE,"High Income")</f>
        <v>Middle Income</v>
      </c>
      <c r="F960" s="16">
        <v>5</v>
      </c>
      <c r="G960" s="18" t="s">
        <v>31</v>
      </c>
      <c r="H960" s="18" t="s">
        <v>21</v>
      </c>
      <c r="I960" s="18" t="s">
        <v>15</v>
      </c>
      <c r="J960" s="16">
        <v>0</v>
      </c>
      <c r="K960" s="18" t="s">
        <v>16</v>
      </c>
      <c r="L960" s="18" t="s">
        <v>32</v>
      </c>
      <c r="M960" s="14">
        <v>47</v>
      </c>
      <c r="N960" s="18" t="str" cm="1">
        <f t="array" ref="N960">_xlfn.IFS(Cleaned_Working_Sheet!$M960&lt;=34,"Young",Cleaned_Working_Sheet!$M960&lt;=54,"Middle-aged",Cleaned_Working_Sheet!$M960&gt;54,"Old")</f>
        <v>Middle-aged</v>
      </c>
      <c r="O960" s="18" t="s">
        <v>15</v>
      </c>
    </row>
    <row r="961" spans="1:15" x14ac:dyDescent="0.25">
      <c r="A961" s="14">
        <v>20196</v>
      </c>
      <c r="B961" s="18" t="s">
        <v>36</v>
      </c>
      <c r="C961" s="18" t="s">
        <v>39</v>
      </c>
      <c r="D961" s="6">
        <v>60000</v>
      </c>
      <c r="E961" s="18" t="str" cm="1">
        <f t="array" ref="E961">_xlfn.IFS(Cleaned_Working_Sheet!$D961&lt;=50000,"Low Income",Cleaned_Working_Sheet!$D961&lt;100000,"Middle Income",TRUE,"High Income")</f>
        <v>Middle Income</v>
      </c>
      <c r="F961" s="16">
        <v>1</v>
      </c>
      <c r="G961" s="18" t="s">
        <v>19</v>
      </c>
      <c r="H961" s="18" t="s">
        <v>14</v>
      </c>
      <c r="I961" s="18" t="s">
        <v>15</v>
      </c>
      <c r="J961" s="16">
        <v>1</v>
      </c>
      <c r="K961" s="18" t="s">
        <v>22</v>
      </c>
      <c r="L961" s="18" t="s">
        <v>32</v>
      </c>
      <c r="M961" s="14">
        <v>45</v>
      </c>
      <c r="N961" s="18" t="str" cm="1">
        <f t="array" ref="N961">_xlfn.IFS(Cleaned_Working_Sheet!$M961&lt;=34,"Young",Cleaned_Working_Sheet!$M961&lt;=54,"Middle-aged",Cleaned_Working_Sheet!$M961&gt;54,"Old")</f>
        <v>Middle-aged</v>
      </c>
      <c r="O961" s="18" t="s">
        <v>15</v>
      </c>
    </row>
    <row r="962" spans="1:15" x14ac:dyDescent="0.25">
      <c r="A962" s="14">
        <v>23491</v>
      </c>
      <c r="B962" s="18" t="s">
        <v>37</v>
      </c>
      <c r="C962" s="18" t="s">
        <v>39</v>
      </c>
      <c r="D962" s="6">
        <v>100000</v>
      </c>
      <c r="E962" s="18" t="str" cm="1">
        <f t="array" ref="E962">_xlfn.IFS(Cleaned_Working_Sheet!$D962&lt;=50000,"Low Income",Cleaned_Working_Sheet!$D962&lt;100000,"Middle Income",TRUE,"High Income")</f>
        <v>High Income</v>
      </c>
      <c r="F962" s="16">
        <v>0</v>
      </c>
      <c r="G962" s="18" t="s">
        <v>19</v>
      </c>
      <c r="H962" s="18" t="s">
        <v>21</v>
      </c>
      <c r="I962" s="18" t="s">
        <v>18</v>
      </c>
      <c r="J962" s="16">
        <v>4</v>
      </c>
      <c r="K962" s="18" t="s">
        <v>26</v>
      </c>
      <c r="L962" s="18" t="s">
        <v>32</v>
      </c>
      <c r="M962" s="14">
        <v>45</v>
      </c>
      <c r="N962" s="18" t="str" cm="1">
        <f t="array" ref="N962">_xlfn.IFS(Cleaned_Working_Sheet!$M962&lt;=34,"Young",Cleaned_Working_Sheet!$M962&lt;=54,"Middle-aged",Cleaned_Working_Sheet!$M962&gt;54,"Old")</f>
        <v>Middle-aged</v>
      </c>
      <c r="O962" s="18" t="s">
        <v>18</v>
      </c>
    </row>
    <row r="963" spans="1:15" x14ac:dyDescent="0.25">
      <c r="A963" s="14">
        <v>16651</v>
      </c>
      <c r="B963" s="18" t="s">
        <v>36</v>
      </c>
      <c r="C963" s="18" t="s">
        <v>38</v>
      </c>
      <c r="D963" s="6">
        <v>120000</v>
      </c>
      <c r="E963" s="18" t="str" cm="1">
        <f t="array" ref="E963">_xlfn.IFS(Cleaned_Working_Sheet!$D963&lt;=50000,"Low Income",Cleaned_Working_Sheet!$D963&lt;100000,"Middle Income",TRUE,"High Income")</f>
        <v>High Income</v>
      </c>
      <c r="F963" s="16">
        <v>2</v>
      </c>
      <c r="G963" s="18" t="s">
        <v>13</v>
      </c>
      <c r="H963" s="18" t="s">
        <v>28</v>
      </c>
      <c r="I963" s="18" t="s">
        <v>15</v>
      </c>
      <c r="J963" s="16">
        <v>3</v>
      </c>
      <c r="K963" s="18" t="s">
        <v>23</v>
      </c>
      <c r="L963" s="18" t="s">
        <v>32</v>
      </c>
      <c r="M963" s="14">
        <v>62</v>
      </c>
      <c r="N963" s="18" t="str" cm="1">
        <f t="array" ref="N963">_xlfn.IFS(Cleaned_Working_Sheet!$M963&lt;=34,"Young",Cleaned_Working_Sheet!$M963&lt;=54,"Middle-aged",Cleaned_Working_Sheet!$M963&gt;54,"Old")</f>
        <v>Old</v>
      </c>
      <c r="O963" s="18" t="s">
        <v>18</v>
      </c>
    </row>
    <row r="964" spans="1:15" x14ac:dyDescent="0.25">
      <c r="A964" s="14">
        <v>16813</v>
      </c>
      <c r="B964" s="18" t="s">
        <v>36</v>
      </c>
      <c r="C964" s="18" t="s">
        <v>39</v>
      </c>
      <c r="D964" s="6">
        <v>60000</v>
      </c>
      <c r="E964" s="18" t="str" cm="1">
        <f t="array" ref="E964">_xlfn.IFS(Cleaned_Working_Sheet!$D964&lt;=50000,"Low Income",Cleaned_Working_Sheet!$D964&lt;100000,"Middle Income",TRUE,"High Income")</f>
        <v>Middle Income</v>
      </c>
      <c r="F964" s="16">
        <v>2</v>
      </c>
      <c r="G964" s="18" t="s">
        <v>19</v>
      </c>
      <c r="H964" s="18" t="s">
        <v>21</v>
      </c>
      <c r="I964" s="18" t="s">
        <v>15</v>
      </c>
      <c r="J964" s="16">
        <v>2</v>
      </c>
      <c r="K964" s="18" t="s">
        <v>43</v>
      </c>
      <c r="L964" s="18" t="s">
        <v>32</v>
      </c>
      <c r="M964" s="14">
        <v>55</v>
      </c>
      <c r="N964" s="18" t="str" cm="1">
        <f t="array" ref="N964">_xlfn.IFS(Cleaned_Working_Sheet!$M964&lt;=34,"Young",Cleaned_Working_Sheet!$M964&lt;=54,"Middle-aged",Cleaned_Working_Sheet!$M964&gt;54,"Old")</f>
        <v>Old</v>
      </c>
      <c r="O964" s="18" t="s">
        <v>18</v>
      </c>
    </row>
    <row r="965" spans="1:15" x14ac:dyDescent="0.25">
      <c r="A965" s="14">
        <v>16007</v>
      </c>
      <c r="B965" s="18" t="s">
        <v>36</v>
      </c>
      <c r="C965" s="18" t="s">
        <v>38</v>
      </c>
      <c r="D965" s="6">
        <v>90000</v>
      </c>
      <c r="E965" s="18" t="str" cm="1">
        <f t="array" ref="E965">_xlfn.IFS(Cleaned_Working_Sheet!$D965&lt;=50000,"Low Income",Cleaned_Working_Sheet!$D965&lt;100000,"Middle Income",TRUE,"High Income")</f>
        <v>Middle Income</v>
      </c>
      <c r="F965" s="16">
        <v>5</v>
      </c>
      <c r="G965" s="18" t="s">
        <v>13</v>
      </c>
      <c r="H965" s="18" t="s">
        <v>28</v>
      </c>
      <c r="I965" s="18" t="s">
        <v>15</v>
      </c>
      <c r="J965" s="16">
        <v>2</v>
      </c>
      <c r="K965" s="18" t="s">
        <v>26</v>
      </c>
      <c r="L965" s="18" t="s">
        <v>32</v>
      </c>
      <c r="M965" s="14">
        <v>66</v>
      </c>
      <c r="N965" s="18" t="str" cm="1">
        <f t="array" ref="N965">_xlfn.IFS(Cleaned_Working_Sheet!$M965&lt;=34,"Young",Cleaned_Working_Sheet!$M965&lt;=54,"Middle-aged",Cleaned_Working_Sheet!$M965&gt;54,"Old")</f>
        <v>Old</v>
      </c>
      <c r="O965" s="18" t="s">
        <v>15</v>
      </c>
    </row>
    <row r="966" spans="1:15" x14ac:dyDescent="0.25">
      <c r="A966" s="14">
        <v>27434</v>
      </c>
      <c r="B966" s="18" t="s">
        <v>37</v>
      </c>
      <c r="C966" s="18" t="s">
        <v>39</v>
      </c>
      <c r="D966" s="6">
        <v>70000</v>
      </c>
      <c r="E966" s="18" t="str" cm="1">
        <f t="array" ref="E966">_xlfn.IFS(Cleaned_Working_Sheet!$D966&lt;=50000,"Low Income",Cleaned_Working_Sheet!$D966&lt;100000,"Middle Income",TRUE,"High Income")</f>
        <v>Middle Income</v>
      </c>
      <c r="F966" s="16">
        <v>4</v>
      </c>
      <c r="G966" s="18" t="s">
        <v>19</v>
      </c>
      <c r="H966" s="18" t="s">
        <v>21</v>
      </c>
      <c r="I966" s="18" t="s">
        <v>15</v>
      </c>
      <c r="J966" s="16">
        <v>1</v>
      </c>
      <c r="K966" s="18" t="s">
        <v>43</v>
      </c>
      <c r="L966" s="18" t="s">
        <v>32</v>
      </c>
      <c r="M966" s="14">
        <v>56</v>
      </c>
      <c r="N966" s="18" t="str" cm="1">
        <f t="array" ref="N966">_xlfn.IFS(Cleaned_Working_Sheet!$M966&lt;=34,"Young",Cleaned_Working_Sheet!$M966&lt;=54,"Middle-aged",Cleaned_Working_Sheet!$M966&gt;54,"Old")</f>
        <v>Old</v>
      </c>
      <c r="O966" s="18" t="s">
        <v>18</v>
      </c>
    </row>
    <row r="967" spans="1:15" x14ac:dyDescent="0.25">
      <c r="A967" s="14">
        <v>27756</v>
      </c>
      <c r="B967" s="18" t="s">
        <v>37</v>
      </c>
      <c r="C967" s="18" t="s">
        <v>38</v>
      </c>
      <c r="D967" s="6">
        <v>50000</v>
      </c>
      <c r="E967" s="18" t="str" cm="1">
        <f t="array" ref="E967">_xlfn.IFS(Cleaned_Working_Sheet!$D967&lt;=50000,"Low Income",Cleaned_Working_Sheet!$D967&lt;100000,"Middle Income",TRUE,"High Income")</f>
        <v>Low Income</v>
      </c>
      <c r="F967" s="16">
        <v>3</v>
      </c>
      <c r="G967" s="18" t="s">
        <v>13</v>
      </c>
      <c r="H967" s="18" t="s">
        <v>14</v>
      </c>
      <c r="I967" s="18" t="s">
        <v>18</v>
      </c>
      <c r="J967" s="16">
        <v>1</v>
      </c>
      <c r="K967" s="18" t="s">
        <v>16</v>
      </c>
      <c r="L967" s="18" t="s">
        <v>32</v>
      </c>
      <c r="M967" s="14">
        <v>40</v>
      </c>
      <c r="N967" s="18" t="str" cm="1">
        <f t="array" ref="N967">_xlfn.IFS(Cleaned_Working_Sheet!$M967&lt;=34,"Young",Cleaned_Working_Sheet!$M967&lt;=54,"Middle-aged",Cleaned_Working_Sheet!$M967&gt;54,"Old")</f>
        <v>Middle-aged</v>
      </c>
      <c r="O967" s="18" t="s">
        <v>18</v>
      </c>
    </row>
    <row r="968" spans="1:15" x14ac:dyDescent="0.25">
      <c r="A968" s="14">
        <v>23818</v>
      </c>
      <c r="B968" s="18" t="s">
        <v>36</v>
      </c>
      <c r="C968" s="18" t="s">
        <v>38</v>
      </c>
      <c r="D968" s="6">
        <v>50000</v>
      </c>
      <c r="E968" s="18" t="str" cm="1">
        <f t="array" ref="E968">_xlfn.IFS(Cleaned_Working_Sheet!$D968&lt;=50000,"Low Income",Cleaned_Working_Sheet!$D968&lt;100000,"Middle Income",TRUE,"High Income")</f>
        <v>Low Income</v>
      </c>
      <c r="F968" s="16">
        <v>0</v>
      </c>
      <c r="G968" s="18" t="s">
        <v>31</v>
      </c>
      <c r="H968" s="18" t="s">
        <v>14</v>
      </c>
      <c r="I968" s="18" t="s">
        <v>15</v>
      </c>
      <c r="J968" s="16">
        <v>0</v>
      </c>
      <c r="K968" s="18" t="s">
        <v>26</v>
      </c>
      <c r="L968" s="18" t="s">
        <v>32</v>
      </c>
      <c r="M968" s="14">
        <v>33</v>
      </c>
      <c r="N968" s="18" t="str" cm="1">
        <f t="array" ref="N968">_xlfn.IFS(Cleaned_Working_Sheet!$M968&lt;=34,"Young",Cleaned_Working_Sheet!$M968&lt;=54,"Middle-aged",Cleaned_Working_Sheet!$M968&gt;54,"Old")</f>
        <v>Young</v>
      </c>
      <c r="O968" s="18" t="s">
        <v>15</v>
      </c>
    </row>
    <row r="969" spans="1:15" x14ac:dyDescent="0.25">
      <c r="A969" s="14">
        <v>19012</v>
      </c>
      <c r="B969" s="18" t="s">
        <v>36</v>
      </c>
      <c r="C969" s="18" t="s">
        <v>39</v>
      </c>
      <c r="D969" s="6">
        <v>80000</v>
      </c>
      <c r="E969" s="18" t="str" cm="1">
        <f t="array" ref="E969">_xlfn.IFS(Cleaned_Working_Sheet!$D969&lt;=50000,"Low Income",Cleaned_Working_Sheet!$D969&lt;100000,"Middle Income",TRUE,"High Income")</f>
        <v>Middle Income</v>
      </c>
      <c r="F969" s="16">
        <v>3</v>
      </c>
      <c r="G969" s="18" t="s">
        <v>13</v>
      </c>
      <c r="H969" s="18" t="s">
        <v>28</v>
      </c>
      <c r="I969" s="18" t="s">
        <v>15</v>
      </c>
      <c r="J969" s="16">
        <v>1</v>
      </c>
      <c r="K969" s="18" t="s">
        <v>26</v>
      </c>
      <c r="L969" s="18" t="s">
        <v>32</v>
      </c>
      <c r="M969" s="14">
        <v>56</v>
      </c>
      <c r="N969" s="18" t="str" cm="1">
        <f t="array" ref="N969">_xlfn.IFS(Cleaned_Working_Sheet!$M969&lt;=34,"Young",Cleaned_Working_Sheet!$M969&lt;=54,"Middle-aged",Cleaned_Working_Sheet!$M969&gt;54,"Old")</f>
        <v>Old</v>
      </c>
      <c r="O969" s="18" t="s">
        <v>18</v>
      </c>
    </row>
    <row r="970" spans="1:15" x14ac:dyDescent="0.25">
      <c r="A970" s="14">
        <v>18329</v>
      </c>
      <c r="B970" s="18" t="s">
        <v>37</v>
      </c>
      <c r="C970" s="18" t="s">
        <v>39</v>
      </c>
      <c r="D970" s="6">
        <v>30000</v>
      </c>
      <c r="E970" s="18" t="str" cm="1">
        <f t="array" ref="E970">_xlfn.IFS(Cleaned_Working_Sheet!$D970&lt;=50000,"Low Income",Cleaned_Working_Sheet!$D970&lt;100000,"Middle Income",TRUE,"High Income")</f>
        <v>Low Income</v>
      </c>
      <c r="F970" s="16">
        <v>0</v>
      </c>
      <c r="G970" s="18" t="s">
        <v>29</v>
      </c>
      <c r="H970" s="18" t="s">
        <v>20</v>
      </c>
      <c r="I970" s="18" t="s">
        <v>18</v>
      </c>
      <c r="J970" s="16">
        <v>2</v>
      </c>
      <c r="K970" s="18" t="s">
        <v>23</v>
      </c>
      <c r="L970" s="18" t="s">
        <v>32</v>
      </c>
      <c r="M970" s="14">
        <v>27</v>
      </c>
      <c r="N970" s="18" t="str" cm="1">
        <f t="array" ref="N970">_xlfn.IFS(Cleaned_Working_Sheet!$M970&lt;=34,"Young",Cleaned_Working_Sheet!$M970&lt;=54,"Middle-aged",Cleaned_Working_Sheet!$M970&gt;54,"Old")</f>
        <v>Young</v>
      </c>
      <c r="O970" s="18" t="s">
        <v>18</v>
      </c>
    </row>
    <row r="971" spans="1:15" x14ac:dyDescent="0.25">
      <c r="A971" s="14">
        <v>29037</v>
      </c>
      <c r="B971" s="18" t="s">
        <v>36</v>
      </c>
      <c r="C971" s="18" t="s">
        <v>39</v>
      </c>
      <c r="D971" s="6">
        <v>60000</v>
      </c>
      <c r="E971" s="18" t="str" cm="1">
        <f t="array" ref="E971">_xlfn.IFS(Cleaned_Working_Sheet!$D971&lt;=50000,"Low Income",Cleaned_Working_Sheet!$D971&lt;100000,"Middle Income",TRUE,"High Income")</f>
        <v>Middle Income</v>
      </c>
      <c r="F971" s="16">
        <v>0</v>
      </c>
      <c r="G971" s="18" t="s">
        <v>31</v>
      </c>
      <c r="H971" s="18" t="s">
        <v>21</v>
      </c>
      <c r="I971" s="18" t="s">
        <v>18</v>
      </c>
      <c r="J971" s="16">
        <v>0</v>
      </c>
      <c r="K971" s="18" t="s">
        <v>16</v>
      </c>
      <c r="L971" s="18" t="s">
        <v>32</v>
      </c>
      <c r="M971" s="14">
        <v>39</v>
      </c>
      <c r="N971" s="18" t="str" cm="1">
        <f t="array" ref="N971">_xlfn.IFS(Cleaned_Working_Sheet!$M971&lt;=34,"Young",Cleaned_Working_Sheet!$M971&lt;=54,"Middle-aged",Cleaned_Working_Sheet!$M971&gt;54,"Old")</f>
        <v>Middle-aged</v>
      </c>
      <c r="O971" s="18" t="s">
        <v>18</v>
      </c>
    </row>
    <row r="972" spans="1:15" x14ac:dyDescent="0.25">
      <c r="A972" s="14">
        <v>26576</v>
      </c>
      <c r="B972" s="18" t="s">
        <v>36</v>
      </c>
      <c r="C972" s="18" t="s">
        <v>38</v>
      </c>
      <c r="D972" s="6">
        <v>60000</v>
      </c>
      <c r="E972" s="18" t="str" cm="1">
        <f t="array" ref="E972">_xlfn.IFS(Cleaned_Working_Sheet!$D972&lt;=50000,"Low Income",Cleaned_Working_Sheet!$D972&lt;100000,"Middle Income",TRUE,"High Income")</f>
        <v>Middle Income</v>
      </c>
      <c r="F972" s="16">
        <v>0</v>
      </c>
      <c r="G972" s="18" t="s">
        <v>19</v>
      </c>
      <c r="H972" s="18" t="s">
        <v>14</v>
      </c>
      <c r="I972" s="18" t="s">
        <v>15</v>
      </c>
      <c r="J972" s="16">
        <v>2</v>
      </c>
      <c r="K972" s="18" t="s">
        <v>23</v>
      </c>
      <c r="L972" s="18" t="s">
        <v>32</v>
      </c>
      <c r="M972" s="14">
        <v>31</v>
      </c>
      <c r="N972" s="18" t="str" cm="1">
        <f t="array" ref="N972">_xlfn.IFS(Cleaned_Working_Sheet!$M972&lt;=34,"Young",Cleaned_Working_Sheet!$M972&lt;=54,"Middle-aged",Cleaned_Working_Sheet!$M972&gt;54,"Old")</f>
        <v>Young</v>
      </c>
      <c r="O972" s="18" t="s">
        <v>18</v>
      </c>
    </row>
    <row r="973" spans="1:15" x14ac:dyDescent="0.25">
      <c r="A973" s="14">
        <v>12192</v>
      </c>
      <c r="B973" s="18" t="s">
        <v>37</v>
      </c>
      <c r="C973" s="18" t="s">
        <v>38</v>
      </c>
      <c r="D973" s="6">
        <v>60000</v>
      </c>
      <c r="E973" s="18" t="str" cm="1">
        <f t="array" ref="E973">_xlfn.IFS(Cleaned_Working_Sheet!$D973&lt;=50000,"Low Income",Cleaned_Working_Sheet!$D973&lt;100000,"Middle Income",TRUE,"High Income")</f>
        <v>Middle Income</v>
      </c>
      <c r="F973" s="16">
        <v>2</v>
      </c>
      <c r="G973" s="18" t="s">
        <v>29</v>
      </c>
      <c r="H973" s="18" t="s">
        <v>14</v>
      </c>
      <c r="I973" s="18" t="s">
        <v>18</v>
      </c>
      <c r="J973" s="16">
        <v>2</v>
      </c>
      <c r="K973" s="18" t="s">
        <v>26</v>
      </c>
      <c r="L973" s="18" t="s">
        <v>32</v>
      </c>
      <c r="M973" s="14">
        <v>51</v>
      </c>
      <c r="N973" s="18" t="str" cm="1">
        <f t="array" ref="N973">_xlfn.IFS(Cleaned_Working_Sheet!$M973&lt;=34,"Young",Cleaned_Working_Sheet!$M973&lt;=54,"Middle-aged",Cleaned_Working_Sheet!$M973&gt;54,"Old")</f>
        <v>Middle-aged</v>
      </c>
      <c r="O973" s="18" t="s">
        <v>18</v>
      </c>
    </row>
    <row r="974" spans="1:15" x14ac:dyDescent="0.25">
      <c r="A974" s="14">
        <v>14887</v>
      </c>
      <c r="B974" s="18" t="s">
        <v>36</v>
      </c>
      <c r="C974" s="18" t="s">
        <v>38</v>
      </c>
      <c r="D974" s="6">
        <v>30000</v>
      </c>
      <c r="E974" s="18" t="str" cm="1">
        <f t="array" ref="E974">_xlfn.IFS(Cleaned_Working_Sheet!$D974&lt;=50000,"Low Income",Cleaned_Working_Sheet!$D974&lt;100000,"Middle Income",TRUE,"High Income")</f>
        <v>Low Income</v>
      </c>
      <c r="F974" s="16">
        <v>1</v>
      </c>
      <c r="G974" s="18" t="s">
        <v>27</v>
      </c>
      <c r="H974" s="18" t="s">
        <v>20</v>
      </c>
      <c r="I974" s="18" t="s">
        <v>15</v>
      </c>
      <c r="J974" s="16">
        <v>1</v>
      </c>
      <c r="K974" s="18" t="s">
        <v>23</v>
      </c>
      <c r="L974" s="18" t="s">
        <v>32</v>
      </c>
      <c r="M974" s="14">
        <v>52</v>
      </c>
      <c r="N974" s="18" t="str" cm="1">
        <f t="array" ref="N974">_xlfn.IFS(Cleaned_Working_Sheet!$M974&lt;=34,"Young",Cleaned_Working_Sheet!$M974&lt;=54,"Middle-aged",Cleaned_Working_Sheet!$M974&gt;54,"Old")</f>
        <v>Middle-aged</v>
      </c>
      <c r="O974" s="18" t="s">
        <v>18</v>
      </c>
    </row>
    <row r="975" spans="1:15" x14ac:dyDescent="0.25">
      <c r="A975" s="14">
        <v>11734</v>
      </c>
      <c r="B975" s="18" t="s">
        <v>36</v>
      </c>
      <c r="C975" s="18" t="s">
        <v>39</v>
      </c>
      <c r="D975" s="6">
        <v>60000</v>
      </c>
      <c r="E975" s="18" t="str" cm="1">
        <f t="array" ref="E975">_xlfn.IFS(Cleaned_Working_Sheet!$D975&lt;=50000,"Low Income",Cleaned_Working_Sheet!$D975&lt;100000,"Middle Income",TRUE,"High Income")</f>
        <v>Middle Income</v>
      </c>
      <c r="F975" s="16">
        <v>1</v>
      </c>
      <c r="G975" s="18" t="s">
        <v>19</v>
      </c>
      <c r="H975" s="18" t="s">
        <v>14</v>
      </c>
      <c r="I975" s="18" t="s">
        <v>18</v>
      </c>
      <c r="J975" s="16">
        <v>1</v>
      </c>
      <c r="K975" s="18" t="s">
        <v>16</v>
      </c>
      <c r="L975" s="18" t="s">
        <v>32</v>
      </c>
      <c r="M975" s="14">
        <v>47</v>
      </c>
      <c r="N975" s="18" t="str" cm="1">
        <f t="array" ref="N975">_xlfn.IFS(Cleaned_Working_Sheet!$M975&lt;=34,"Young",Cleaned_Working_Sheet!$M975&lt;=54,"Middle-aged",Cleaned_Working_Sheet!$M975&gt;54,"Old")</f>
        <v>Middle-aged</v>
      </c>
      <c r="O975" s="18" t="s">
        <v>18</v>
      </c>
    </row>
    <row r="976" spans="1:15" x14ac:dyDescent="0.25">
      <c r="A976" s="14">
        <v>17462</v>
      </c>
      <c r="B976" s="18" t="s">
        <v>36</v>
      </c>
      <c r="C976" s="18" t="s">
        <v>39</v>
      </c>
      <c r="D976" s="6">
        <v>70000</v>
      </c>
      <c r="E976" s="18" t="str" cm="1">
        <f t="array" ref="E976">_xlfn.IFS(Cleaned_Working_Sheet!$D976&lt;=50000,"Low Income",Cleaned_Working_Sheet!$D976&lt;100000,"Middle Income",TRUE,"High Income")</f>
        <v>Middle Income</v>
      </c>
      <c r="F976" s="16">
        <v>3</v>
      </c>
      <c r="G976" s="18" t="s">
        <v>31</v>
      </c>
      <c r="H976" s="18" t="s">
        <v>28</v>
      </c>
      <c r="I976" s="18" t="s">
        <v>15</v>
      </c>
      <c r="J976" s="16">
        <v>2</v>
      </c>
      <c r="K976" s="18" t="s">
        <v>23</v>
      </c>
      <c r="L976" s="18" t="s">
        <v>32</v>
      </c>
      <c r="M976" s="14">
        <v>53</v>
      </c>
      <c r="N976" s="18" t="str" cm="1">
        <f t="array" ref="N976">_xlfn.IFS(Cleaned_Working_Sheet!$M976&lt;=34,"Young",Cleaned_Working_Sheet!$M976&lt;=54,"Middle-aged",Cleaned_Working_Sheet!$M976&gt;54,"Old")</f>
        <v>Middle-aged</v>
      </c>
      <c r="O976" s="18" t="s">
        <v>15</v>
      </c>
    </row>
    <row r="977" spans="1:15" x14ac:dyDescent="0.25">
      <c r="A977" s="14">
        <v>20659</v>
      </c>
      <c r="B977" s="18" t="s">
        <v>36</v>
      </c>
      <c r="C977" s="18" t="s">
        <v>39</v>
      </c>
      <c r="D977" s="6">
        <v>70000</v>
      </c>
      <c r="E977" s="18" t="str" cm="1">
        <f t="array" ref="E977">_xlfn.IFS(Cleaned_Working_Sheet!$D977&lt;=50000,"Low Income",Cleaned_Working_Sheet!$D977&lt;100000,"Middle Income",TRUE,"High Income")</f>
        <v>Middle Income</v>
      </c>
      <c r="F977" s="16">
        <v>3</v>
      </c>
      <c r="G977" s="18" t="s">
        <v>31</v>
      </c>
      <c r="H977" s="18" t="s">
        <v>21</v>
      </c>
      <c r="I977" s="18" t="s">
        <v>15</v>
      </c>
      <c r="J977" s="16">
        <v>0</v>
      </c>
      <c r="K977" s="18" t="s">
        <v>16</v>
      </c>
      <c r="L977" s="18" t="s">
        <v>32</v>
      </c>
      <c r="M977" s="14">
        <v>35</v>
      </c>
      <c r="N977" s="18" t="str" cm="1">
        <f t="array" ref="N977">_xlfn.IFS(Cleaned_Working_Sheet!$M977&lt;=34,"Young",Cleaned_Working_Sheet!$M977&lt;=54,"Middle-aged",Cleaned_Working_Sheet!$M977&gt;54,"Old")</f>
        <v>Middle-aged</v>
      </c>
      <c r="O977" s="18" t="s">
        <v>15</v>
      </c>
    </row>
    <row r="978" spans="1:15" x14ac:dyDescent="0.25">
      <c r="A978" s="14">
        <v>28004</v>
      </c>
      <c r="B978" s="18" t="s">
        <v>36</v>
      </c>
      <c r="C978" s="18" t="s">
        <v>38</v>
      </c>
      <c r="D978" s="6">
        <v>60000</v>
      </c>
      <c r="E978" s="18" t="str" cm="1">
        <f t="array" ref="E978">_xlfn.IFS(Cleaned_Working_Sheet!$D978&lt;=50000,"Low Income",Cleaned_Working_Sheet!$D978&lt;100000,"Middle Income",TRUE,"High Income")</f>
        <v>Middle Income</v>
      </c>
      <c r="F978" s="16">
        <v>3</v>
      </c>
      <c r="G978" s="18" t="s">
        <v>13</v>
      </c>
      <c r="H978" s="18" t="s">
        <v>28</v>
      </c>
      <c r="I978" s="18" t="s">
        <v>15</v>
      </c>
      <c r="J978" s="16">
        <v>2</v>
      </c>
      <c r="K978" s="18" t="s">
        <v>43</v>
      </c>
      <c r="L978" s="18" t="s">
        <v>32</v>
      </c>
      <c r="M978" s="14">
        <v>66</v>
      </c>
      <c r="N978" s="18" t="str" cm="1">
        <f t="array" ref="N978">_xlfn.IFS(Cleaned_Working_Sheet!$M978&lt;=34,"Young",Cleaned_Working_Sheet!$M978&lt;=54,"Middle-aged",Cleaned_Working_Sheet!$M978&gt;54,"Old")</f>
        <v>Old</v>
      </c>
      <c r="O978" s="18" t="s">
        <v>18</v>
      </c>
    </row>
    <row r="979" spans="1:15" x14ac:dyDescent="0.25">
      <c r="A979" s="14">
        <v>19741</v>
      </c>
      <c r="B979" s="18" t="s">
        <v>37</v>
      </c>
      <c r="C979" s="18" t="s">
        <v>38</v>
      </c>
      <c r="D979" s="6">
        <v>80000</v>
      </c>
      <c r="E979" s="18" t="str" cm="1">
        <f t="array" ref="E979">_xlfn.IFS(Cleaned_Working_Sheet!$D979&lt;=50000,"Low Income",Cleaned_Working_Sheet!$D979&lt;100000,"Middle Income",TRUE,"High Income")</f>
        <v>Middle Income</v>
      </c>
      <c r="F979" s="16">
        <v>4</v>
      </c>
      <c r="G979" s="18" t="s">
        <v>31</v>
      </c>
      <c r="H979" s="18" t="s">
        <v>28</v>
      </c>
      <c r="I979" s="18" t="s">
        <v>15</v>
      </c>
      <c r="J979" s="16">
        <v>2</v>
      </c>
      <c r="K979" s="18" t="s">
        <v>23</v>
      </c>
      <c r="L979" s="18" t="s">
        <v>32</v>
      </c>
      <c r="M979" s="14">
        <v>65</v>
      </c>
      <c r="N979" s="18" t="str" cm="1">
        <f t="array" ref="N979">_xlfn.IFS(Cleaned_Working_Sheet!$M979&lt;=34,"Young",Cleaned_Working_Sheet!$M979&lt;=54,"Middle-aged",Cleaned_Working_Sheet!$M979&gt;54,"Old")</f>
        <v>Old</v>
      </c>
      <c r="O979" s="18" t="s">
        <v>18</v>
      </c>
    </row>
    <row r="980" spans="1:15" x14ac:dyDescent="0.25">
      <c r="A980" s="14">
        <v>17450</v>
      </c>
      <c r="B980" s="18" t="s">
        <v>36</v>
      </c>
      <c r="C980" s="18" t="s">
        <v>39</v>
      </c>
      <c r="D980" s="6">
        <v>80000</v>
      </c>
      <c r="E980" s="18" t="str" cm="1">
        <f t="array" ref="E980">_xlfn.IFS(Cleaned_Working_Sheet!$D980&lt;=50000,"Low Income",Cleaned_Working_Sheet!$D980&lt;100000,"Middle Income",TRUE,"High Income")</f>
        <v>Middle Income</v>
      </c>
      <c r="F980" s="16">
        <v>5</v>
      </c>
      <c r="G980" s="18" t="s">
        <v>19</v>
      </c>
      <c r="H980" s="18" t="s">
        <v>21</v>
      </c>
      <c r="I980" s="18" t="s">
        <v>15</v>
      </c>
      <c r="J980" s="16">
        <v>3</v>
      </c>
      <c r="K980" s="18" t="s">
        <v>23</v>
      </c>
      <c r="L980" s="18" t="s">
        <v>32</v>
      </c>
      <c r="M980" s="14">
        <v>45</v>
      </c>
      <c r="N980" s="18" t="str" cm="1">
        <f t="array" ref="N980">_xlfn.IFS(Cleaned_Working_Sheet!$M980&lt;=34,"Young",Cleaned_Working_Sheet!$M980&lt;=54,"Middle-aged",Cleaned_Working_Sheet!$M980&gt;54,"Old")</f>
        <v>Middle-aged</v>
      </c>
      <c r="O980" s="18" t="s">
        <v>18</v>
      </c>
    </row>
    <row r="981" spans="1:15" x14ac:dyDescent="0.25">
      <c r="A981" s="14">
        <v>17337</v>
      </c>
      <c r="B981" s="18" t="s">
        <v>37</v>
      </c>
      <c r="C981" s="18" t="s">
        <v>39</v>
      </c>
      <c r="D981" s="6">
        <v>40000</v>
      </c>
      <c r="E981" s="18" t="str" cm="1">
        <f t="array" ref="E981">_xlfn.IFS(Cleaned_Working_Sheet!$D981&lt;=50000,"Low Income",Cleaned_Working_Sheet!$D981&lt;100000,"Middle Income",TRUE,"High Income")</f>
        <v>Low Income</v>
      </c>
      <c r="F981" s="16">
        <v>0</v>
      </c>
      <c r="G981" s="18" t="s">
        <v>27</v>
      </c>
      <c r="H981" s="18" t="s">
        <v>14</v>
      </c>
      <c r="I981" s="18" t="s">
        <v>15</v>
      </c>
      <c r="J981" s="16">
        <v>1</v>
      </c>
      <c r="K981" s="18" t="s">
        <v>23</v>
      </c>
      <c r="L981" s="18" t="s">
        <v>32</v>
      </c>
      <c r="M981" s="14">
        <v>31</v>
      </c>
      <c r="N981" s="18" t="str" cm="1">
        <f t="array" ref="N981">_xlfn.IFS(Cleaned_Working_Sheet!$M981&lt;=34,"Young",Cleaned_Working_Sheet!$M981&lt;=54,"Middle-aged",Cleaned_Working_Sheet!$M981&gt;54,"Old")</f>
        <v>Young</v>
      </c>
      <c r="O981" s="18" t="s">
        <v>18</v>
      </c>
    </row>
    <row r="982" spans="1:15" x14ac:dyDescent="0.25">
      <c r="A982" s="14">
        <v>18594</v>
      </c>
      <c r="B982" s="18" t="s">
        <v>37</v>
      </c>
      <c r="C982" s="18" t="s">
        <v>38</v>
      </c>
      <c r="D982" s="6">
        <v>80000</v>
      </c>
      <c r="E982" s="18" t="str" cm="1">
        <f t="array" ref="E982">_xlfn.IFS(Cleaned_Working_Sheet!$D982&lt;=50000,"Low Income",Cleaned_Working_Sheet!$D982&lt;100000,"Middle Income",TRUE,"High Income")</f>
        <v>Middle Income</v>
      </c>
      <c r="F982" s="16">
        <v>3</v>
      </c>
      <c r="G982" s="18" t="s">
        <v>13</v>
      </c>
      <c r="H982" s="18" t="s">
        <v>14</v>
      </c>
      <c r="I982" s="18" t="s">
        <v>15</v>
      </c>
      <c r="J982" s="16">
        <v>3</v>
      </c>
      <c r="K982" s="18" t="s">
        <v>43</v>
      </c>
      <c r="L982" s="18" t="s">
        <v>32</v>
      </c>
      <c r="M982" s="14">
        <v>40</v>
      </c>
      <c r="N982" s="18" t="str" cm="1">
        <f t="array" ref="N982">_xlfn.IFS(Cleaned_Working_Sheet!$M982&lt;=34,"Young",Cleaned_Working_Sheet!$M982&lt;=54,"Middle-aged",Cleaned_Working_Sheet!$M982&gt;54,"Old")</f>
        <v>Middle-aged</v>
      </c>
      <c r="O982" s="18" t="s">
        <v>15</v>
      </c>
    </row>
    <row r="983" spans="1:15" x14ac:dyDescent="0.25">
      <c r="A983" s="14">
        <v>15982</v>
      </c>
      <c r="B983" s="18" t="s">
        <v>36</v>
      </c>
      <c r="C983" s="18" t="s">
        <v>39</v>
      </c>
      <c r="D983" s="6">
        <v>110000</v>
      </c>
      <c r="E983" s="18" t="str" cm="1">
        <f t="array" ref="E983">_xlfn.IFS(Cleaned_Working_Sheet!$D983&lt;=50000,"Low Income",Cleaned_Working_Sheet!$D983&lt;100000,"Middle Income",TRUE,"High Income")</f>
        <v>High Income</v>
      </c>
      <c r="F983" s="16">
        <v>5</v>
      </c>
      <c r="G983" s="18" t="s">
        <v>19</v>
      </c>
      <c r="H983" s="18" t="s">
        <v>21</v>
      </c>
      <c r="I983" s="18" t="s">
        <v>15</v>
      </c>
      <c r="J983" s="16">
        <v>4</v>
      </c>
      <c r="K983" s="18" t="s">
        <v>22</v>
      </c>
      <c r="L983" s="18" t="s">
        <v>32</v>
      </c>
      <c r="M983" s="14">
        <v>46</v>
      </c>
      <c r="N983" s="18" t="str" cm="1">
        <f t="array" ref="N983">_xlfn.IFS(Cleaned_Working_Sheet!$M983&lt;=34,"Young",Cleaned_Working_Sheet!$M983&lt;=54,"Middle-aged",Cleaned_Working_Sheet!$M983&gt;54,"Old")</f>
        <v>Middle-aged</v>
      </c>
      <c r="O983" s="18" t="s">
        <v>18</v>
      </c>
    </row>
    <row r="984" spans="1:15" x14ac:dyDescent="0.25">
      <c r="A984" s="14">
        <v>28625</v>
      </c>
      <c r="B984" s="18" t="s">
        <v>37</v>
      </c>
      <c r="C984" s="18" t="s">
        <v>39</v>
      </c>
      <c r="D984" s="6">
        <v>40000</v>
      </c>
      <c r="E984" s="18" t="str" cm="1">
        <f t="array" ref="E984">_xlfn.IFS(Cleaned_Working_Sheet!$D984&lt;=50000,"Low Income",Cleaned_Working_Sheet!$D984&lt;100000,"Middle Income",TRUE,"High Income")</f>
        <v>Low Income</v>
      </c>
      <c r="F984" s="16">
        <v>2</v>
      </c>
      <c r="G984" s="18" t="s">
        <v>19</v>
      </c>
      <c r="H984" s="18" t="s">
        <v>20</v>
      </c>
      <c r="I984" s="18" t="s">
        <v>18</v>
      </c>
      <c r="J984" s="16">
        <v>1</v>
      </c>
      <c r="K984" s="18" t="s">
        <v>26</v>
      </c>
      <c r="L984" s="18" t="s">
        <v>32</v>
      </c>
      <c r="M984" s="14">
        <v>47</v>
      </c>
      <c r="N984" s="18" t="str" cm="1">
        <f t="array" ref="N984">_xlfn.IFS(Cleaned_Working_Sheet!$M984&lt;=34,"Young",Cleaned_Working_Sheet!$M984&lt;=54,"Middle-aged",Cleaned_Working_Sheet!$M984&gt;54,"Old")</f>
        <v>Middle-aged</v>
      </c>
      <c r="O984" s="18" t="s">
        <v>15</v>
      </c>
    </row>
    <row r="985" spans="1:15" x14ac:dyDescent="0.25">
      <c r="A985" s="14">
        <v>11269</v>
      </c>
      <c r="B985" s="18" t="s">
        <v>36</v>
      </c>
      <c r="C985" s="18" t="s">
        <v>39</v>
      </c>
      <c r="D985" s="6">
        <v>130000</v>
      </c>
      <c r="E985" s="18" t="str" cm="1">
        <f t="array" ref="E985">_xlfn.IFS(Cleaned_Working_Sheet!$D985&lt;=50000,"Low Income",Cleaned_Working_Sheet!$D985&lt;100000,"Middle Income",TRUE,"High Income")</f>
        <v>High Income</v>
      </c>
      <c r="F985" s="16">
        <v>2</v>
      </c>
      <c r="G985" s="18" t="s">
        <v>31</v>
      </c>
      <c r="H985" s="18" t="s">
        <v>28</v>
      </c>
      <c r="I985" s="18" t="s">
        <v>15</v>
      </c>
      <c r="J985" s="16">
        <v>2</v>
      </c>
      <c r="K985" s="18" t="s">
        <v>16</v>
      </c>
      <c r="L985" s="18" t="s">
        <v>32</v>
      </c>
      <c r="M985" s="14">
        <v>41</v>
      </c>
      <c r="N985" s="18" t="str" cm="1">
        <f t="array" ref="N985">_xlfn.IFS(Cleaned_Working_Sheet!$M985&lt;=34,"Young",Cleaned_Working_Sheet!$M985&lt;=54,"Middle-aged",Cleaned_Working_Sheet!$M985&gt;54,"Old")</f>
        <v>Middle-aged</v>
      </c>
      <c r="O985" s="18" t="s">
        <v>18</v>
      </c>
    </row>
    <row r="986" spans="1:15" x14ac:dyDescent="0.25">
      <c r="A986" s="14">
        <v>25148</v>
      </c>
      <c r="B986" s="18" t="s">
        <v>36</v>
      </c>
      <c r="C986" s="18" t="s">
        <v>39</v>
      </c>
      <c r="D986" s="6">
        <v>60000</v>
      </c>
      <c r="E986" s="18" t="str" cm="1">
        <f t="array" ref="E986">_xlfn.IFS(Cleaned_Working_Sheet!$D986&lt;=50000,"Low Income",Cleaned_Working_Sheet!$D986&lt;100000,"Middle Income",TRUE,"High Income")</f>
        <v>Middle Income</v>
      </c>
      <c r="F986" s="16">
        <v>2</v>
      </c>
      <c r="G986" s="18" t="s">
        <v>27</v>
      </c>
      <c r="H986" s="18" t="s">
        <v>21</v>
      </c>
      <c r="I986" s="18" t="s">
        <v>18</v>
      </c>
      <c r="J986" s="16">
        <v>2</v>
      </c>
      <c r="K986" s="18" t="s">
        <v>26</v>
      </c>
      <c r="L986" s="18" t="s">
        <v>32</v>
      </c>
      <c r="M986" s="14">
        <v>48</v>
      </c>
      <c r="N986" s="18" t="str" cm="1">
        <f t="array" ref="N986">_xlfn.IFS(Cleaned_Working_Sheet!$M986&lt;=34,"Young",Cleaned_Working_Sheet!$M986&lt;=54,"Middle-aged",Cleaned_Working_Sheet!$M986&gt;54,"Old")</f>
        <v>Middle-aged</v>
      </c>
      <c r="O986" s="18" t="s">
        <v>15</v>
      </c>
    </row>
    <row r="987" spans="1:15" x14ac:dyDescent="0.25">
      <c r="A987" s="14">
        <v>13920</v>
      </c>
      <c r="B987" s="18" t="s">
        <v>37</v>
      </c>
      <c r="C987" s="18" t="s">
        <v>38</v>
      </c>
      <c r="D987" s="6">
        <v>50000</v>
      </c>
      <c r="E987" s="18" t="str" cm="1">
        <f t="array" ref="E987">_xlfn.IFS(Cleaned_Working_Sheet!$D987&lt;=50000,"Low Income",Cleaned_Working_Sheet!$D987&lt;100000,"Middle Income",TRUE,"High Income")</f>
        <v>Low Income</v>
      </c>
      <c r="F987" s="16">
        <v>4</v>
      </c>
      <c r="G987" s="18" t="s">
        <v>13</v>
      </c>
      <c r="H987" s="18" t="s">
        <v>14</v>
      </c>
      <c r="I987" s="18" t="s">
        <v>15</v>
      </c>
      <c r="J987" s="16">
        <v>2</v>
      </c>
      <c r="K987" s="18" t="s">
        <v>16</v>
      </c>
      <c r="L987" s="18" t="s">
        <v>32</v>
      </c>
      <c r="M987" s="14">
        <v>42</v>
      </c>
      <c r="N987" s="18" t="str" cm="1">
        <f t="array" ref="N987">_xlfn.IFS(Cleaned_Working_Sheet!$M987&lt;=34,"Young",Cleaned_Working_Sheet!$M987&lt;=54,"Middle-aged",Cleaned_Working_Sheet!$M987&gt;54,"Old")</f>
        <v>Middle-aged</v>
      </c>
      <c r="O987" s="18" t="s">
        <v>18</v>
      </c>
    </row>
    <row r="988" spans="1:15" x14ac:dyDescent="0.25">
      <c r="A988" s="14">
        <v>23704</v>
      </c>
      <c r="B988" s="18" t="s">
        <v>37</v>
      </c>
      <c r="C988" s="18" t="s">
        <v>39</v>
      </c>
      <c r="D988" s="6">
        <v>40000</v>
      </c>
      <c r="E988" s="18" t="str" cm="1">
        <f t="array" ref="E988">_xlfn.IFS(Cleaned_Working_Sheet!$D988&lt;=50000,"Low Income",Cleaned_Working_Sheet!$D988&lt;100000,"Middle Income",TRUE,"High Income")</f>
        <v>Low Income</v>
      </c>
      <c r="F988" s="16">
        <v>5</v>
      </c>
      <c r="G988" s="18" t="s">
        <v>27</v>
      </c>
      <c r="H988" s="18" t="s">
        <v>21</v>
      </c>
      <c r="I988" s="18" t="s">
        <v>15</v>
      </c>
      <c r="J988" s="16">
        <v>4</v>
      </c>
      <c r="K988" s="18" t="s">
        <v>43</v>
      </c>
      <c r="L988" s="18" t="s">
        <v>32</v>
      </c>
      <c r="M988" s="14">
        <v>60</v>
      </c>
      <c r="N988" s="18" t="str" cm="1">
        <f t="array" ref="N988">_xlfn.IFS(Cleaned_Working_Sheet!$M988&lt;=34,"Young",Cleaned_Working_Sheet!$M988&lt;=54,"Middle-aged",Cleaned_Working_Sheet!$M988&gt;54,"Old")</f>
        <v>Old</v>
      </c>
      <c r="O988" s="18" t="s">
        <v>15</v>
      </c>
    </row>
    <row r="989" spans="1:15" x14ac:dyDescent="0.25">
      <c r="A989" s="14">
        <v>28972</v>
      </c>
      <c r="B989" s="18" t="s">
        <v>37</v>
      </c>
      <c r="C989" s="18" t="s">
        <v>38</v>
      </c>
      <c r="D989" s="6">
        <v>60000</v>
      </c>
      <c r="E989" s="18" t="str" cm="1">
        <f t="array" ref="E989">_xlfn.IFS(Cleaned_Working_Sheet!$D989&lt;=50000,"Low Income",Cleaned_Working_Sheet!$D989&lt;100000,"Middle Income",TRUE,"High Income")</f>
        <v>Middle Income</v>
      </c>
      <c r="F989" s="16">
        <v>3</v>
      </c>
      <c r="G989" s="18" t="s">
        <v>31</v>
      </c>
      <c r="H989" s="18" t="s">
        <v>28</v>
      </c>
      <c r="I989" s="18" t="s">
        <v>15</v>
      </c>
      <c r="J989" s="16">
        <v>2</v>
      </c>
      <c r="K989" s="18" t="s">
        <v>43</v>
      </c>
      <c r="L989" s="18" t="s">
        <v>32</v>
      </c>
      <c r="M989" s="14">
        <v>66</v>
      </c>
      <c r="N989" s="18" t="str" cm="1">
        <f t="array" ref="N989">_xlfn.IFS(Cleaned_Working_Sheet!$M989&lt;=34,"Young",Cleaned_Working_Sheet!$M989&lt;=54,"Middle-aged",Cleaned_Working_Sheet!$M989&gt;54,"Old")</f>
        <v>Old</v>
      </c>
      <c r="O989" s="18" t="s">
        <v>18</v>
      </c>
    </row>
    <row r="990" spans="1:15" x14ac:dyDescent="0.25">
      <c r="A990" s="14">
        <v>22730</v>
      </c>
      <c r="B990" s="18" t="s">
        <v>36</v>
      </c>
      <c r="C990" s="18" t="s">
        <v>39</v>
      </c>
      <c r="D990" s="6">
        <v>70000</v>
      </c>
      <c r="E990" s="18" t="str" cm="1">
        <f t="array" ref="E990">_xlfn.IFS(Cleaned_Working_Sheet!$D990&lt;=50000,"Low Income",Cleaned_Working_Sheet!$D990&lt;100000,"Middle Income",TRUE,"High Income")</f>
        <v>Middle Income</v>
      </c>
      <c r="F990" s="16">
        <v>5</v>
      </c>
      <c r="G990" s="18" t="s">
        <v>13</v>
      </c>
      <c r="H990" s="18" t="s">
        <v>28</v>
      </c>
      <c r="I990" s="18" t="s">
        <v>15</v>
      </c>
      <c r="J990" s="16">
        <v>2</v>
      </c>
      <c r="K990" s="18" t="s">
        <v>43</v>
      </c>
      <c r="L990" s="18" t="s">
        <v>32</v>
      </c>
      <c r="M990" s="14">
        <v>63</v>
      </c>
      <c r="N990" s="18" t="str" cm="1">
        <f t="array" ref="N990">_xlfn.IFS(Cleaned_Working_Sheet!$M990&lt;=34,"Young",Cleaned_Working_Sheet!$M990&lt;=54,"Middle-aged",Cleaned_Working_Sheet!$M990&gt;54,"Old")</f>
        <v>Old</v>
      </c>
      <c r="O990" s="18" t="s">
        <v>18</v>
      </c>
    </row>
    <row r="991" spans="1:15" x14ac:dyDescent="0.25">
      <c r="A991" s="14">
        <v>29134</v>
      </c>
      <c r="B991" s="18" t="s">
        <v>36</v>
      </c>
      <c r="C991" s="18" t="s">
        <v>39</v>
      </c>
      <c r="D991" s="6">
        <v>60000</v>
      </c>
      <c r="E991" s="18" t="str" cm="1">
        <f t="array" ref="E991">_xlfn.IFS(Cleaned_Working_Sheet!$D991&lt;=50000,"Low Income",Cleaned_Working_Sheet!$D991&lt;100000,"Middle Income",TRUE,"High Income")</f>
        <v>Middle Income</v>
      </c>
      <c r="F991" s="16">
        <v>4</v>
      </c>
      <c r="G991" s="18" t="s">
        <v>13</v>
      </c>
      <c r="H991" s="18" t="s">
        <v>14</v>
      </c>
      <c r="I991" s="18" t="s">
        <v>18</v>
      </c>
      <c r="J991" s="16">
        <v>3</v>
      </c>
      <c r="K991" s="18" t="s">
        <v>43</v>
      </c>
      <c r="L991" s="18" t="s">
        <v>32</v>
      </c>
      <c r="M991" s="14">
        <v>42</v>
      </c>
      <c r="N991" s="18" t="str" cm="1">
        <f t="array" ref="N991">_xlfn.IFS(Cleaned_Working_Sheet!$M991&lt;=34,"Young",Cleaned_Working_Sheet!$M991&lt;=54,"Middle-aged",Cleaned_Working_Sheet!$M991&gt;54,"Old")</f>
        <v>Middle-aged</v>
      </c>
      <c r="O991" s="18" t="s">
        <v>18</v>
      </c>
    </row>
    <row r="992" spans="1:15" x14ac:dyDescent="0.25">
      <c r="A992" s="14">
        <v>14332</v>
      </c>
      <c r="B992" s="18" t="s">
        <v>37</v>
      </c>
      <c r="C992" s="18" t="s">
        <v>38</v>
      </c>
      <c r="D992" s="6">
        <v>30000</v>
      </c>
      <c r="E992" s="18" t="str" cm="1">
        <f t="array" ref="E992">_xlfn.IFS(Cleaned_Working_Sheet!$D992&lt;=50000,"Low Income",Cleaned_Working_Sheet!$D992&lt;100000,"Middle Income",TRUE,"High Income")</f>
        <v>Low Income</v>
      </c>
      <c r="F992" s="16">
        <v>0</v>
      </c>
      <c r="G992" s="18" t="s">
        <v>27</v>
      </c>
      <c r="H992" s="18" t="s">
        <v>14</v>
      </c>
      <c r="I992" s="18" t="s">
        <v>18</v>
      </c>
      <c r="J992" s="16">
        <v>2</v>
      </c>
      <c r="K992" s="18" t="s">
        <v>23</v>
      </c>
      <c r="L992" s="18" t="s">
        <v>32</v>
      </c>
      <c r="M992" s="14">
        <v>26</v>
      </c>
      <c r="N992" s="18" t="str" cm="1">
        <f t="array" ref="N992">_xlfn.IFS(Cleaned_Working_Sheet!$M992&lt;=34,"Young",Cleaned_Working_Sheet!$M992&lt;=54,"Middle-aged",Cleaned_Working_Sheet!$M992&gt;54,"Old")</f>
        <v>Young</v>
      </c>
      <c r="O992" s="18" t="s">
        <v>18</v>
      </c>
    </row>
    <row r="993" spans="1:15" x14ac:dyDescent="0.25">
      <c r="A993" s="14">
        <v>19117</v>
      </c>
      <c r="B993" s="18" t="s">
        <v>37</v>
      </c>
      <c r="C993" s="18" t="s">
        <v>38</v>
      </c>
      <c r="D993" s="6">
        <v>60000</v>
      </c>
      <c r="E993" s="18" t="str" cm="1">
        <f t="array" ref="E993">_xlfn.IFS(Cleaned_Working_Sheet!$D993&lt;=50000,"Low Income",Cleaned_Working_Sheet!$D993&lt;100000,"Middle Income",TRUE,"High Income")</f>
        <v>Middle Income</v>
      </c>
      <c r="F993" s="16">
        <v>1</v>
      </c>
      <c r="G993" s="18" t="s">
        <v>31</v>
      </c>
      <c r="H993" s="18" t="s">
        <v>21</v>
      </c>
      <c r="I993" s="18" t="s">
        <v>15</v>
      </c>
      <c r="J993" s="16">
        <v>0</v>
      </c>
      <c r="K993" s="18" t="s">
        <v>22</v>
      </c>
      <c r="L993" s="18" t="s">
        <v>32</v>
      </c>
      <c r="M993" s="14">
        <v>36</v>
      </c>
      <c r="N993" s="18" t="str" cm="1">
        <f t="array" ref="N993">_xlfn.IFS(Cleaned_Working_Sheet!$M993&lt;=34,"Young",Cleaned_Working_Sheet!$M993&lt;=54,"Middle-aged",Cleaned_Working_Sheet!$M993&gt;54,"Old")</f>
        <v>Middle-aged</v>
      </c>
      <c r="O993" s="18" t="s">
        <v>15</v>
      </c>
    </row>
    <row r="994" spans="1:15" x14ac:dyDescent="0.25">
      <c r="A994" s="14">
        <v>22864</v>
      </c>
      <c r="B994" s="18" t="s">
        <v>36</v>
      </c>
      <c r="C994" s="18" t="s">
        <v>39</v>
      </c>
      <c r="D994" s="6">
        <v>90000</v>
      </c>
      <c r="E994" s="18" t="str" cm="1">
        <f t="array" ref="E994">_xlfn.IFS(Cleaned_Working_Sheet!$D994&lt;=50000,"Low Income",Cleaned_Working_Sheet!$D994&lt;100000,"Middle Income",TRUE,"High Income")</f>
        <v>Middle Income</v>
      </c>
      <c r="F994" s="16">
        <v>2</v>
      </c>
      <c r="G994" s="18" t="s">
        <v>19</v>
      </c>
      <c r="H994" s="18" t="s">
        <v>21</v>
      </c>
      <c r="I994" s="18" t="s">
        <v>18</v>
      </c>
      <c r="J994" s="16">
        <v>0</v>
      </c>
      <c r="K994" s="18" t="s">
        <v>23</v>
      </c>
      <c r="L994" s="18" t="s">
        <v>32</v>
      </c>
      <c r="M994" s="14">
        <v>49</v>
      </c>
      <c r="N994" s="18" t="str" cm="1">
        <f t="array" ref="N994">_xlfn.IFS(Cleaned_Working_Sheet!$M994&lt;=34,"Young",Cleaned_Working_Sheet!$M994&lt;=54,"Middle-aged",Cleaned_Working_Sheet!$M994&gt;54,"Old")</f>
        <v>Middle-aged</v>
      </c>
      <c r="O994" s="18" t="s">
        <v>15</v>
      </c>
    </row>
    <row r="995" spans="1:15" x14ac:dyDescent="0.25">
      <c r="A995" s="14">
        <v>11292</v>
      </c>
      <c r="B995" s="18" t="s">
        <v>37</v>
      </c>
      <c r="C995" s="18" t="s">
        <v>39</v>
      </c>
      <c r="D995" s="6">
        <v>150000</v>
      </c>
      <c r="E995" s="18" t="str" cm="1">
        <f t="array" ref="E995">_xlfn.IFS(Cleaned_Working_Sheet!$D995&lt;=50000,"Low Income",Cleaned_Working_Sheet!$D995&lt;100000,"Middle Income",TRUE,"High Income")</f>
        <v>High Income</v>
      </c>
      <c r="F995" s="16">
        <v>1</v>
      </c>
      <c r="G995" s="18" t="s">
        <v>19</v>
      </c>
      <c r="H995" s="18" t="s">
        <v>21</v>
      </c>
      <c r="I995" s="18" t="s">
        <v>18</v>
      </c>
      <c r="J995" s="16">
        <v>3</v>
      </c>
      <c r="K995" s="18" t="s">
        <v>16</v>
      </c>
      <c r="L995" s="18" t="s">
        <v>32</v>
      </c>
      <c r="M995" s="14">
        <v>44</v>
      </c>
      <c r="N995" s="18" t="str" cm="1">
        <f t="array" ref="N995">_xlfn.IFS(Cleaned_Working_Sheet!$M995&lt;=34,"Young",Cleaned_Working_Sheet!$M995&lt;=54,"Middle-aged",Cleaned_Working_Sheet!$M995&gt;54,"Old")</f>
        <v>Middle-aged</v>
      </c>
      <c r="O995" s="18" t="s">
        <v>15</v>
      </c>
    </row>
    <row r="996" spans="1:15" x14ac:dyDescent="0.25">
      <c r="A996" s="14">
        <v>13466</v>
      </c>
      <c r="B996" s="18" t="s">
        <v>36</v>
      </c>
      <c r="C996" s="18" t="s">
        <v>39</v>
      </c>
      <c r="D996" s="6">
        <v>80000</v>
      </c>
      <c r="E996" s="18" t="str" cm="1">
        <f t="array" ref="E996">_xlfn.IFS(Cleaned_Working_Sheet!$D996&lt;=50000,"Low Income",Cleaned_Working_Sheet!$D996&lt;100000,"Middle Income",TRUE,"High Income")</f>
        <v>Middle Income</v>
      </c>
      <c r="F996" s="16">
        <v>5</v>
      </c>
      <c r="G996" s="18" t="s">
        <v>19</v>
      </c>
      <c r="H996" s="18" t="s">
        <v>21</v>
      </c>
      <c r="I996" s="18" t="s">
        <v>15</v>
      </c>
      <c r="J996" s="16">
        <v>3</v>
      </c>
      <c r="K996" s="18" t="s">
        <v>26</v>
      </c>
      <c r="L996" s="18" t="s">
        <v>32</v>
      </c>
      <c r="M996" s="14">
        <v>46</v>
      </c>
      <c r="N996" s="18" t="str" cm="1">
        <f t="array" ref="N996">_xlfn.IFS(Cleaned_Working_Sheet!$M996&lt;=34,"Young",Cleaned_Working_Sheet!$M996&lt;=54,"Middle-aged",Cleaned_Working_Sheet!$M996&gt;54,"Old")</f>
        <v>Middle-aged</v>
      </c>
      <c r="O996" s="18" t="s">
        <v>18</v>
      </c>
    </row>
    <row r="997" spans="1:15" x14ac:dyDescent="0.25">
      <c r="A997" s="14">
        <v>23731</v>
      </c>
      <c r="B997" s="18" t="s">
        <v>36</v>
      </c>
      <c r="C997" s="18" t="s">
        <v>39</v>
      </c>
      <c r="D997" s="6">
        <v>60000</v>
      </c>
      <c r="E997" s="18" t="str" cm="1">
        <f t="array" ref="E997">_xlfn.IFS(Cleaned_Working_Sheet!$D997&lt;=50000,"Low Income",Cleaned_Working_Sheet!$D997&lt;100000,"Middle Income",TRUE,"High Income")</f>
        <v>Middle Income</v>
      </c>
      <c r="F997" s="21">
        <v>2</v>
      </c>
      <c r="G997" s="18" t="s">
        <v>27</v>
      </c>
      <c r="H997" s="18" t="s">
        <v>21</v>
      </c>
      <c r="I997" s="18" t="s">
        <v>15</v>
      </c>
      <c r="J997" s="16">
        <v>2</v>
      </c>
      <c r="K997" s="18" t="s">
        <v>22</v>
      </c>
      <c r="L997" s="18" t="s">
        <v>32</v>
      </c>
      <c r="M997" s="14">
        <v>54</v>
      </c>
      <c r="N997" s="18" t="str" cm="1">
        <f t="array" ref="N997">_xlfn.IFS(Cleaned_Working_Sheet!$M997&lt;=34,"Young",Cleaned_Working_Sheet!$M997&lt;=54,"Middle-aged",Cleaned_Working_Sheet!$M997&gt;54,"Old")</f>
        <v>Middle-aged</v>
      </c>
      <c r="O997" s="18" t="s">
        <v>15</v>
      </c>
    </row>
    <row r="998" spans="1:15" x14ac:dyDescent="0.25">
      <c r="A998" s="14">
        <v>28672</v>
      </c>
      <c r="B998" s="18" t="s">
        <v>37</v>
      </c>
      <c r="C998" s="18" t="s">
        <v>39</v>
      </c>
      <c r="D998" s="6">
        <v>70000</v>
      </c>
      <c r="E998" s="18" t="str" cm="1">
        <f t="array" ref="E998">_xlfn.IFS(Cleaned_Working_Sheet!$D998&lt;=50000,"Low Income",Cleaned_Working_Sheet!$D998&lt;100000,"Middle Income",TRUE,"High Income")</f>
        <v>Middle Income</v>
      </c>
      <c r="F998" s="16">
        <v>4</v>
      </c>
      <c r="G998" s="18" t="s">
        <v>31</v>
      </c>
      <c r="H998" s="18" t="s">
        <v>21</v>
      </c>
      <c r="I998" s="18" t="s">
        <v>15</v>
      </c>
      <c r="J998" s="16">
        <v>0</v>
      </c>
      <c r="K998" s="18" t="s">
        <v>22</v>
      </c>
      <c r="L998" s="18" t="s">
        <v>32</v>
      </c>
      <c r="M998" s="14">
        <v>35</v>
      </c>
      <c r="N998" s="18" t="str" cm="1">
        <f t="array" ref="N998">_xlfn.IFS(Cleaned_Working_Sheet!$M998&lt;=34,"Young",Cleaned_Working_Sheet!$M998&lt;=54,"Middle-aged",Cleaned_Working_Sheet!$M998&gt;54,"Old")</f>
        <v>Middle-aged</v>
      </c>
      <c r="O998" s="18" t="s">
        <v>15</v>
      </c>
    </row>
    <row r="999" spans="1:15" x14ac:dyDescent="0.25">
      <c r="A999" s="14">
        <v>11809</v>
      </c>
      <c r="B999" s="18" t="s">
        <v>36</v>
      </c>
      <c r="C999" s="18" t="s">
        <v>39</v>
      </c>
      <c r="D999" s="6">
        <v>60000</v>
      </c>
      <c r="E999" s="18" t="str" cm="1">
        <f t="array" ref="E999">_xlfn.IFS(Cleaned_Working_Sheet!$D999&lt;=50000,"Low Income",Cleaned_Working_Sheet!$D999&lt;100000,"Middle Income",TRUE,"High Income")</f>
        <v>Middle Income</v>
      </c>
      <c r="F999" s="16">
        <v>2</v>
      </c>
      <c r="G999" s="18" t="s">
        <v>13</v>
      </c>
      <c r="H999" s="18" t="s">
        <v>14</v>
      </c>
      <c r="I999" s="18" t="s">
        <v>15</v>
      </c>
      <c r="J999" s="16">
        <v>0</v>
      </c>
      <c r="K999" s="18" t="s">
        <v>16</v>
      </c>
      <c r="L999" s="18" t="s">
        <v>32</v>
      </c>
      <c r="M999" s="14">
        <v>38</v>
      </c>
      <c r="N999" s="18" t="str" cm="1">
        <f t="array" ref="N999">_xlfn.IFS(Cleaned_Working_Sheet!$M999&lt;=34,"Young",Cleaned_Working_Sheet!$M999&lt;=54,"Middle-aged",Cleaned_Working_Sheet!$M999&gt;54,"Old")</f>
        <v>Middle-aged</v>
      </c>
      <c r="O999" s="18" t="s">
        <v>15</v>
      </c>
    </row>
    <row r="1000" spans="1:15" x14ac:dyDescent="0.25">
      <c r="A1000" s="14">
        <v>19664</v>
      </c>
      <c r="B1000" s="18" t="s">
        <v>37</v>
      </c>
      <c r="C1000" s="18" t="s">
        <v>39</v>
      </c>
      <c r="D1000" s="6">
        <v>100000</v>
      </c>
      <c r="E1000" s="18" t="str" cm="1">
        <f t="array" ref="E1000">_xlfn.IFS(Cleaned_Working_Sheet!$D1000&lt;=50000,"Low Income",Cleaned_Working_Sheet!$D1000&lt;100000,"Middle Income",TRUE,"High Income")</f>
        <v>High Income</v>
      </c>
      <c r="F1000" s="16">
        <v>3</v>
      </c>
      <c r="G1000" s="18" t="s">
        <v>13</v>
      </c>
      <c r="H1000" s="18" t="s">
        <v>28</v>
      </c>
      <c r="I1000" s="18" t="s">
        <v>18</v>
      </c>
      <c r="J1000" s="16">
        <v>3</v>
      </c>
      <c r="K1000" s="18" t="s">
        <v>26</v>
      </c>
      <c r="L1000" s="18" t="s">
        <v>32</v>
      </c>
      <c r="M1000" s="14">
        <v>38</v>
      </c>
      <c r="N1000" s="18" t="str" cm="1">
        <f t="array" ref="N1000">_xlfn.IFS(Cleaned_Working_Sheet!$M1000&lt;=34,"Young",Cleaned_Working_Sheet!$M1000&lt;=54,"Middle-aged",Cleaned_Working_Sheet!$M1000&gt;54,"Old")</f>
        <v>Middle-aged</v>
      </c>
      <c r="O1000" s="18" t="s">
        <v>18</v>
      </c>
    </row>
    <row r="1001" spans="1:15" x14ac:dyDescent="0.25">
      <c r="A1001" s="14">
        <v>12121</v>
      </c>
      <c r="B1001" s="18" t="s">
        <v>37</v>
      </c>
      <c r="C1001" s="18" t="s">
        <v>39</v>
      </c>
      <c r="D1001" s="6">
        <v>60000</v>
      </c>
      <c r="E1001" s="18" t="str" cm="1">
        <f t="array" ref="E1001">_xlfn.IFS(Cleaned_Working_Sheet!$D1001&lt;=50000,"Low Income",Cleaned_Working_Sheet!$D1001&lt;100000,"Middle Income",TRUE,"High Income")</f>
        <v>Middle Income</v>
      </c>
      <c r="F1001" s="16">
        <v>3</v>
      </c>
      <c r="G1001" s="18" t="s">
        <v>27</v>
      </c>
      <c r="H1001" s="18" t="s">
        <v>21</v>
      </c>
      <c r="I1001" s="18" t="s">
        <v>15</v>
      </c>
      <c r="J1001" s="16">
        <v>2</v>
      </c>
      <c r="K1001" s="18" t="s">
        <v>43</v>
      </c>
      <c r="L1001" s="18" t="s">
        <v>32</v>
      </c>
      <c r="M1001" s="14">
        <v>53</v>
      </c>
      <c r="N1001" s="18" t="str" cm="1">
        <f t="array" ref="N1001">_xlfn.IFS(Cleaned_Working_Sheet!$M1001&lt;=34,"Young",Cleaned_Working_Sheet!$M1001&lt;=54,"Middle-aged",Cleaned_Working_Sheet!$M1001&gt;54,"Old")</f>
        <v>Middle-aged</v>
      </c>
      <c r="O1001" s="18"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BB393-EE19-466A-9001-B3CA58D2FAE8}">
  <dimension ref="A3:D80"/>
  <sheetViews>
    <sheetView topLeftCell="A58" workbookViewId="0">
      <selection activeCell="L90" sqref="L90"/>
    </sheetView>
  </sheetViews>
  <sheetFormatPr defaultRowHeight="15" x14ac:dyDescent="0.25"/>
  <cols>
    <col min="1" max="1" width="22.85546875" bestFit="1" customWidth="1"/>
    <col min="2" max="2" width="16.85546875" bestFit="1" customWidth="1"/>
    <col min="3" max="4" width="11.28515625" bestFit="1" customWidth="1"/>
    <col min="5" max="5" width="15.85546875" bestFit="1" customWidth="1"/>
    <col min="6" max="6" width="27.85546875" bestFit="1" customWidth="1"/>
    <col min="7" max="7" width="19.28515625" bestFit="1" customWidth="1"/>
  </cols>
  <sheetData>
    <row r="3" spans="1:4" x14ac:dyDescent="0.25">
      <c r="A3" s="2" t="s">
        <v>44</v>
      </c>
      <c r="B3" s="2" t="s">
        <v>12</v>
      </c>
    </row>
    <row r="4" spans="1:4" x14ac:dyDescent="0.25">
      <c r="A4" s="2" t="s">
        <v>2</v>
      </c>
      <c r="B4" t="s">
        <v>18</v>
      </c>
      <c r="C4" t="s">
        <v>15</v>
      </c>
      <c r="D4" t="s">
        <v>41</v>
      </c>
    </row>
    <row r="5" spans="1:4" x14ac:dyDescent="0.25">
      <c r="A5" t="s">
        <v>38</v>
      </c>
      <c r="B5" s="3">
        <v>53440</v>
      </c>
      <c r="C5" s="3">
        <v>55774.058577405856</v>
      </c>
      <c r="D5" s="3">
        <v>54580.777096114522</v>
      </c>
    </row>
    <row r="6" spans="1:4" x14ac:dyDescent="0.25">
      <c r="A6" t="s">
        <v>39</v>
      </c>
      <c r="B6" s="3">
        <v>56208.178438661707</v>
      </c>
      <c r="C6" s="3">
        <v>60123.966942148763</v>
      </c>
      <c r="D6" s="3">
        <v>58062.62230919765</v>
      </c>
    </row>
    <row r="7" spans="1:4" x14ac:dyDescent="0.25">
      <c r="A7" t="s">
        <v>41</v>
      </c>
      <c r="B7" s="3">
        <v>54874.759152215796</v>
      </c>
      <c r="C7" s="3">
        <v>57962.577962577961</v>
      </c>
      <c r="D7" s="3">
        <v>56360</v>
      </c>
    </row>
    <row r="18" spans="1:4" x14ac:dyDescent="0.25">
      <c r="A18" s="2" t="s">
        <v>42</v>
      </c>
      <c r="B18" s="2" t="s">
        <v>12</v>
      </c>
    </row>
    <row r="19" spans="1:4" x14ac:dyDescent="0.25">
      <c r="A19" s="2" t="s">
        <v>58</v>
      </c>
      <c r="B19" t="s">
        <v>18</v>
      </c>
      <c r="C19" t="s">
        <v>15</v>
      </c>
      <c r="D19" t="s">
        <v>41</v>
      </c>
    </row>
    <row r="20" spans="1:4" x14ac:dyDescent="0.25">
      <c r="A20" t="s">
        <v>59</v>
      </c>
      <c r="B20" s="25">
        <v>54</v>
      </c>
      <c r="C20" s="25">
        <v>51</v>
      </c>
      <c r="D20" s="25">
        <v>105</v>
      </c>
    </row>
    <row r="21" spans="1:4" x14ac:dyDescent="0.25">
      <c r="A21" t="s">
        <v>60</v>
      </c>
      <c r="B21" s="25">
        <v>253</v>
      </c>
      <c r="C21" s="25">
        <v>223</v>
      </c>
      <c r="D21" s="25">
        <v>476</v>
      </c>
    </row>
    <row r="22" spans="1:4" x14ac:dyDescent="0.25">
      <c r="A22" t="s">
        <v>61</v>
      </c>
      <c r="B22" s="25">
        <v>212</v>
      </c>
      <c r="C22" s="25">
        <v>207</v>
      </c>
      <c r="D22" s="25">
        <v>419</v>
      </c>
    </row>
    <row r="23" spans="1:4" x14ac:dyDescent="0.25">
      <c r="A23" t="s">
        <v>41</v>
      </c>
      <c r="B23" s="25">
        <v>519</v>
      </c>
      <c r="C23" s="25">
        <v>481</v>
      </c>
      <c r="D23" s="25">
        <v>1000</v>
      </c>
    </row>
    <row r="34" spans="1:4" x14ac:dyDescent="0.25">
      <c r="A34" s="2" t="s">
        <v>42</v>
      </c>
      <c r="B34" s="2" t="s">
        <v>12</v>
      </c>
    </row>
    <row r="35" spans="1:4" x14ac:dyDescent="0.25">
      <c r="A35" s="2" t="s">
        <v>9</v>
      </c>
      <c r="B35" t="s">
        <v>18</v>
      </c>
      <c r="C35" t="s">
        <v>15</v>
      </c>
      <c r="D35" t="s">
        <v>41</v>
      </c>
    </row>
    <row r="36" spans="1:4" x14ac:dyDescent="0.25">
      <c r="A36" t="s">
        <v>16</v>
      </c>
      <c r="B36" s="25">
        <v>166</v>
      </c>
      <c r="C36" s="25">
        <v>200</v>
      </c>
      <c r="D36" s="25">
        <v>366</v>
      </c>
    </row>
    <row r="37" spans="1:4" x14ac:dyDescent="0.25">
      <c r="A37" t="s">
        <v>26</v>
      </c>
      <c r="B37" s="25">
        <v>92</v>
      </c>
      <c r="C37" s="25">
        <v>77</v>
      </c>
      <c r="D37" s="25">
        <v>169</v>
      </c>
    </row>
    <row r="38" spans="1:4" x14ac:dyDescent="0.25">
      <c r="A38" t="s">
        <v>22</v>
      </c>
      <c r="B38" s="25">
        <v>67</v>
      </c>
      <c r="C38" s="25">
        <v>95</v>
      </c>
      <c r="D38" s="25">
        <v>162</v>
      </c>
    </row>
    <row r="39" spans="1:4" x14ac:dyDescent="0.25">
      <c r="A39" t="s">
        <v>23</v>
      </c>
      <c r="B39" s="25">
        <v>116</v>
      </c>
      <c r="C39" s="25">
        <v>76</v>
      </c>
      <c r="D39" s="25">
        <v>192</v>
      </c>
    </row>
    <row r="40" spans="1:4" x14ac:dyDescent="0.25">
      <c r="A40" t="s">
        <v>43</v>
      </c>
      <c r="B40" s="25">
        <v>78</v>
      </c>
      <c r="C40" s="25">
        <v>33</v>
      </c>
      <c r="D40" s="25">
        <v>111</v>
      </c>
    </row>
    <row r="41" spans="1:4" x14ac:dyDescent="0.25">
      <c r="A41" t="s">
        <v>41</v>
      </c>
      <c r="B41" s="25">
        <v>519</v>
      </c>
      <c r="C41" s="25">
        <v>481</v>
      </c>
      <c r="D41" s="25">
        <v>1000</v>
      </c>
    </row>
    <row r="49" spans="1:4" x14ac:dyDescent="0.25">
      <c r="A49" s="2" t="s">
        <v>42</v>
      </c>
      <c r="B49" s="2" t="s">
        <v>12</v>
      </c>
    </row>
    <row r="50" spans="1:4" x14ac:dyDescent="0.25">
      <c r="A50" s="2" t="s">
        <v>40</v>
      </c>
      <c r="B50" t="s">
        <v>18</v>
      </c>
      <c r="C50" t="s">
        <v>15</v>
      </c>
      <c r="D50" t="s">
        <v>41</v>
      </c>
    </row>
    <row r="51" spans="1:4" x14ac:dyDescent="0.25">
      <c r="A51" t="s">
        <v>48</v>
      </c>
      <c r="B51" s="25">
        <v>262</v>
      </c>
      <c r="C51" s="25">
        <v>329</v>
      </c>
      <c r="D51" s="25">
        <v>591</v>
      </c>
    </row>
    <row r="52" spans="1:4" x14ac:dyDescent="0.25">
      <c r="A52" t="s">
        <v>49</v>
      </c>
      <c r="B52" s="25">
        <v>130</v>
      </c>
      <c r="C52" s="25">
        <v>59</v>
      </c>
      <c r="D52" s="25">
        <v>189</v>
      </c>
    </row>
    <row r="53" spans="1:4" x14ac:dyDescent="0.25">
      <c r="A53" t="s">
        <v>50</v>
      </c>
      <c r="B53" s="25">
        <v>127</v>
      </c>
      <c r="C53" s="25">
        <v>93</v>
      </c>
      <c r="D53" s="25">
        <v>220</v>
      </c>
    </row>
    <row r="54" spans="1:4" x14ac:dyDescent="0.25">
      <c r="A54" t="s">
        <v>41</v>
      </c>
      <c r="B54" s="25">
        <v>519</v>
      </c>
      <c r="C54" s="25">
        <v>481</v>
      </c>
      <c r="D54" s="25">
        <v>1000</v>
      </c>
    </row>
    <row r="62" spans="1:4" x14ac:dyDescent="0.25">
      <c r="A62" s="2" t="s">
        <v>42</v>
      </c>
      <c r="B62" s="2" t="s">
        <v>12</v>
      </c>
    </row>
    <row r="63" spans="1:4" x14ac:dyDescent="0.25">
      <c r="A63" s="2" t="s">
        <v>6</v>
      </c>
      <c r="B63" t="s">
        <v>18</v>
      </c>
      <c r="C63" t="s">
        <v>15</v>
      </c>
      <c r="D63" t="s">
        <v>41</v>
      </c>
    </row>
    <row r="64" spans="1:4" x14ac:dyDescent="0.25">
      <c r="A64" t="s">
        <v>20</v>
      </c>
      <c r="B64" s="25">
        <v>89</v>
      </c>
      <c r="C64" s="25">
        <v>88</v>
      </c>
      <c r="D64" s="25">
        <v>177</v>
      </c>
    </row>
    <row r="65" spans="1:4" x14ac:dyDescent="0.25">
      <c r="A65" t="s">
        <v>28</v>
      </c>
      <c r="B65" s="25">
        <v>100</v>
      </c>
      <c r="C65" s="25">
        <v>73</v>
      </c>
      <c r="D65" s="25">
        <v>173</v>
      </c>
    </row>
    <row r="66" spans="1:4" x14ac:dyDescent="0.25">
      <c r="A66" t="s">
        <v>25</v>
      </c>
      <c r="B66" s="25">
        <v>64</v>
      </c>
      <c r="C66" s="25">
        <v>55</v>
      </c>
      <c r="D66" s="25">
        <v>119</v>
      </c>
    </row>
    <row r="67" spans="1:4" x14ac:dyDescent="0.25">
      <c r="A67" t="s">
        <v>21</v>
      </c>
      <c r="B67" s="25">
        <v>126</v>
      </c>
      <c r="C67" s="25">
        <v>150</v>
      </c>
      <c r="D67" s="25">
        <v>276</v>
      </c>
    </row>
    <row r="68" spans="1:4" x14ac:dyDescent="0.25">
      <c r="A68" t="s">
        <v>14</v>
      </c>
      <c r="B68" s="25">
        <v>140</v>
      </c>
      <c r="C68" s="25">
        <v>115</v>
      </c>
      <c r="D68" s="25">
        <v>255</v>
      </c>
    </row>
    <row r="69" spans="1:4" x14ac:dyDescent="0.25">
      <c r="A69" t="s">
        <v>41</v>
      </c>
      <c r="B69" s="25">
        <v>519</v>
      </c>
      <c r="C69" s="25">
        <v>481</v>
      </c>
      <c r="D69" s="25">
        <v>1000</v>
      </c>
    </row>
    <row r="75" spans="1:4" x14ac:dyDescent="0.25">
      <c r="A75" s="2" t="s">
        <v>42</v>
      </c>
      <c r="B75" s="2" t="s">
        <v>12</v>
      </c>
    </row>
    <row r="76" spans="1:4" x14ac:dyDescent="0.25">
      <c r="A76" s="2" t="s">
        <v>10</v>
      </c>
      <c r="B76" t="s">
        <v>15</v>
      </c>
      <c r="C76" t="s">
        <v>41</v>
      </c>
    </row>
    <row r="77" spans="1:4" x14ac:dyDescent="0.25">
      <c r="A77" t="s">
        <v>17</v>
      </c>
      <c r="B77" s="25">
        <v>148</v>
      </c>
      <c r="C77" s="25">
        <v>148</v>
      </c>
    </row>
    <row r="78" spans="1:4" x14ac:dyDescent="0.25">
      <c r="A78" t="s">
        <v>32</v>
      </c>
      <c r="B78" s="25">
        <v>220</v>
      </c>
      <c r="C78" s="25">
        <v>220</v>
      </c>
    </row>
    <row r="79" spans="1:4" x14ac:dyDescent="0.25">
      <c r="A79" t="s">
        <v>24</v>
      </c>
      <c r="B79" s="25">
        <v>113</v>
      </c>
      <c r="C79" s="25">
        <v>113</v>
      </c>
    </row>
    <row r="80" spans="1:4" x14ac:dyDescent="0.25">
      <c r="A80" t="s">
        <v>41</v>
      </c>
      <c r="B80" s="25">
        <v>481</v>
      </c>
      <c r="C80" s="25">
        <v>481</v>
      </c>
    </row>
  </sheetData>
  <sheetProtection algorithmName="SHA-512" hashValue="W7Xbhx0z7Xmrp8QEdclBPD/RfqfIR0VfvxHT1+Z2zA+ml9PgrV5yo8TzUi3Gow6ve4yBptJNGa6WCv3QPB2bmQ==" saltValue="nXYGFCReN0KUJyrzWVGxtA==" spinCount="100000" sheet="1" objects="1" scenarios="1" selectLockedCells="1" sort="0" autoFilter="0" pivotTables="0" selectUnlockedCells="1"/>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C3F4E-0B18-40D7-9CFA-B9C092BA6310}">
  <dimension ref="A1:Y3"/>
  <sheetViews>
    <sheetView showGridLines="0" tabSelected="1" zoomScale="80" zoomScaleNormal="80" workbookViewId="0">
      <selection activeCell="C25" sqref="C25"/>
    </sheetView>
  </sheetViews>
  <sheetFormatPr defaultRowHeight="15" x14ac:dyDescent="0.25"/>
  <cols>
    <col min="25" max="25" width="9.28515625" customWidth="1"/>
  </cols>
  <sheetData>
    <row r="1" spans="1:25" ht="22.5" customHeight="1" x14ac:dyDescent="0.25">
      <c r="A1" s="23" t="s">
        <v>81</v>
      </c>
      <c r="B1" s="24"/>
      <c r="C1" s="24"/>
      <c r="D1" s="24"/>
      <c r="E1" s="24"/>
      <c r="F1" s="24"/>
      <c r="G1" s="24"/>
      <c r="H1" s="24"/>
      <c r="I1" s="24"/>
      <c r="J1" s="24"/>
      <c r="K1" s="24"/>
      <c r="L1" s="24"/>
      <c r="M1" s="24"/>
      <c r="N1" s="24"/>
      <c r="O1" s="24"/>
      <c r="P1" s="24"/>
      <c r="Q1" s="24"/>
      <c r="R1" s="24"/>
      <c r="S1" s="24"/>
      <c r="T1" s="24"/>
      <c r="U1" s="24"/>
      <c r="V1" s="24"/>
      <c r="W1" s="24"/>
      <c r="X1" s="24"/>
      <c r="Y1" s="24"/>
    </row>
    <row r="2" spans="1:25" ht="30" customHeight="1" x14ac:dyDescent="0.25">
      <c r="A2" s="24"/>
      <c r="B2" s="24"/>
      <c r="C2" s="24"/>
      <c r="D2" s="24"/>
      <c r="E2" s="24"/>
      <c r="F2" s="24"/>
      <c r="G2" s="24"/>
      <c r="H2" s="24"/>
      <c r="I2" s="24"/>
      <c r="J2" s="24"/>
      <c r="K2" s="24"/>
      <c r="L2" s="24"/>
      <c r="M2" s="24"/>
      <c r="N2" s="24"/>
      <c r="O2" s="24"/>
      <c r="P2" s="24"/>
      <c r="Q2" s="24"/>
      <c r="R2" s="24"/>
      <c r="S2" s="24"/>
      <c r="T2" s="24"/>
      <c r="U2" s="24"/>
      <c r="V2" s="24"/>
      <c r="W2" s="24"/>
      <c r="X2" s="24"/>
      <c r="Y2" s="24"/>
    </row>
    <row r="3" spans="1:25" ht="21" customHeight="1" x14ac:dyDescent="0.7">
      <c r="A3" s="4"/>
      <c r="B3" s="4"/>
      <c r="C3" s="4"/>
      <c r="D3" s="4"/>
      <c r="E3" s="4"/>
      <c r="F3" s="4"/>
      <c r="G3" s="4"/>
      <c r="H3" s="4"/>
      <c r="I3" s="4"/>
      <c r="J3" s="4"/>
      <c r="K3" s="4"/>
      <c r="L3" s="4"/>
      <c r="M3" s="4"/>
      <c r="N3" s="4"/>
      <c r="O3" s="4"/>
      <c r="P3" s="4"/>
      <c r="Q3" s="4"/>
      <c r="R3" s="4"/>
      <c r="S3" s="4"/>
    </row>
  </sheetData>
  <sheetProtection algorithmName="SHA-512" hashValue="HzVOpWF3Leu/jqjM/MVfi3kLhHT/XmOT5ipLwjqiyjlO2gfJsyhM5b1pmJiXRTRVsuiI0GzHox1lm54O5v78Ig==" saltValue="/V6tgLE1qwAd+ZtHoeTejw==" spinCount="100000" sheet="1" objects="1" selectLockedCells="1" autoFilter="0" selectUnlockedCells="1"/>
  <mergeCells count="1">
    <mergeCell ref="A1:Y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0930A-A274-47B1-B5E4-4789F60D17DE}">
  <dimension ref="A1:P22"/>
  <sheetViews>
    <sheetView showGridLines="0" workbookViewId="0">
      <selection activeCell="A31" sqref="A31"/>
    </sheetView>
  </sheetViews>
  <sheetFormatPr defaultRowHeight="15" x14ac:dyDescent="0.25"/>
  <cols>
    <col min="1" max="1" width="186.85546875" customWidth="1"/>
  </cols>
  <sheetData>
    <row r="1" spans="1:16" ht="21" x14ac:dyDescent="0.35">
      <c r="A1" s="9" t="s">
        <v>74</v>
      </c>
      <c r="B1" s="7"/>
      <c r="C1" s="7"/>
    </row>
    <row r="2" spans="1:16" ht="45" customHeight="1" x14ac:dyDescent="0.25">
      <c r="A2" s="8" t="s">
        <v>75</v>
      </c>
      <c r="B2" s="8"/>
      <c r="C2" s="8"/>
      <c r="D2" s="8"/>
      <c r="E2" s="8"/>
      <c r="F2" s="8"/>
      <c r="G2" s="8"/>
      <c r="H2" s="8"/>
      <c r="I2" s="8"/>
      <c r="J2" s="8"/>
      <c r="K2" s="8"/>
      <c r="L2" s="8"/>
      <c r="M2" s="8"/>
      <c r="N2" s="8"/>
      <c r="O2" s="8"/>
      <c r="P2" s="8"/>
    </row>
    <row r="5" spans="1:16" ht="15.75" customHeight="1" x14ac:dyDescent="0.35">
      <c r="A5" s="9" t="s">
        <v>51</v>
      </c>
      <c r="B5" s="7"/>
    </row>
    <row r="6" spans="1:16" ht="15" customHeight="1" x14ac:dyDescent="0.25">
      <c r="A6" s="8" t="s">
        <v>66</v>
      </c>
      <c r="B6" s="8"/>
      <c r="C6" s="8"/>
    </row>
    <row r="7" spans="1:16" x14ac:dyDescent="0.25">
      <c r="A7" s="8" t="s">
        <v>76</v>
      </c>
      <c r="B7" s="8"/>
      <c r="C7" s="8"/>
    </row>
    <row r="8" spans="1:16" x14ac:dyDescent="0.25">
      <c r="A8" s="8" t="s">
        <v>64</v>
      </c>
      <c r="B8" s="8"/>
      <c r="C8" s="8"/>
    </row>
    <row r="9" spans="1:16" ht="14.25" customHeight="1" x14ac:dyDescent="0.25">
      <c r="A9" s="8" t="s">
        <v>77</v>
      </c>
      <c r="B9" s="8"/>
      <c r="C9" s="8"/>
    </row>
    <row r="10" spans="1:16" x14ac:dyDescent="0.25">
      <c r="A10" s="8" t="s">
        <v>67</v>
      </c>
      <c r="B10" s="8"/>
      <c r="C10" s="8"/>
    </row>
    <row r="11" spans="1:16" x14ac:dyDescent="0.25">
      <c r="A11" s="8" t="s">
        <v>78</v>
      </c>
      <c r="B11" s="8"/>
      <c r="C11" s="8"/>
    </row>
    <row r="12" spans="1:16" x14ac:dyDescent="0.25">
      <c r="A12" s="8" t="s">
        <v>65</v>
      </c>
      <c r="B12" s="8"/>
      <c r="C12" s="8"/>
    </row>
    <row r="15" spans="1:16" ht="21" x14ac:dyDescent="0.35">
      <c r="A15" s="9" t="s">
        <v>73</v>
      </c>
      <c r="B15" s="7"/>
      <c r="C15" s="7"/>
    </row>
    <row r="16" spans="1:16" x14ac:dyDescent="0.25">
      <c r="A16" t="s">
        <v>68</v>
      </c>
    </row>
    <row r="17" spans="1:1" x14ac:dyDescent="0.25">
      <c r="A17" t="s">
        <v>69</v>
      </c>
    </row>
    <row r="18" spans="1:1" x14ac:dyDescent="0.25">
      <c r="A18" t="s">
        <v>72</v>
      </c>
    </row>
    <row r="19" spans="1:1" x14ac:dyDescent="0.25">
      <c r="A19" t="s">
        <v>70</v>
      </c>
    </row>
    <row r="20" spans="1:1" x14ac:dyDescent="0.25">
      <c r="A20" t="s">
        <v>79</v>
      </c>
    </row>
    <row r="21" spans="1:1" x14ac:dyDescent="0.25">
      <c r="A21" t="s">
        <v>71</v>
      </c>
    </row>
    <row r="22" spans="1:1" x14ac:dyDescent="0.25">
      <c r="A2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Bike_Buyers_Raw_Data</vt:lpstr>
      <vt:lpstr>Data_Dictionary</vt:lpstr>
      <vt:lpstr>Cleaned_Working_Sheet</vt:lpstr>
      <vt:lpstr>Pivot_Table &amp; Analysis</vt:lpstr>
      <vt:lpstr>Dashboard</vt:lpstr>
      <vt:lpstr>Key Insights &amp;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Gift Obinna</cp:lastModifiedBy>
  <dcterms:created xsi:type="dcterms:W3CDTF">2022-03-18T02:50:57Z</dcterms:created>
  <dcterms:modified xsi:type="dcterms:W3CDTF">2026-09-12T15:55:49Z</dcterms:modified>
</cp:coreProperties>
</file>